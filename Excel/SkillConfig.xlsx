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63064826-8F48-46B9-99A9-D83CA8353A84}"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SkillProto!$BA$1:$BA$2406</definedName>
  </definedNames>
  <calcPr calcId="191029"/>
</workbook>
</file>

<file path=xl/calcChain.xml><?xml version="1.0" encoding="utf-8"?>
<calcChain xmlns="http://schemas.openxmlformats.org/spreadsheetml/2006/main">
  <c r="BE688" i="1" l="1"/>
  <c r="BE687" i="1"/>
  <c r="BE686" i="1"/>
  <c r="BE685" i="1"/>
  <c r="BE684" i="1"/>
  <c r="BE683" i="1"/>
  <c r="BE676" i="1"/>
  <c r="BE675" i="1"/>
  <c r="BE674" i="1"/>
  <c r="BE673" i="1"/>
  <c r="BE672" i="1"/>
  <c r="BE671" i="1"/>
  <c r="BE660" i="1"/>
  <c r="BE661" i="1"/>
  <c r="BE662" i="1"/>
  <c r="BE663" i="1"/>
  <c r="BE664" i="1"/>
  <c r="BE659" i="1"/>
  <c r="BE630" i="1"/>
  <c r="BE631" i="1"/>
  <c r="BE632" i="1"/>
  <c r="BE633" i="1"/>
  <c r="BE634" i="1"/>
  <c r="BE629" i="1"/>
  <c r="BE834" i="1"/>
  <c r="BE833" i="1"/>
  <c r="BE832" i="1"/>
  <c r="BE831" i="1"/>
  <c r="BE830" i="1"/>
  <c r="BE841" i="1"/>
  <c r="BE842" i="1"/>
  <c r="BE843" i="1"/>
  <c r="BE844" i="1"/>
  <c r="BE845" i="1"/>
  <c r="BE840" i="1"/>
  <c r="BE948" i="1"/>
  <c r="BE949" i="1"/>
  <c r="BE950" i="1"/>
  <c r="BE951" i="1"/>
  <c r="BE952" i="1"/>
  <c r="BE947" i="1"/>
  <c r="BE1282" i="1"/>
  <c r="BE1283" i="1"/>
  <c r="BE1284" i="1"/>
  <c r="BE1285" i="1"/>
  <c r="BE1286" i="1"/>
  <c r="BE1281" i="1"/>
  <c r="BE1276" i="1"/>
  <c r="BE1277" i="1"/>
  <c r="BE1278" i="1"/>
  <c r="BE1279" i="1"/>
  <c r="BE1280" i="1"/>
  <c r="BE1275" i="1"/>
  <c r="BE1187" i="1"/>
  <c r="BE1188" i="1"/>
  <c r="BE535" i="1" s="1"/>
  <c r="BE1189" i="1"/>
  <c r="BE1190" i="1"/>
  <c r="BE537" i="1" s="1"/>
  <c r="BE1191" i="1"/>
  <c r="BE538" i="1" s="1"/>
  <c r="BE1186" i="1"/>
  <c r="BE2404" i="1"/>
  <c r="BE2403" i="1"/>
  <c r="BE2261" i="1"/>
  <c r="BE2258" i="1"/>
  <c r="BE2252" i="1"/>
  <c r="BE2251" i="1"/>
  <c r="BE2250" i="1"/>
  <c r="H2250" i="1"/>
  <c r="J2233" i="1"/>
  <c r="BE2210" i="1"/>
  <c r="H1846" i="1"/>
  <c r="H1845" i="1"/>
  <c r="H1844" i="1"/>
  <c r="H1843" i="1"/>
  <c r="H1842" i="1"/>
  <c r="H1841" i="1"/>
  <c r="H1840" i="1"/>
  <c r="H1839" i="1"/>
  <c r="H1838" i="1"/>
  <c r="H1837" i="1"/>
  <c r="H1835" i="1"/>
  <c r="H1834" i="1"/>
  <c r="H1833" i="1"/>
  <c r="H1832" i="1"/>
  <c r="H1831" i="1"/>
  <c r="H1830" i="1"/>
  <c r="H1829" i="1"/>
  <c r="H1828" i="1"/>
  <c r="H1827" i="1"/>
  <c r="H1826" i="1"/>
  <c r="H1824" i="1"/>
  <c r="H1823" i="1"/>
  <c r="H1822" i="1"/>
  <c r="H1821" i="1"/>
  <c r="H1820" i="1"/>
  <c r="H1819" i="1"/>
  <c r="H1818" i="1"/>
  <c r="H1817" i="1"/>
  <c r="H1816" i="1"/>
  <c r="H1815" i="1"/>
  <c r="H1813" i="1"/>
  <c r="H1812" i="1"/>
  <c r="H1811" i="1"/>
  <c r="H1810" i="1"/>
  <c r="H1809" i="1"/>
  <c r="H1808" i="1"/>
  <c r="H1807" i="1"/>
  <c r="H1806" i="1"/>
  <c r="H1805" i="1"/>
  <c r="H1804" i="1"/>
  <c r="BE1792" i="1"/>
  <c r="BE1791" i="1"/>
  <c r="BE1790" i="1"/>
  <c r="BE1789" i="1"/>
  <c r="BE1788" i="1"/>
  <c r="BE1787" i="1"/>
  <c r="BE1786" i="1"/>
  <c r="BE1785" i="1"/>
  <c r="BE1784" i="1"/>
  <c r="BE1783" i="1"/>
  <c r="BE1782" i="1"/>
  <c r="BE1781" i="1"/>
  <c r="AL1558" i="1"/>
  <c r="BE1472" i="1"/>
  <c r="BE1471" i="1"/>
  <c r="BE1380" i="1"/>
  <c r="BE1379" i="1"/>
  <c r="BE1374" i="1"/>
  <c r="BE1368" i="1"/>
  <c r="BE1353" i="1"/>
  <c r="BE1351" i="1"/>
  <c r="BE1344" i="1"/>
  <c r="BE1343" i="1"/>
  <c r="BE1327" i="1"/>
  <c r="BE1311" i="1"/>
  <c r="BE1304" i="1"/>
  <c r="BE1303" i="1"/>
  <c r="BE1301" i="1"/>
  <c r="BE1295" i="1"/>
  <c r="BE1268" i="1"/>
  <c r="BE1267" i="1"/>
  <c r="BE1266" i="1"/>
  <c r="AZ1259" i="1"/>
  <c r="AZ1258" i="1"/>
  <c r="AZ1257" i="1"/>
  <c r="AZ1256" i="1"/>
  <c r="AZ1255" i="1"/>
  <c r="AZ1254" i="1"/>
  <c r="BE1253" i="1"/>
  <c r="BE1252" i="1"/>
  <c r="BE1251" i="1"/>
  <c r="BE1250" i="1"/>
  <c r="BE1249" i="1"/>
  <c r="BE1248" i="1"/>
  <c r="BE1234"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3" i="1"/>
  <c r="BE1202" i="1"/>
  <c r="BE1201" i="1"/>
  <c r="BE1200" i="1"/>
  <c r="BE1199" i="1"/>
  <c r="BE1198" i="1"/>
  <c r="BE1197" i="1"/>
  <c r="BE1196" i="1"/>
  <c r="BE1195" i="1"/>
  <c r="BE1194" i="1"/>
  <c r="BE1193" i="1"/>
  <c r="BE1192" i="1"/>
  <c r="BE1185" i="1"/>
  <c r="BE1184" i="1"/>
  <c r="BE1183" i="1"/>
  <c r="BE1182" i="1"/>
  <c r="BE1181" i="1"/>
  <c r="BE1180" i="1"/>
  <c r="BE527" i="1" s="1"/>
  <c r="BE1179" i="1"/>
  <c r="BE1178" i="1"/>
  <c r="BE525" i="1" s="1"/>
  <c r="BE1177" i="1"/>
  <c r="BE1176" i="1"/>
  <c r="BE523" i="1" s="1"/>
  <c r="BE1175" i="1"/>
  <c r="BE522" i="1" s="1"/>
  <c r="BE1174" i="1"/>
  <c r="BE1163" i="1"/>
  <c r="BE1162" i="1"/>
  <c r="BE1161" i="1"/>
  <c r="BE1160" i="1"/>
  <c r="BE1159" i="1"/>
  <c r="BE1158" i="1"/>
  <c r="BE1151" i="1"/>
  <c r="BE1150" i="1"/>
  <c r="BE1149" i="1"/>
  <c r="Z1148" i="1"/>
  <c r="BE1148" i="1" s="1"/>
  <c r="Z1147" i="1"/>
  <c r="BE1147" i="1" s="1"/>
  <c r="BE1146" i="1"/>
  <c r="Z1146" i="1"/>
  <c r="BE1127"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096" i="1"/>
  <c r="BE1095" i="1"/>
  <c r="BE1094" i="1"/>
  <c r="BE1093" i="1"/>
  <c r="BE1092" i="1"/>
  <c r="BE1091" i="1"/>
  <c r="BE1084" i="1"/>
  <c r="BE1083" i="1"/>
  <c r="BE1082" i="1"/>
  <c r="BE1081" i="1"/>
  <c r="BE1080" i="1"/>
  <c r="BE1079" i="1"/>
  <c r="BE1078" i="1"/>
  <c r="BE1077" i="1"/>
  <c r="BE1076" i="1"/>
  <c r="BE1075" i="1"/>
  <c r="BE1074" i="1"/>
  <c r="BE1073" i="1"/>
  <c r="BE1072" i="1"/>
  <c r="BE1071" i="1"/>
  <c r="BE1070" i="1"/>
  <c r="BE1069" i="1"/>
  <c r="BE1068" i="1"/>
  <c r="BE1067" i="1"/>
  <c r="BE1060" i="1"/>
  <c r="BE520" i="1" s="1"/>
  <c r="BE1059" i="1"/>
  <c r="BE1058" i="1"/>
  <c r="BE518" i="1" s="1"/>
  <c r="BE1057" i="1"/>
  <c r="BE517" i="1" s="1"/>
  <c r="BE1056" i="1"/>
  <c r="BE1055" i="1"/>
  <c r="BE1054" i="1"/>
  <c r="BE1053" i="1"/>
  <c r="BE1052" i="1"/>
  <c r="BE1051" i="1"/>
  <c r="BE1050" i="1"/>
  <c r="BE1049" i="1"/>
  <c r="BE1048" i="1"/>
  <c r="BE508" i="1" s="1"/>
  <c r="BE1047" i="1"/>
  <c r="BE1046" i="1"/>
  <c r="BE1045" i="1"/>
  <c r="BE1044" i="1"/>
  <c r="BE1043" i="1"/>
  <c r="BE1042" i="1"/>
  <c r="BE1028" i="1"/>
  <c r="BE1027" i="1"/>
  <c r="BE513" i="1" s="1"/>
  <c r="BE1026" i="1"/>
  <c r="BE512" i="1" s="1"/>
  <c r="BE1025" i="1"/>
  <c r="BE1024" i="1"/>
  <c r="BE1023" i="1"/>
  <c r="BE1022" i="1"/>
  <c r="BE1021" i="1"/>
  <c r="BE507" i="1" s="1"/>
  <c r="BE1020" i="1"/>
  <c r="BE506" i="1" s="1"/>
  <c r="BE1019" i="1"/>
  <c r="BE1018" i="1"/>
  <c r="BE1017" i="1"/>
  <c r="BE503" i="1" s="1"/>
  <c r="H1006" i="1"/>
  <c r="H1005" i="1"/>
  <c r="H1004" i="1"/>
  <c r="BE1003" i="1"/>
  <c r="BE1002" i="1"/>
  <c r="BE1001" i="1"/>
  <c r="BE1000" i="1"/>
  <c r="H1000" i="1"/>
  <c r="BE999" i="1"/>
  <c r="H999" i="1"/>
  <c r="BE998" i="1"/>
  <c r="H998" i="1"/>
  <c r="BE997" i="1"/>
  <c r="BE996" i="1"/>
  <c r="BE995" i="1"/>
  <c r="BE994" i="1"/>
  <c r="H994" i="1"/>
  <c r="BE993" i="1"/>
  <c r="H993" i="1"/>
  <c r="BE992" i="1"/>
  <c r="H992" i="1"/>
  <c r="H988" i="1"/>
  <c r="H987" i="1"/>
  <c r="H986" i="1"/>
  <c r="BE985" i="1"/>
  <c r="BE984" i="1"/>
  <c r="BE983" i="1"/>
  <c r="BE982" i="1"/>
  <c r="H982" i="1"/>
  <c r="BE981" i="1"/>
  <c r="H981" i="1"/>
  <c r="BE980" i="1"/>
  <c r="H980" i="1"/>
  <c r="BE979" i="1"/>
  <c r="BE978" i="1"/>
  <c r="BE977" i="1"/>
  <c r="BE976" i="1"/>
  <c r="H976" i="1"/>
  <c r="BE975" i="1"/>
  <c r="H975" i="1"/>
  <c r="BE974" i="1"/>
  <c r="H974" i="1"/>
  <c r="BE973" i="1"/>
  <c r="BE972" i="1"/>
  <c r="BE971" i="1"/>
  <c r="BE970" i="1"/>
  <c r="H970" i="1"/>
  <c r="BE969" i="1"/>
  <c r="H969" i="1"/>
  <c r="BE968" i="1"/>
  <c r="H968" i="1"/>
  <c r="BE967" i="1"/>
  <c r="BE966" i="1"/>
  <c r="BE965" i="1"/>
  <c r="BE964" i="1"/>
  <c r="H964" i="1"/>
  <c r="BE963" i="1"/>
  <c r="H963" i="1"/>
  <c r="BE962" i="1"/>
  <c r="H962" i="1"/>
  <c r="H955" i="1"/>
  <c r="H954" i="1"/>
  <c r="H953" i="1"/>
  <c r="H949" i="1"/>
  <c r="H948" i="1"/>
  <c r="H947" i="1"/>
  <c r="BE946" i="1"/>
  <c r="BE945" i="1"/>
  <c r="BE944" i="1"/>
  <c r="BE943" i="1"/>
  <c r="BE942" i="1"/>
  <c r="H938" i="1"/>
  <c r="H937" i="1"/>
  <c r="H936" i="1"/>
  <c r="BE935" i="1"/>
  <c r="BE934" i="1"/>
  <c r="BE933" i="1"/>
  <c r="BE932" i="1"/>
  <c r="BE931" i="1"/>
  <c r="H927" i="1"/>
  <c r="H926" i="1"/>
  <c r="H925" i="1"/>
  <c r="BE924" i="1"/>
  <c r="BE923" i="1"/>
  <c r="BE922" i="1"/>
  <c r="BE921" i="1"/>
  <c r="H921" i="1"/>
  <c r="BE920" i="1"/>
  <c r="H920" i="1"/>
  <c r="BE919" i="1"/>
  <c r="H919" i="1"/>
  <c r="BE918" i="1"/>
  <c r="BE917" i="1"/>
  <c r="BE916" i="1"/>
  <c r="BE915" i="1"/>
  <c r="H915" i="1"/>
  <c r="BE914" i="1"/>
  <c r="H914" i="1"/>
  <c r="BE913" i="1"/>
  <c r="BE497" i="1" s="1"/>
  <c r="H913" i="1"/>
  <c r="BE912" i="1"/>
  <c r="BE911" i="1"/>
  <c r="BE495" i="1" s="1"/>
  <c r="BE910" i="1"/>
  <c r="BE909" i="1"/>
  <c r="H909" i="1"/>
  <c r="BE908" i="1"/>
  <c r="H908" i="1"/>
  <c r="BE907" i="1"/>
  <c r="H907" i="1"/>
  <c r="H903" i="1"/>
  <c r="H902" i="1"/>
  <c r="H901" i="1"/>
  <c r="H890" i="1"/>
  <c r="H889" i="1"/>
  <c r="H888" i="1"/>
  <c r="BE887" i="1"/>
  <c r="BE886" i="1"/>
  <c r="BE885" i="1"/>
  <c r="BE488" i="1" s="1"/>
  <c r="BE884" i="1"/>
  <c r="H884" i="1"/>
  <c r="BE883" i="1"/>
  <c r="H883" i="1"/>
  <c r="BE882" i="1"/>
  <c r="H882" i="1"/>
  <c r="BE881" i="1"/>
  <c r="BE880" i="1"/>
  <c r="BE879" i="1"/>
  <c r="BE878" i="1"/>
  <c r="H878" i="1"/>
  <c r="BE877" i="1"/>
  <c r="H877" i="1"/>
  <c r="BE876" i="1"/>
  <c r="H876" i="1"/>
  <c r="H872" i="1"/>
  <c r="H871" i="1"/>
  <c r="H870" i="1"/>
  <c r="BE869" i="1"/>
  <c r="BE868" i="1"/>
  <c r="BE867" i="1"/>
  <c r="BE866" i="1"/>
  <c r="BE865" i="1"/>
  <c r="BE864" i="1"/>
  <c r="BE863" i="1"/>
  <c r="BE862" i="1"/>
  <c r="BE861" i="1"/>
  <c r="BE860" i="1"/>
  <c r="BE859" i="1"/>
  <c r="BE858" i="1"/>
  <c r="H854" i="1"/>
  <c r="H853" i="1"/>
  <c r="H852" i="1"/>
  <c r="H842" i="1"/>
  <c r="H841" i="1"/>
  <c r="H840" i="1"/>
  <c r="H837" i="1"/>
  <c r="H836" i="1"/>
  <c r="H835" i="1"/>
  <c r="BE829" i="1"/>
  <c r="BE828" i="1"/>
  <c r="BE827" i="1"/>
  <c r="BE826" i="1"/>
  <c r="BE825" i="1"/>
  <c r="H825" i="1"/>
  <c r="BE824" i="1"/>
  <c r="H824" i="1"/>
  <c r="BE823" i="1"/>
  <c r="H823" i="1"/>
  <c r="BE822" i="1"/>
  <c r="BE821" i="1"/>
  <c r="BE820" i="1"/>
  <c r="BE819" i="1"/>
  <c r="BE818" i="1"/>
  <c r="BE817" i="1"/>
  <c r="BE814" i="1"/>
  <c r="BE813" i="1"/>
  <c r="BE805" i="1"/>
  <c r="BE804" i="1"/>
  <c r="BE803" i="1"/>
  <c r="BE802" i="1"/>
  <c r="H802" i="1"/>
  <c r="BE801" i="1"/>
  <c r="H801" i="1"/>
  <c r="BE800" i="1"/>
  <c r="H800" i="1"/>
  <c r="BE799" i="1"/>
  <c r="BE798" i="1"/>
  <c r="BE797" i="1"/>
  <c r="BE796" i="1"/>
  <c r="BE795" i="1"/>
  <c r="BE794" i="1"/>
  <c r="BE793" i="1"/>
  <c r="BE792" i="1"/>
  <c r="BE791" i="1"/>
  <c r="BE790" i="1"/>
  <c r="BE789" i="1"/>
  <c r="BE788" i="1"/>
  <c r="BE781" i="1"/>
  <c r="BE780" i="1"/>
  <c r="BE779" i="1"/>
  <c r="BE778" i="1"/>
  <c r="BE777" i="1"/>
  <c r="BE776" i="1"/>
  <c r="BE775" i="1"/>
  <c r="BE774" i="1"/>
  <c r="BE773" i="1"/>
  <c r="BE772" i="1"/>
  <c r="BE481" i="1" s="1"/>
  <c r="H772" i="1"/>
  <c r="BE771" i="1"/>
  <c r="H771" i="1"/>
  <c r="BE770" i="1"/>
  <c r="H770" i="1"/>
  <c r="BE769" i="1"/>
  <c r="BE768" i="1"/>
  <c r="BE483" i="1" s="1"/>
  <c r="BE767" i="1"/>
  <c r="BE482" i="1" s="1"/>
  <c r="BE766" i="1"/>
  <c r="H766" i="1"/>
  <c r="BE765" i="1"/>
  <c r="H765" i="1"/>
  <c r="BE764" i="1"/>
  <c r="H764" i="1"/>
  <c r="BE763" i="1"/>
  <c r="BE762" i="1"/>
  <c r="BE761" i="1"/>
  <c r="BE760" i="1"/>
  <c r="H760" i="1"/>
  <c r="BE759" i="1"/>
  <c r="BE474" i="1" s="1"/>
  <c r="H759" i="1"/>
  <c r="BE758" i="1"/>
  <c r="H758" i="1"/>
  <c r="BE757" i="1"/>
  <c r="BE478" i="1" s="1"/>
  <c r="BE756" i="1"/>
  <c r="BE755" i="1"/>
  <c r="BE476" i="1" s="1"/>
  <c r="BE754" i="1"/>
  <c r="H754" i="1"/>
  <c r="BE753" i="1"/>
  <c r="H753" i="1"/>
  <c r="BE752" i="1"/>
  <c r="BE473" i="1" s="1"/>
  <c r="H752" i="1"/>
  <c r="BE751" i="1"/>
  <c r="BE750" i="1"/>
  <c r="BE749" i="1"/>
  <c r="BE748" i="1"/>
  <c r="BE469" i="1" s="1"/>
  <c r="H748" i="1"/>
  <c r="BE747" i="1"/>
  <c r="BE468" i="1" s="1"/>
  <c r="H747" i="1"/>
  <c r="BE746" i="1"/>
  <c r="H746" i="1"/>
  <c r="BE745" i="1"/>
  <c r="BE744" i="1"/>
  <c r="BE743" i="1"/>
  <c r="BE470" i="1" s="1"/>
  <c r="BE742" i="1"/>
  <c r="H742" i="1"/>
  <c r="BE741" i="1"/>
  <c r="H741" i="1"/>
  <c r="BE740" i="1"/>
  <c r="H740" i="1"/>
  <c r="BE738" i="1"/>
  <c r="BE737" i="1"/>
  <c r="BE736" i="1"/>
  <c r="BE735" i="1"/>
  <c r="H735" i="1"/>
  <c r="BE734" i="1"/>
  <c r="H734" i="1"/>
  <c r="BE733" i="1"/>
  <c r="H733" i="1"/>
  <c r="BE731" i="1"/>
  <c r="BE730" i="1"/>
  <c r="BE729" i="1"/>
  <c r="BE728" i="1"/>
  <c r="H728" i="1"/>
  <c r="BE727" i="1"/>
  <c r="H727" i="1"/>
  <c r="BE726" i="1"/>
  <c r="H726" i="1"/>
  <c r="H722" i="1"/>
  <c r="H721" i="1"/>
  <c r="H720" i="1"/>
  <c r="BE719" i="1"/>
  <c r="BE718" i="1"/>
  <c r="BE717" i="1"/>
  <c r="BE716" i="1"/>
  <c r="H716" i="1"/>
  <c r="BE715" i="1"/>
  <c r="H715" i="1"/>
  <c r="BE714" i="1"/>
  <c r="H714" i="1"/>
  <c r="BE713" i="1"/>
  <c r="BE712" i="1"/>
  <c r="BE711" i="1"/>
  <c r="BE710" i="1"/>
  <c r="BE709" i="1"/>
  <c r="BE708" i="1"/>
  <c r="BE707" i="1"/>
  <c r="BE706" i="1"/>
  <c r="BE705" i="1"/>
  <c r="BE704" i="1"/>
  <c r="H704" i="1"/>
  <c r="BE703" i="1"/>
  <c r="H703" i="1"/>
  <c r="BE702" i="1"/>
  <c r="H702" i="1"/>
  <c r="BE701" i="1"/>
  <c r="BE700" i="1"/>
  <c r="BE699" i="1"/>
  <c r="BE698" i="1"/>
  <c r="H698" i="1"/>
  <c r="BE697" i="1"/>
  <c r="H697" i="1"/>
  <c r="BE696" i="1"/>
  <c r="H696" i="1"/>
  <c r="H691" i="1"/>
  <c r="H690" i="1"/>
  <c r="H689" i="1"/>
  <c r="H685" i="1"/>
  <c r="H684" i="1"/>
  <c r="H683" i="1"/>
  <c r="BE682" i="1"/>
  <c r="BE681" i="1"/>
  <c r="BE680" i="1"/>
  <c r="BE679" i="1"/>
  <c r="BE678" i="1"/>
  <c r="BE677" i="1"/>
  <c r="H673" i="1"/>
  <c r="H672" i="1"/>
  <c r="H671" i="1"/>
  <c r="BE670" i="1"/>
  <c r="BE669" i="1"/>
  <c r="BE668" i="1"/>
  <c r="BE667" i="1"/>
  <c r="H667" i="1"/>
  <c r="BE666" i="1"/>
  <c r="H666" i="1"/>
  <c r="BE665" i="1"/>
  <c r="H665" i="1"/>
  <c r="BE658" i="1"/>
  <c r="BE657" i="1"/>
  <c r="BE656" i="1"/>
  <c r="BE655" i="1"/>
  <c r="BE654" i="1"/>
  <c r="BE653" i="1"/>
  <c r="BE646" i="1"/>
  <c r="BE645" i="1"/>
  <c r="BE644" i="1"/>
  <c r="BE643" i="1"/>
  <c r="BE463" i="1" s="1"/>
  <c r="BE642" i="1"/>
  <c r="BE462" i="1" s="1"/>
  <c r="BE641" i="1"/>
  <c r="BE640" i="1"/>
  <c r="BE639" i="1"/>
  <c r="BE638" i="1"/>
  <c r="BE637" i="1"/>
  <c r="BE636" i="1"/>
  <c r="BE635" i="1"/>
  <c r="BE628" i="1"/>
  <c r="BE627" i="1"/>
  <c r="BE626" i="1"/>
  <c r="BE625" i="1"/>
  <c r="BE624" i="1"/>
  <c r="BE623" i="1"/>
  <c r="BE622" i="1"/>
  <c r="BE621" i="1"/>
  <c r="BE620" i="1"/>
  <c r="BE619" i="1"/>
  <c r="BE618" i="1"/>
  <c r="BE617" i="1"/>
  <c r="BE616" i="1"/>
  <c r="BE615" i="1"/>
  <c r="BE614" i="1"/>
  <c r="BE452" i="1" s="1"/>
  <c r="BE613" i="1"/>
  <c r="BE612" i="1"/>
  <c r="BE611" i="1"/>
  <c r="BE536" i="1"/>
  <c r="BE534" i="1"/>
  <c r="BE533" i="1"/>
  <c r="BE531" i="1"/>
  <c r="BE529" i="1"/>
  <c r="BE528" i="1"/>
  <c r="BE519" i="1"/>
  <c r="BE516" i="1"/>
  <c r="BE515" i="1"/>
  <c r="BE510" i="1"/>
  <c r="BE509" i="1"/>
  <c r="BE504" i="1"/>
  <c r="BE502" i="1"/>
  <c r="BE500" i="1"/>
  <c r="BE496" i="1"/>
  <c r="BE494" i="1"/>
  <c r="BE493" i="1"/>
  <c r="BE492" i="1"/>
  <c r="BE491" i="1"/>
  <c r="BE490" i="1"/>
  <c r="BE487" i="1"/>
  <c r="BE484" i="1"/>
  <c r="BE475" i="1"/>
  <c r="BE472" i="1"/>
  <c r="BE460" i="1"/>
  <c r="BE458" i="1"/>
  <c r="BE457" i="1"/>
  <c r="BE451" i="1"/>
  <c r="BE380" i="1"/>
  <c r="BE93" i="1"/>
  <c r="J93" i="1"/>
  <c r="H93" i="1"/>
  <c r="H84" i="1"/>
  <c r="BE532" i="1" l="1"/>
  <c r="BE449" i="1"/>
  <c r="BE461" i="1"/>
  <c r="BE521" i="1"/>
  <c r="BE453" i="1"/>
  <c r="BE480" i="1"/>
  <c r="BE498" i="1"/>
  <c r="BE511" i="1"/>
  <c r="BE465" i="1"/>
  <c r="BE471" i="1"/>
  <c r="BE485" i="1"/>
  <c r="BE501" i="1"/>
  <c r="BE514" i="1"/>
  <c r="BE524" i="1"/>
  <c r="BE486" i="1"/>
  <c r="BE489" i="1"/>
  <c r="BE464" i="1"/>
  <c r="BE459" i="1"/>
  <c r="BE530" i="1"/>
  <c r="BE454" i="1"/>
  <c r="BE466" i="1"/>
  <c r="BE455" i="1"/>
  <c r="BE456" i="1"/>
  <c r="BE450" i="1"/>
  <c r="BE467" i="1"/>
  <c r="BE477" i="1"/>
  <c r="BE479" i="1"/>
  <c r="BE499" i="1"/>
  <c r="BE526" i="1"/>
  <c r="BE50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<sst xmlns="http://schemas.openxmlformats.org/spreadsheetml/2006/main" count="18821" uniqueCount="5809">
  <si>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</si>
  <si>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</si>
  <si>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</si>
  <si>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</si>
  <si>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</si>
  <si>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</si>
  <si>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</si>
  <si>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</si>
  <si>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</si>
  <si>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</si>
  <si>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</si>
  <si>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</si>
  <si>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</si>
  <si>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</si>
  <si>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</si>
  <si>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</si>
  <si>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</si>
  <si>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</si>
  <si>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</si>
  <si>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</si>
  <si>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</si>
  <si>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</si>
  <si>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</si>
  <si>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</si>
  <si>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</si>
  <si>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</si>
  <si>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</si>
  <si>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</si>
  <si>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</si>
  <si>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</si>
  <si>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</si>
  <si>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</si>
  <si>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</si>
  <si>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</si>
  <si>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</si>
  <si>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</si>
  <si>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</si>
  <si>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</si>
  <si>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</si>
  <si>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</si>
  <si>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</si>
  <si>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</si>
  <si>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</si>
  <si>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</si>
  <si>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</si>
  <si>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</si>
  <si>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</si>
  <si>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</si>
  <si>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</si>
  <si>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</si>
  <si>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</si>
  <si>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</si>
  <si>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</si>
  <si>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</si>
  <si>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</si>
  <si>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</si>
  <si>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</si>
  <si>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</si>
  <si>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</si>
  <si>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</si>
  <si>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</si>
  <si>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</si>
  <si>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</si>
  <si>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</si>
  <si>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</si>
  <si>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</si>
  <si>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</si>
  <si>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</si>
  <si>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</si>
  <si>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</si>
  <si>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</si>
  <si>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</si>
  <si>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</si>
  <si>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</si>
  <si>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</si>
  <si>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</si>
  <si>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</si>
  <si>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</si>
  <si>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</si>
  <si>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</si>
  <si>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</si>
  <si>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</si>
  <si>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</si>
  <si>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</si>
  <si>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</si>
  <si>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</si>
  <si>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</si>
  <si>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</si>
  <si>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</si>
  <si>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</si>
  <si>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</si>
  <si>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</si>
  <si>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</si>
  <si>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</si>
  <si>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</si>
  <si>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</si>
  <si>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</si>
  <si>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</si>
  <si>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</si>
  <si>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</si>
  <si>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</si>
  <si>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</si>
  <si>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</si>
  <si>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</si>
  <si>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</si>
  <si>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</si>
  <si>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</si>
  <si>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</si>
  <si>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</si>
  <si>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</si>
  <si>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</si>
  <si>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</si>
  <si>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</si>
  <si>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</si>
  <si>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</si>
  <si>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</si>
  <si>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</si>
  <si>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</si>
  <si>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</si>
  <si>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</si>
  <si>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</si>
  <si>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</si>
  <si>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</si>
  <si>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</si>
  <si>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</si>
  <si>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</si>
  <si>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</si>
  <si>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</si>
  <si>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</si>
  <si>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</si>
  <si>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</si>
  <si>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</si>
  <si>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</si>
  <si>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</si>
  <si>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</si>
  <si>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</si>
  <si>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</si>
  <si>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</si>
  <si>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</si>
  <si>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</si>
  <si>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</si>
  <si>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</si>
  <si>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</si>
  <si>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</si>
  <si>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</si>
  <si>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</si>
  <si>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</si>
  <si>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</si>
  <si>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</si>
  <si>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</si>
  <si>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</si>
  <si>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</si>
  <si>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</si>
  <si>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</si>
  <si>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</si>
  <si>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</si>
  <si>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</si>
  <si>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</si>
  <si>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</si>
  <si>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</si>
  <si>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</si>
  <si>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</si>
  <si>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</si>
  <si>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</si>
  <si>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</si>
  <si>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</si>
  <si>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</si>
  <si>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</si>
  <si>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</si>
  <si>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</si>
  <si>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</si>
  <si>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</si>
  <si>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</si>
  <si>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</si>
  <si>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</si>
  <si>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</si>
  <si>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</si>
  <si>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</si>
  <si>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</si>
  <si>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</si>
  <si>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</si>
  <si>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</si>
  <si>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</si>
  <si>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</si>
  <si>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</si>
  <si>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</si>
  <si>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</si>
  <si>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</si>
  <si>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</si>
  <si>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</si>
  <si>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</si>
  <si>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</si>
  <si>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</si>
  <si>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</si>
  <si>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</si>
  <si>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</si>
  <si>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</si>
  <si>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</si>
  <si>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</si>
  <si>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</si>
  <si>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</si>
  <si>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</si>
  <si>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</si>
  <si>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</si>
  <si>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</si>
  <si>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</si>
  <si>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</si>
  <si>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</si>
  <si>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</si>
  <si>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</si>
  <si>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</si>
  <si>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</si>
  <si>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</si>
  <si>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</si>
  <si>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</si>
  <si>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</si>
  <si>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</si>
  <si>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</si>
  <si>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</si>
  <si>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</si>
  <si>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</si>
  <si>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</si>
  <si>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</si>
  <si>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</si>
  <si>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</si>
  <si>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</si>
  <si>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</si>
  <si>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</si>
  <si>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</si>
  <si>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</si>
  <si>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</si>
  <si>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</si>
  <si>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</si>
  <si>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</si>
  <si>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</si>
  <si>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</si>
  <si>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</si>
  <si>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</si>
  <si>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</si>
  <si>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</si>
  <si>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</si>
  <si>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</si>
  <si>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</si>
  <si>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</si>
  <si>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</si>
  <si>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</si>
  <si>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</si>
  <si>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</si>
  <si>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</si>
  <si>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</si>
  <si>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</si>
  <si>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</si>
  <si>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</si>
  <si>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</si>
  <si>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</si>
  <si>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</si>
  <si>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</si>
  <si>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</si>
  <si>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</si>
  <si>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</si>
  <si>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</si>
  <si>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</si>
  <si>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</si>
  <si>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</si>
  <si>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</si>
  <si>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</si>
  <si>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</si>
  <si>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</si>
  <si>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</si>
  <si>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</si>
  <si>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</si>
  <si>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</si>
  <si>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</si>
  <si>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</si>
  <si>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</si>
  <si>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</si>
  <si>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</si>
  <si>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</si>
  <si>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</si>
  <si>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</si>
  <si>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</si>
  <si>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</si>
  <si>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</si>
  <si>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</si>
  <si>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</si>
  <si>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</si>
  <si>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</si>
  <si>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</si>
  <si>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</si>
  <si>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</si>
  <si>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</si>
  <si>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</si>
  <si>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</si>
  <si>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</si>
  <si>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</si>
  <si>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</si>
  <si>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</si>
  <si>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</si>
  <si>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</si>
  <si>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</si>
  <si>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</si>
  <si>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</si>
  <si>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</si>
  <si>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</si>
  <si>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</si>
  <si>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</si>
  <si>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</si>
  <si>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</si>
  <si>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</si>
  <si>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</si>
  <si>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</si>
  <si>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</si>
  <si>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</si>
  <si>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</si>
  <si>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</si>
  <si>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</si>
  <si>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</si>
  <si>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</si>
  <si>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</si>
  <si>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</si>
  <si>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</si>
  <si>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</si>
  <si>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</si>
  <si>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</si>
  <si>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</si>
  <si>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</si>
  <si>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</si>
  <si>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</si>
  <si>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</si>
  <si>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</si>
  <si>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</si>
  <si>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</si>
  <si>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</si>
  <si>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</si>
  <si>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</si>
  <si>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</si>
  <si>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</si>
  <si>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</si>
  <si>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</si>
  <si>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</si>
  <si>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</si>
  <si>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</si>
  <si>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</si>
  <si>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</si>
  <si>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</si>
  <si>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</si>
  <si>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</si>
  <si>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</si>
  <si>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</si>
  <si>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</si>
  <si>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</si>
  <si>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</si>
  <si>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</si>
  <si>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</si>
  <si>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</si>
  <si>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</si>
  <si>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</si>
  <si>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</si>
  <si>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</si>
  <si>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</si>
  <si>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</si>
  <si>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</si>
  <si>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</si>
  <si>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</si>
  <si>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</si>
  <si>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</si>
  <si>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</si>
  <si>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</si>
  <si>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</si>
  <si>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</si>
  <si>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</si>
  <si>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</si>
  <si>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</si>
  <si>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</si>
  <si>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</si>
  <si>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</si>
  <si>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</si>
  <si>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</si>
  <si>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</si>
  <si>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</si>
  <si>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</si>
  <si>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</si>
  <si>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</si>
  <si>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</si>
  <si>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</si>
  <si>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</si>
  <si>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</si>
  <si>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</si>
  <si>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</si>
  <si>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</si>
  <si>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</si>
  <si>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</si>
  <si>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</si>
  <si>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</si>
  <si>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</si>
  <si>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</si>
  <si>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</si>
  <si>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</si>
  <si>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</si>
  <si>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</si>
  <si>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</si>
  <si>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</si>
  <si>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</si>
  <si>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</si>
  <si>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</si>
  <si>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</si>
  <si>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</si>
  <si>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</si>
  <si>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</si>
  <si>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</si>
  <si>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</si>
  <si>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</si>
  <si>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</si>
  <si>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</si>
  <si>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</si>
  <si>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</si>
  <si>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</si>
  <si>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</si>
  <si>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</si>
  <si>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</si>
  <si>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</si>
  <si>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</si>
  <si>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</si>
  <si>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</si>
  <si>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</si>
  <si>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</si>
  <si>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</si>
  <si>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</si>
  <si>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</si>
  <si>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</si>
  <si>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</si>
  <si>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</si>
  <si>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</si>
  <si>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</si>
  <si>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</si>
  <si>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</si>
  <si>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</si>
  <si>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</si>
  <si>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</si>
  <si>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</si>
  <si>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</si>
  <si>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</si>
  <si>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</si>
  <si>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</si>
  <si>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</si>
  <si>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</si>
  <si>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</si>
  <si>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</si>
  <si>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</si>
  <si>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</si>
  <si>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</si>
  <si>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</si>
  <si>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</si>
  <si>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</si>
  <si>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</si>
  <si>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</si>
  <si>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</si>
  <si>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</si>
  <si>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</si>
  <si>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</si>
  <si>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</si>
  <si>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</si>
  <si>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</si>
  <si>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</si>
  <si>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</si>
  <si>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</si>
  <si>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</si>
  <si>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</si>
  <si>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</si>
  <si>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</si>
  <si>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</si>
  <si>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</si>
  <si>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</si>
  <si>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</si>
  <si>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</si>
  <si>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</si>
  <si>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</si>
  <si>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</si>
  <si>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</si>
  <si>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</si>
  <si>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</si>
  <si>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</si>
  <si>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</si>
  <si>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</si>
  <si>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</si>
  <si>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</si>
  <si>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</si>
  <si>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</si>
  <si>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</si>
  <si>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</si>
  <si>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</si>
  <si>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</si>
  <si>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</si>
  <si>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</si>
  <si>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</si>
  <si>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</si>
  <si>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</si>
  <si>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</si>
  <si>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</si>
  <si>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</si>
  <si>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</si>
  <si>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</si>
  <si>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</si>
  <si>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</si>
  <si>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</si>
  <si>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</si>
  <si>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</si>
  <si>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</si>
  <si>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</si>
  <si>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</si>
  <si>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</si>
  <si>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</si>
  <si>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</si>
  <si>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</si>
  <si>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</si>
  <si>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</si>
  <si>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</si>
  <si>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</si>
  <si>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</si>
  <si>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</si>
  <si>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</si>
  <si>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</si>
  <si>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</si>
  <si>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</si>
  <si>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</si>
  <si>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</si>
  <si>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</si>
  <si>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</si>
  <si>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</si>
  <si>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</si>
  <si>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</si>
  <si>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</si>
  <si>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</si>
  <si>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</si>
  <si>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</si>
  <si>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</si>
  <si>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</si>
  <si>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</si>
  <si>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</si>
  <si>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</si>
  <si>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</si>
  <si>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</si>
  <si>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</si>
  <si>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</si>
  <si>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</si>
  <si>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</si>
  <si>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</si>
  <si>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</si>
  <si>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</si>
  <si>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</si>
  <si>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</si>
  <si>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</si>
  <si>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</si>
  <si>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</si>
  <si>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</si>
  <si>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</si>
  <si>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</si>
  <si>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</si>
  <si>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</si>
  <si>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</si>
  <si>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</si>
  <si>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</si>
  <si>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</si>
  <si>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</si>
  <si>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</si>
  <si>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</si>
  <si>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</si>
  <si>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</si>
  <si>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</si>
  <si>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</si>
  <si>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</si>
  <si>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</si>
  <si>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</si>
  <si>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</si>
  <si>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</si>
  <si>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</si>
  <si>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</si>
  <si>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</si>
  <si>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</si>
  <si>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</si>
  <si>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</si>
  <si>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</si>
  <si>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</si>
  <si>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</si>
  <si>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</si>
  <si>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</si>
  <si>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</si>
  <si>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</si>
  <si>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</si>
  <si>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</si>
  <si>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</si>
  <si>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</si>
  <si>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</si>
  <si>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</si>
  <si>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</si>
  <si>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</si>
  <si>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</si>
  <si>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</si>
  <si>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</si>
  <si>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</si>
  <si>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</si>
  <si>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</si>
  <si>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</si>
  <si>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</si>
  <si>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</si>
  <si>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</si>
  <si>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</si>
  <si>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</si>
  <si>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</si>
  <si>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</si>
  <si>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</si>
  <si>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</si>
  <si>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</si>
  <si>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</si>
  <si>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</si>
  <si>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</si>
  <si>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</si>
  <si>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</si>
  <si>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</si>
  <si>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</si>
  <si>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</si>
  <si>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</si>
  <si>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</si>
  <si>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</si>
  <si>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</si>
  <si>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</si>
  <si>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</si>
  <si>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</si>
  <si>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</si>
  <si>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</si>
  <si>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</si>
  <si>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</si>
  <si>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</si>
  <si>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</si>
  <si>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</si>
  <si>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</si>
  <si>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</si>
  <si>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</si>
  <si>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</si>
  <si>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</si>
  <si>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</si>
  <si>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</si>
  <si>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</si>
  <si>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</si>
  <si>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</si>
  <si>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</si>
  <si>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</si>
  <si>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</si>
  <si>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</si>
  <si>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</si>
  <si>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</si>
  <si>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</si>
  <si>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</si>
  <si>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</si>
  <si>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</si>
  <si>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</si>
  <si>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</si>
  <si>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</si>
  <si>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</si>
  <si>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</si>
  <si>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</si>
  <si>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</si>
  <si>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</si>
  <si>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</si>
  <si>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</si>
  <si>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</si>
  <si>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</si>
  <si>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</si>
  <si>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</si>
  <si>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</si>
  <si>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</si>
  <si>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</si>
  <si>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</si>
  <si>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</si>
  <si>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</si>
  <si>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</si>
  <si>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</si>
  <si>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</si>
  <si>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</si>
  <si>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</si>
  <si>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</si>
  <si>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</si>
  <si>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</si>
  <si>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</si>
  <si>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</si>
  <si>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</si>
  <si>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</si>
  <si>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</si>
  <si>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</si>
  <si>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</si>
  <si>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</si>
  <si>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</si>
  <si>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</si>
  <si>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</si>
  <si>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</si>
  <si>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</si>
  <si>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</si>
  <si>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</si>
  <si>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</si>
  <si>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</si>
  <si>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</si>
  <si>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</si>
  <si>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</si>
  <si>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</si>
  <si>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</si>
  <si>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</si>
  <si>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</si>
  <si>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</si>
  <si>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</si>
  <si>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</si>
  <si>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</si>
  <si>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</si>
  <si>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</si>
  <si>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</si>
  <si>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</si>
  <si>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</si>
  <si>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</si>
  <si>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</si>
  <si>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</si>
  <si>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</si>
  <si>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</si>
  <si>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</si>
  <si>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</si>
  <si>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</si>
  <si>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</si>
  <si>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</si>
  <si>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</si>
  <si>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</si>
  <si>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</si>
  <si>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</si>
  <si>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</si>
  <si>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</si>
  <si>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</si>
  <si>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</si>
  <si>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</si>
  <si>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</si>
  <si>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</si>
  <si>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</si>
  <si>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</si>
  <si>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</si>
  <si>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</si>
  <si>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</si>
  <si>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</si>
  <si>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</si>
  <si>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</si>
  <si>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</si>
  <si>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</si>
  <si>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</si>
  <si>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</si>
  <si>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</si>
  <si>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</si>
  <si>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</si>
  <si>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</si>
  <si>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</si>
  <si>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</si>
  <si>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</si>
  <si>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</si>
  <si>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</si>
  <si>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</si>
  <si>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</si>
  <si>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</si>
  <si>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</si>
  <si>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</si>
  <si>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</si>
  <si>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</si>
  <si>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</si>
  <si>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</si>
  <si>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</si>
  <si>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</si>
  <si>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</si>
  <si>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</si>
  <si>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</si>
  <si>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</si>
  <si>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</si>
  <si>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</si>
  <si>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</si>
  <si>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</si>
  <si>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</si>
  <si>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</si>
  <si>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</si>
  <si>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</si>
  <si>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</si>
  <si>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</si>
  <si>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</si>
  <si>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</si>
  <si>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</si>
  <si>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</si>
  <si>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</si>
  <si>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</si>
  <si>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</si>
  <si>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</si>
  <si>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</si>
  <si>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</si>
  <si>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</si>
  <si>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</si>
  <si>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</si>
  <si>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</si>
  <si>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</si>
  <si>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</si>
  <si>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</si>
  <si>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</si>
  <si>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</si>
  <si>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</si>
  <si>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</si>
  <si>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</si>
  <si>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</si>
  <si>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</si>
  <si>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</si>
  <si>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</si>
  <si>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</si>
  <si>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</si>
  <si>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</si>
  <si>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</si>
  <si>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</si>
  <si>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</si>
  <si>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</si>
  <si>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</si>
  <si>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</si>
  <si>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</si>
  <si>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</si>
  <si>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</si>
  <si>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</si>
  <si>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</si>
  <si>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</si>
  <si>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</si>
  <si>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</si>
  <si>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</si>
  <si>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</si>
  <si>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</si>
  <si>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</si>
  <si>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</si>
  <si>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</si>
  <si>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</si>
  <si>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</si>
  <si>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</si>
  <si>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</si>
  <si>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</si>
  <si>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</si>
  <si>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</si>
  <si>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</si>
  <si>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</si>
  <si>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</si>
  <si>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</si>
  <si>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</si>
  <si>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</si>
  <si>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</si>
  <si>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</si>
  <si>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</si>
  <si>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</si>
  <si>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</si>
  <si>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</si>
  <si>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</si>
  <si>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</si>
  <si>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</si>
  <si>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</si>
  <si>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</si>
  <si>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</si>
  <si>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</si>
  <si>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</si>
  <si>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</si>
  <si>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</si>
  <si>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</si>
  <si>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</si>
  <si>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</si>
  <si>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</si>
  <si>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</si>
  <si>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</si>
  <si>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</si>
  <si>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</si>
  <si>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</si>
  <si>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</si>
  <si>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</si>
  <si>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</si>
  <si>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</si>
  <si>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</si>
  <si>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</si>
  <si>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</si>
  <si>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</si>
  <si>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</si>
  <si>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</si>
  <si>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</si>
  <si>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</si>
  <si>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</si>
  <si>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</si>
  <si>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</si>
  <si>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</si>
  <si>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</si>
  <si>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</si>
  <si>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</si>
  <si>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</si>
  <si>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</si>
  <si>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</si>
  <si>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</si>
  <si>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</si>
  <si>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</si>
  <si>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</si>
  <si>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</si>
  <si>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</si>
  <si>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</si>
  <si>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</si>
  <si>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</si>
  <si>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</si>
  <si>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</si>
  <si>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</si>
  <si>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</si>
  <si>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</si>
  <si>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</si>
  <si>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</si>
  <si>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</si>
  <si>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</si>
  <si>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</si>
  <si>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</si>
  <si>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</si>
  <si>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</si>
  <si>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</si>
  <si>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</si>
  <si>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</si>
  <si>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</si>
  <si>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</si>
  <si>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</si>
  <si>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</si>
  <si>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</si>
  <si>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</si>
  <si>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</si>
  <si>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</si>
  <si>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</si>
  <si>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</si>
  <si>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</si>
  <si>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</si>
  <si>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</si>
  <si>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</si>
  <si>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</si>
  <si>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</si>
  <si>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</si>
  <si>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</si>
  <si>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</si>
  <si>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</si>
  <si>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</si>
  <si>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</si>
  <si>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</si>
  <si>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</si>
  <si>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</si>
  <si>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</si>
  <si>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</si>
  <si>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</si>
  <si>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</si>
  <si>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</si>
  <si>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</si>
  <si>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</si>
  <si>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</si>
  <si>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</si>
  <si>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</si>
  <si>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</si>
  <si>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</si>
  <si>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</si>
  <si>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</si>
  <si>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</si>
  <si>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</si>
  <si>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</si>
  <si>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</si>
  <si>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</si>
  <si>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</si>
  <si>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</si>
  <si>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</si>
  <si>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</si>
  <si>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</si>
  <si>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</si>
  <si>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</si>
  <si>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</si>
  <si>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</si>
  <si>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</si>
  <si>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</si>
  <si>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</si>
  <si>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</si>
  <si>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</si>
  <si>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</si>
  <si>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</si>
  <si>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</si>
  <si>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</si>
  <si>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</si>
  <si>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</si>
  <si>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</si>
  <si>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</si>
  <si>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</si>
  <si>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</si>
  <si>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</si>
  <si>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</si>
  <si>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</si>
  <si>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</si>
  <si>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</si>
  <si>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</si>
  <si>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</si>
  <si>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</si>
  <si>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</si>
  <si>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</si>
  <si>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</si>
  <si>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</si>
  <si>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</si>
  <si>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</si>
  <si>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</si>
  <si>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</si>
  <si>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</si>
  <si>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</si>
  <si>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</si>
  <si>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</si>
  <si>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</si>
  <si>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</si>
  <si>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</si>
  <si>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</si>
  <si>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</si>
  <si>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</si>
  <si>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</si>
  <si>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</si>
  <si>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</si>
  <si>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</si>
  <si>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</si>
  <si>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</si>
  <si>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</si>
  <si>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</si>
  <si>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</si>
  <si>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</si>
  <si>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</si>
  <si>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</si>
  <si>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</si>
  <si>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</si>
  <si>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</si>
  <si>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</si>
  <si>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</si>
  <si>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</si>
  <si>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</si>
  <si>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</si>
  <si>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</si>
  <si>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</si>
  <si>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</si>
  <si>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</si>
  <si>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</si>
  <si>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</si>
  <si>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</si>
  <si>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</si>
  <si>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</si>
  <si>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</si>
  <si>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</si>
  <si>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</si>
  <si>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</si>
  <si>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</si>
  <si>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</si>
  <si>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</si>
  <si>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</si>
  <si>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</si>
  <si>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</si>
  <si>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</si>
  <si>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</si>
  <si>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</si>
  <si>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</si>
  <si>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</si>
  <si>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</si>
  <si>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</si>
  <si>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</si>
  <si>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</si>
  <si>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</si>
  <si>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</si>
  <si>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</si>
  <si>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</si>
  <si>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</si>
  <si>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</si>
  <si>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</si>
  <si>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</si>
  <si>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</si>
  <si>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</si>
  <si>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</si>
  <si>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</si>
  <si>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</si>
  <si>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</si>
  <si>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</si>
  <si>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</si>
  <si>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</si>
  <si>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</si>
  <si>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</si>
  <si>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</si>
  <si>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</si>
  <si>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</si>
  <si>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</si>
  <si>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</si>
  <si>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</si>
  <si>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</si>
  <si>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</si>
  <si>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</si>
  <si>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</si>
  <si>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</si>
  <si>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</si>
  <si>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</si>
  <si>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</si>
  <si>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</si>
  <si>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</si>
  <si>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</si>
  <si>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</si>
  <si>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</si>
  <si>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</si>
  <si>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</si>
  <si>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</si>
  <si>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</si>
  <si>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</si>
  <si>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</si>
  <si>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</si>
  <si>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</si>
  <si>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</si>
  <si>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</si>
  <si>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</si>
  <si>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</si>
  <si>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</si>
  <si>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</si>
  <si>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</si>
  <si>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</si>
  <si>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</si>
  <si>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</si>
  <si>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</si>
  <si>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</si>
  <si>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</si>
  <si>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</si>
  <si>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</si>
  <si>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</si>
  <si>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</si>
  <si>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</si>
  <si>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</si>
  <si>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</si>
  <si>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</si>
  <si>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</si>
  <si>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</si>
  <si>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</si>
  <si>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</si>
  <si>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</si>
  <si>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</si>
  <si>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</si>
  <si>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</si>
  <si>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</si>
  <si>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</si>
  <si>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</si>
  <si>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</si>
  <si>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</si>
  <si>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</si>
  <si>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</si>
  <si>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</si>
  <si>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</si>
  <si>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</si>
  <si>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</si>
  <si>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</si>
  <si>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</si>
  <si>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</si>
  <si>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</si>
  <si>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</si>
  <si>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</si>
  <si>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</si>
  <si>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</si>
  <si>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</si>
  <si>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</si>
  <si>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</si>
  <si>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</si>
  <si>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</si>
  <si>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</si>
  <si>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</si>
  <si>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</si>
  <si>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</si>
  <si>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</si>
  <si>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</si>
  <si>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</si>
  <si>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</si>
  <si>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</si>
  <si>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</si>
  <si>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</si>
  <si>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</si>
  <si>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</si>
  <si>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</si>
  <si>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</si>
  <si>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</si>
  <si>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</si>
  <si>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</si>
  <si>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</si>
  <si>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</si>
  <si>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</si>
  <si>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</si>
  <si>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</si>
  <si>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</si>
  <si>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</si>
  <si>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</si>
  <si>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</si>
  <si>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</si>
  <si>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</si>
  <si>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</si>
  <si>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</si>
  <si>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</si>
  <si>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</si>
  <si>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</si>
  <si>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</si>
  <si>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</si>
  <si>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</si>
  <si>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</si>
  <si>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</si>
  <si>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</si>
  <si>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</si>
  <si>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</si>
  <si>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</si>
  <si>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</si>
  <si>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</si>
  <si>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</si>
  <si>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</si>
  <si>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</si>
  <si>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</si>
  <si>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</si>
  <si>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</si>
  <si>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</si>
  <si>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</si>
  <si>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</si>
  <si>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</si>
  <si>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</si>
  <si>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</si>
  <si>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</si>
  <si>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</si>
  <si>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</si>
  <si>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</si>
  <si>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</si>
  <si>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</si>
  <si>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</si>
  <si>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</si>
  <si>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</si>
  <si>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</si>
  <si>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</si>
  <si>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</si>
  <si>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</si>
  <si>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</si>
  <si>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</si>
  <si>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</si>
  <si>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</si>
  <si>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</si>
  <si>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</si>
  <si>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</si>
  <si>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</si>
  <si>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</si>
  <si>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</si>
  <si>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</si>
  <si>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</si>
  <si>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</si>
  <si>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</si>
  <si>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</si>
  <si>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</si>
  <si>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</si>
  <si>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</si>
  <si>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</si>
  <si>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</si>
  <si>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</si>
  <si>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</si>
  <si>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</si>
  <si>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</si>
  <si>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</si>
  <si>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</si>
  <si>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</si>
  <si>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</si>
  <si>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</si>
  <si>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</si>
  <si>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</si>
  <si>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</si>
  <si>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</si>
  <si>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</si>
  <si>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</si>
  <si>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</si>
  <si>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</si>
  <si>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</si>
  <si>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</si>
  <si>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</si>
  <si>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</si>
  <si>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</si>
  <si>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</si>
  <si>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</si>
  <si>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</si>
  <si>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</si>
  <si>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</si>
  <si>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</si>
  <si>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</si>
  <si>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</si>
  <si>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</si>
  <si>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</si>
  <si>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</si>
  <si>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</si>
  <si>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</si>
  <si>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</si>
  <si>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</si>
  <si>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</si>
  <si>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</si>
  <si>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</si>
  <si>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</si>
  <si>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</si>
  <si>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</si>
  <si>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</si>
  <si>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</si>
  <si>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</si>
  <si>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</si>
  <si>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</si>
  <si>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</si>
  <si>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</si>
  <si>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</si>
  <si>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</si>
  <si>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</si>
  <si>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</si>
  <si>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</si>
  <si>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</si>
  <si>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</si>
  <si>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</si>
  <si>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</si>
  <si>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</si>
  <si>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</si>
  <si>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</si>
  <si>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</si>
  <si>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</si>
  <si>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</si>
  <si>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</si>
  <si>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</si>
  <si>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</si>
  <si>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</si>
  <si>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</si>
  <si>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</si>
  <si>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</si>
  <si>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</si>
  <si>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</si>
  <si>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</si>
  <si>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</si>
  <si>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</si>
  <si>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</si>
  <si>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</si>
  <si>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</si>
  <si>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</si>
  <si>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</si>
  <si>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</si>
  <si>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</si>
  <si>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</si>
  <si>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</si>
  <si>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</si>
  <si>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</si>
  <si>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</si>
  <si>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</si>
  <si>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</si>
  <si>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</si>
  <si>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</si>
  <si>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</si>
  <si>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</si>
  <si>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</si>
  <si>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</si>
  <si>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72009037;0;1;1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</si>
  <si>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</si>
  <si>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</si>
  <si>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</si>
  <si>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</si>
  <si>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</si>
  <si>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</si>
  <si>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</si>
  <si>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</si>
  <si>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</si>
  <si>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</si>
  <si>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</si>
  <si>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</si>
  <si>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</si>
  <si>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</si>
  <si>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</si>
  <si>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</si>
  <si>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</si>
  <si>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</si>
  <si>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</si>
  <si>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</si>
  <si>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</si>
  <si>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</si>
  <si>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</si>
  <si>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</si>
  <si>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</si>
  <si>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</si>
  <si>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</si>
  <si>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</si>
  <si>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</si>
  <si>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</si>
  <si>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</si>
  <si>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</si>
  <si>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</si>
  <si>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</si>
  <si>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</si>
  <si>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</si>
  <si>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</si>
  <si>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</si>
  <si>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</si>
  <si>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</si>
  <si>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</si>
  <si>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</si>
  <si>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</si>
  <si>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</si>
  <si>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</si>
  <si>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</si>
  <si>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</si>
  <si>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</si>
  <si>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</si>
  <si>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</si>
  <si>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</si>
  <si>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</si>
  <si>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</si>
  <si>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</si>
  <si>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</si>
  <si>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</si>
  <si>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</si>
  <si>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</si>
  <si>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</si>
  <si>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</si>
  <si>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</si>
  <si>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</si>
  <si>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</si>
  <si>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</si>
  <si>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</si>
  <si>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</si>
  <si>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</si>
  <si>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</si>
  <si>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</si>
  <si>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</si>
  <si>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</si>
  <si>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</si>
  <si>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</si>
  <si>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</si>
  <si>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</si>
  <si>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</si>
  <si>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</si>
  <si>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</si>
  <si>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</si>
  <si>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</si>
  <si>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</si>
  <si>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</si>
  <si>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</si>
  <si>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</si>
  <si>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</si>
  <si>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</si>
  <si>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</si>
  <si>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</si>
  <si>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</si>
  <si>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</si>
  <si>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</si>
  <si>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</si>
  <si>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</si>
  <si>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</si>
  <si>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</si>
  <si>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</si>
  <si>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</si>
  <si>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</si>
  <si>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</si>
  <si>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</si>
  <si>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</si>
  <si>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</si>
  <si>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</si>
  <si>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</si>
  <si>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</si>
  <si>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</si>
  <si>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</si>
  <si>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</si>
  <si>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</si>
  <si>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</si>
  <si>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</si>
  <si>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</si>
  <si>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</si>
  <si>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</si>
  <si>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</si>
  <si>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</si>
  <si>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</si>
  <si>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</si>
  <si>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</si>
  <si>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</si>
  <si>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</si>
  <si>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</si>
  <si>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</si>
  <si>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</si>
  <si>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</si>
  <si>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</si>
  <si>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</si>
  <si>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</si>
  <si>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</si>
  <si>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</si>
  <si>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</si>
  <si>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</si>
  <si>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</si>
  <si>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</si>
  <si>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</si>
  <si>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</si>
  <si>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</si>
  <si>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</si>
  <si>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</si>
  <si>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</si>
  <si>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</si>
  <si>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</si>
  <si>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</si>
  <si>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</si>
  <si>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</si>
  <si>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</si>
  <si>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</si>
  <si>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</si>
  <si>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</si>
  <si>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</si>
  <si>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</si>
  <si>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</si>
  <si>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</si>
  <si>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</si>
  <si>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</si>
  <si>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</si>
  <si>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</si>
  <si>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</si>
  <si>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</si>
  <si>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</si>
  <si>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</si>
  <si>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</si>
  <si>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</si>
  <si>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</si>
  <si>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</si>
  <si>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</si>
  <si>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</si>
  <si>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</si>
  <si>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</si>
  <si>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</si>
  <si>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</si>
  <si>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</si>
  <si>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</si>
  <si>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</si>
  <si>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</si>
  <si>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</si>
  <si>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</si>
  <si>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</si>
  <si>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</si>
  <si>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</si>
  <si>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</si>
  <si>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</si>
  <si>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</si>
  <si>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</si>
  <si>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</si>
  <si>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</si>
  <si>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</si>
  <si>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</si>
  <si>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</si>
  <si>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</si>
  <si>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</si>
  <si>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</si>
  <si>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</si>
  <si>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</si>
  <si>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</si>
  <si>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</si>
  <si>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</si>
  <si>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</si>
  <si>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</si>
  <si>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</si>
  <si>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</si>
  <si>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</si>
  <si>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</si>
  <si>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</si>
  <si>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</si>
  <si>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</si>
  <si>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</si>
  <si>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</si>
  <si>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</si>
  <si>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</si>
  <si>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</si>
  <si>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</si>
  <si>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</si>
  <si>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</si>
  <si>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</si>
  <si>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</si>
  <si>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</si>
  <si>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</si>
  <si>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</si>
  <si>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</si>
  <si>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</si>
  <si>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</si>
  <si>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</si>
  <si>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</si>
  <si>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</si>
  <si>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</si>
  <si>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</si>
  <si>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</si>
  <si>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</si>
  <si>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</si>
  <si>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</si>
  <si>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</si>
  <si>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</si>
  <si>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</si>
  <si>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</si>
  <si>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</si>
  <si>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</si>
  <si>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</si>
  <si>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</si>
  <si>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</si>
  <si>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</si>
  <si>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</si>
  <si>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</si>
  <si>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</si>
  <si>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</si>
  <si>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</si>
  <si>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</si>
  <si>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</si>
  <si>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</si>
  <si>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</si>
  <si>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</si>
  <si>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</si>
  <si>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</si>
  <si>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</si>
  <si>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</si>
  <si>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</si>
  <si>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</si>
  <si>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</si>
  <si>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</si>
  <si>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</si>
  <si>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</si>
  <si>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</si>
  <si>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</si>
  <si>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</si>
  <si>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</si>
  <si>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</si>
  <si>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</si>
  <si>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</si>
  <si>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</si>
  <si>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</si>
  <si>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244303,0.3</t>
  </si>
  <si>
    <t>使用恢复药剂,恢复效果额外提升30%。</t>
  </si>
  <si>
    <t>Using a recovery potion increases the recovery effect by an additional 30%.</t>
  </si>
  <si>
    <t>244303,0.4</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</si>
  <si>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</si>
  <si>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</si>
  <si>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</si>
  <si>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</si>
  <si>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</si>
  <si>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</si>
  <si>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</si>
  <si>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</si>
  <si>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</si>
  <si>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</si>
  <si>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</si>
  <si>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</si>
  <si>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</si>
  <si>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 Applies Vulnerable to the target, increasing damage taken by 20% for 3s.</t>
  </si>
  <si>
    <t>Immediately deal 250% attack damage + 750 points of fixed damage to monsters within the target range, Applies Vulnerable to the target, increasing damage taken by 20% for 3s.</t>
  </si>
  <si>
    <t>Immediately deal 275% attack damage + 1500 fixed damage to the monsters within the target range, Applies Vulnerable to the target, increasing damage taken by 20% for 3s.</t>
  </si>
  <si>
    <t>Immediately cause 300% attack damage + 2250 fixed damage to the monsters within the target range, Applies Vulnerable to the target, increasing damage taken by 20% for 3s.</t>
  </si>
  <si>
    <t>Immediately deal 325% of attack damage + 3250 points of fixed damage to the monsters within the target range, Applies Vulnerable to the target, increasing damage taken by 20% for 3s.</t>
  </si>
  <si>
    <t>Immediately deal 350% of attack damage + 4250 points of fixed damage to the monsters within the target range, Applies Vulnerable to the target, increasing damage taken by 20% for 3s.</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</si>
  <si>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</si>
  <si>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</si>
  <si>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</si>
  <si>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</si>
  <si>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</si>
  <si>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</si>
  <si>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</si>
  <si>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</si>
  <si>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</si>
  <si>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</si>
  <si>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</si>
  <si>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</si>
  <si>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</si>
  <si>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</si>
  <si>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</si>
  <si>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</si>
  <si>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</si>
  <si>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</si>
  <si>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</si>
  <si>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</si>
  <si>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</si>
  <si>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</si>
  <si>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</si>
  <si>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</si>
  <si>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</si>
  <si>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</si>
  <si>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</si>
  <si>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</si>
  <si>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90001020,90001014</t>
  </si>
  <si>
    <t>Immediately charge to the target area and deal 160% attack damage + 750 fixed damage to the monsters there, and make yourself invincible for 1 second and stun the opponent for 1 second, Applies Vulnerable to the target, increasing damage taken by 20% for 3s.</t>
  </si>
  <si>
    <t>Charge immediately to the target area and deal 180% attack damage + 1500 fixed damage to the monsters there, and make oneself invincible for 1 second and stun the opponent for 1 second, Applies Vulnerable to the target, increasing damage taken by 20% for 3s.</t>
  </si>
  <si>
    <t>Instantly charge to the target area, dealing 200% attack damage + 2250 fixed damage to monsters there, making yourself invincible for 1 second and stunning the enemy for 1 second, Applies Vulnerable to the target, increasing damage taken by 20% for 3s.</t>
  </si>
  <si>
    <t>Immediately charge to the target area and deal 220% attack damage + 3250 points of fixed damage to the monsters there. Also, make yourself invincible for 1 second and stun the opponent for 1 second, Applies Vulnerable to the target, increasing damage taken by 20% for 3s.</t>
  </si>
  <si>
    <t>Immediately charge to the target area and deal 240% attack damage + 4250 points of fixed damage to the enemy monster. At the same time, make yourself invincible for 1 second and stun the opponent for 1 second, Applies Vulnerable to the target, increasing damage taken by 20% for 3s.</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</si>
  <si>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</si>
  <si>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</si>
  <si>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</si>
  <si>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</si>
  <si>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</si>
  <si>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</si>
  <si>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</si>
  <si>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</si>
  <si>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</si>
  <si>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</si>
  <si>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</si>
  <si>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</si>
  <si>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</si>
  <si>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</si>
  <si>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</si>
  <si>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</si>
  <si>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</si>
  <si>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</si>
  <si>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</si>
  <si>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</si>
  <si>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</si>
  <si>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</si>
  <si>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</si>
  <si>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</si>
  <si>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</si>
  <si>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</si>
  <si>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</si>
  <si>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</si>
  <si>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</si>
  <si>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</si>
  <si>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</si>
  <si>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</si>
  <si>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</si>
  <si>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</si>
  <si>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</si>
  <si>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</si>
  <si>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</si>
  <si>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</si>
  <si>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</si>
  <si>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</si>
  <si>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</si>
  <si>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</si>
  <si>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275% attack damage + 1500 points of fixed damage to the monsters within the target area, and freeze the target for 1 second, increasing the damage taken by 20% as a result.</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</si>
  <si>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</si>
  <si>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</si>
  <si>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</si>
  <si>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</si>
  <si>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</si>
  <si>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</si>
  <si>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</si>
  <si>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</si>
  <si>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</si>
  <si>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</si>
  <si>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</si>
  <si>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光剑攻击</t>
  </si>
  <si>
    <t>Light saber attack</t>
  </si>
  <si>
    <t>90001075,90001043,90001047,90001048,90001049,90001050</t>
  </si>
  <si>
    <t>90001085,90001044,90001047,90001048,90001049,90001050</t>
  </si>
  <si>
    <t>90001086,90001045,90001047,90001048,90001049,90001050</t>
  </si>
  <si>
    <t>90001087,90001046,90001047,90001048,90001049,90001050</t>
  </si>
  <si>
    <t>闪电链</t>
  </si>
  <si>
    <t>Lightning Chain</t>
  </si>
  <si>
    <t>dian</t>
  </si>
  <si>
    <t>Skill_ChainLightning</t>
  </si>
  <si>
    <t>光之能量</t>
  </si>
  <si>
    <t>Light Energy</t>
  </si>
  <si>
    <t>7,5</t>
  </si>
  <si>
    <t>Skill_10</t>
  </si>
  <si>
    <t>baolie_4</t>
  </si>
  <si>
    <t>0.3</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</si>
  <si>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</si>
  <si>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</si>
  <si>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</si>
  <si>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</si>
  <si>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</si>
  <si>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</si>
  <si>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</si>
  <si>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</si>
  <si>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</si>
  <si>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</si>
  <si>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</si>
  <si>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</si>
  <si>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</si>
  <si>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</si>
  <si>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</si>
  <si>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</si>
  <si>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</si>
  <si>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</si>
  <si>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</si>
  <si>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</si>
  <si>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</si>
  <si>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</si>
  <si>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</si>
  <si>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</si>
  <si>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</si>
  <si>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</si>
  <si>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Skill_11</t>
  </si>
  <si>
    <t>90001051,90001056,90001057,90001072,90001059,90001066,90001067,90001068,90001060,90001069,92034015,80001032</t>
  </si>
  <si>
    <t>90001053,90001056,90001057,90001058,90001059,90001066,90001067,90001068,90001060,90001069,92034015,80001032</t>
  </si>
  <si>
    <t>90001055,90001056,90001057,90001073,90001059,90001066,90001067,90001068,90001060,90001069,92034015,80001032</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</si>
  <si>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</si>
  <si>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</si>
  <si>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</si>
  <si>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</si>
  <si>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</si>
  <si>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</si>
  <si>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</si>
  <si>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</si>
  <si>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</si>
  <si>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</si>
  <si>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</si>
  <si>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</si>
  <si>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</si>
  <si>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</si>
  <si>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</si>
  <si>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</si>
  <si>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</si>
  <si>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</si>
  <si>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</si>
  <si>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</si>
  <si>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</si>
  <si>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</si>
  <si>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</si>
  <si>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</si>
  <si>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</si>
  <si>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</si>
  <si>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</si>
  <si>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</si>
  <si>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</si>
  <si>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</si>
  <si>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 Applies Vulnerable to the target, increasing damage taken by 20% for 3s.</t>
  </si>
  <si>
    <t>Deal 250% attack damage + 1800 fixed damage to monsters within the target range immediately, Applies Vulnerable to the target, increasing damage taken by 20% for 3s.</t>
  </si>
  <si>
    <t>Immediately deal 275% attack damage + 2800 points of fixed damage to the monsters within the target area, Applies Vulnerable to the target, increasing damage taken by 20% for 3s.</t>
  </si>
  <si>
    <t>Immediately deal 300% attack damage + 4000 fixed damage to the monsters within the target range, Applies Vulnerable to the target, increasing damage taken by 20% for 3s.</t>
  </si>
  <si>
    <t>Immediately deal 325% attack damage + 5200 points of fixed damage to monsters within the target range, Applies Vulnerable to the target, increasing damage taken by 20% for 3s.</t>
  </si>
  <si>
    <t>龙卷雨击</t>
  </si>
  <si>
    <t>Tornado Rain Strike</t>
  </si>
  <si>
    <t>feng</t>
  </si>
  <si>
    <t>Instantly deal 200% attack damage + 750 fixed damage to monsters within the target area and reduce their movement speed by 50% and takes 20% extra damage for 3 seconds.</t>
  </si>
  <si>
    <t>Instantly deal 200% attack damage + 750 fixed damage to monsters within the target area and reduce their movement speed by 50% and takes 20% extra damage  for 3 seconds.</t>
  </si>
  <si>
    <t>Immediately deal 220% attack damage + 1500 fixed damage to monsters within the target range, and reduce the target's movement speed by 50% and takes 20% extra damage for 3 seconds.</t>
  </si>
  <si>
    <t>Immediately deal 240% attack damage + 2250 fixed damage to monsters within the target range, and reduce the target's movement speed by 50%  and takes 20% extra damage for 3 seconds</t>
  </si>
  <si>
    <t>Immediately deal 260% attack damage + 3250 points of fixed damage to the monsters within the target range, and reduce the target's movement speed by 50%  and takes 20% extra damage for 3 seconds.</t>
  </si>
  <si>
    <t>Instantly deal 280% attack damage + 4250 fixed damage to monsters within the target area and reduce their movement speed by 50%  and takes 20% extra damage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</si>
  <si>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</si>
  <si>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</si>
  <si>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</si>
  <si>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</si>
  <si>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</si>
  <si>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</si>
  <si>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</si>
  <si>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</si>
  <si>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</si>
  <si>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</si>
  <si>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</si>
  <si>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</si>
  <si>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</si>
  <si>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</si>
  <si>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</si>
  <si>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</si>
  <si>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</si>
  <si>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</si>
  <si>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</si>
  <si>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</si>
  <si>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</si>
  <si>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</si>
  <si>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</si>
  <si>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</si>
  <si>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</si>
  <si>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</si>
  <si>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</si>
  <si>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</si>
  <si>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</si>
  <si>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</si>
  <si>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</si>
  <si>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</si>
  <si>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</si>
  <si>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</si>
  <si>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</si>
  <si>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</si>
  <si>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</si>
  <si>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</si>
  <si>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</si>
  <si>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</si>
  <si>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</si>
  <si>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</si>
  <si>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</si>
  <si>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</si>
  <si>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</si>
  <si>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</si>
  <si>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</si>
  <si>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</si>
  <si>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</si>
  <si>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</si>
  <si>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</si>
  <si>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</si>
  <si>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</si>
  <si>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</si>
  <si>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</si>
  <si>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</si>
  <si>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</si>
  <si>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</si>
  <si>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</si>
  <si>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</si>
  <si>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</si>
  <si>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</si>
  <si>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</si>
  <si>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</si>
  <si>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</si>
  <si>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</si>
  <si>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</si>
  <si>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</si>
  <si>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</si>
  <si>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</si>
  <si>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</si>
  <si>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</si>
  <si>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</si>
  <si>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</si>
  <si>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</si>
  <si>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</si>
  <si>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</si>
  <si>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</si>
  <si>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</si>
  <si>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</si>
  <si>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</si>
  <si>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</si>
  <si>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</si>
  <si>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</si>
  <si>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</si>
  <si>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</si>
  <si>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</si>
  <si>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</si>
  <si>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</si>
  <si>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</si>
  <si>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</si>
  <si>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</si>
  <si>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</si>
  <si>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</si>
  <si>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</si>
  <si>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</si>
  <si>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</si>
  <si>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</si>
  <si>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</si>
  <si>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</si>
  <si>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</si>
  <si>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</si>
  <si>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</si>
  <si>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</si>
  <si>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</si>
  <si>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</si>
  <si>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</si>
  <si>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</si>
  <si>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</si>
  <si>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</si>
  <si>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</si>
  <si>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</si>
  <si>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</si>
  <si>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</si>
  <si>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</si>
  <si>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</si>
  <si>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</si>
  <si>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</si>
  <si>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</si>
  <si>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</si>
  <si>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</si>
  <si>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</si>
  <si>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</si>
  <si>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</si>
  <si>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</si>
  <si>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</si>
  <si>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</si>
  <si>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</si>
  <si>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</si>
  <si>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</si>
  <si>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</si>
  <si>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</si>
  <si>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</si>
  <si>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</si>
  <si>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</si>
  <si>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</si>
  <si>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</si>
  <si>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</si>
  <si>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</si>
  <si>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</si>
  <si>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</si>
  <si>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</si>
  <si>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</si>
  <si>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</si>
  <si>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</si>
  <si>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</si>
  <si>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</si>
  <si>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</si>
  <si>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</si>
  <si>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</si>
  <si>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</si>
  <si>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</si>
  <si>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</si>
  <si>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</si>
  <si>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</si>
  <si>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</si>
  <si>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</si>
  <si>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</si>
  <si>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</si>
  <si>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</si>
  <si>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</si>
  <si>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</si>
  <si>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</si>
  <si>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</si>
  <si>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</si>
  <si>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</si>
  <si>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</si>
  <si>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</si>
  <si>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</si>
  <si>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</si>
  <si>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</si>
  <si>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</si>
  <si>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</si>
  <si>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</si>
  <si>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</si>
  <si>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</si>
  <si>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</si>
  <si>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</si>
  <si>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</si>
  <si>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</si>
  <si>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</si>
  <si>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</si>
  <si>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</si>
  <si>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</si>
  <si>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</si>
  <si>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</si>
  <si>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</si>
  <si>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</si>
  <si>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</si>
  <si>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</si>
  <si>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</si>
  <si>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</si>
  <si>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</si>
  <si>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</si>
  <si>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</si>
  <si>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</si>
  <si>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</si>
  <si>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</si>
  <si>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</si>
  <si>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</si>
  <si>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</si>
  <si>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</si>
  <si>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</si>
  <si>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</si>
  <si>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</si>
  <si>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</si>
  <si>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</si>
  <si>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</si>
  <si>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</si>
  <si>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</si>
  <si>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</si>
  <si>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</si>
  <si>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</si>
  <si>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</si>
  <si>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</si>
  <si>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</si>
  <si>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</si>
  <si>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</si>
  <si>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</si>
  <si>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</si>
  <si>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</si>
  <si>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</si>
  <si>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</si>
  <si>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</si>
  <si>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</si>
  <si>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</si>
  <si>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</si>
  <si>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</si>
  <si>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</si>
  <si>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</si>
  <si>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</si>
  <si>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</si>
  <si>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</si>
  <si>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</si>
  <si>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</si>
  <si>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</si>
  <si>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</si>
  <si>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</si>
  <si>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</si>
  <si>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</si>
  <si>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</si>
  <si>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</si>
  <si>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</si>
  <si>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</si>
  <si>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</si>
  <si>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</si>
  <si>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</si>
  <si>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</si>
  <si>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</si>
  <si>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</si>
  <si>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</si>
  <si>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</si>
  <si>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</si>
  <si>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</si>
  <si>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</si>
  <si>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</si>
  <si>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</si>
  <si>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</si>
  <si>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</si>
  <si>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</si>
  <si>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</si>
  <si>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</si>
  <si>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</si>
  <si>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</si>
  <si>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</si>
  <si>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</si>
  <si>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</si>
  <si>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</si>
  <si>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</si>
  <si>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</si>
  <si>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</si>
  <si>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</si>
  <si>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</si>
  <si>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</si>
  <si>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</si>
  <si>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</si>
  <si>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</si>
  <si>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</si>
  <si>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</si>
  <si>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</si>
  <si>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</si>
  <si>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</si>
  <si>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</si>
  <si>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</si>
  <si>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</si>
  <si>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</si>
  <si>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</si>
  <si>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</si>
  <si>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</si>
  <si>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</si>
  <si>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</si>
  <si>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</si>
  <si>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</si>
  <si>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</si>
  <si>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</si>
  <si>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</si>
  <si>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</si>
  <si>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</si>
  <si>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</si>
  <si>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</si>
  <si>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</si>
  <si>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</si>
  <si>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</si>
  <si>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</si>
  <si>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</si>
  <si>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</si>
  <si>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</si>
  <si>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</si>
  <si>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</si>
  <si>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</si>
  <si>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</si>
  <si>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</si>
  <si>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</si>
  <si>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</si>
  <si>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</si>
  <si>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</si>
  <si>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火舌守卫</t>
  </si>
  <si>
    <t>Fire Tongue Guardian</t>
  </si>
  <si>
    <t>Skill_MonsterMatrix</t>
  </si>
  <si>
    <t>90000101;0;3,3,5;0.7,0.7;0.5,0.6,0.5,0.5,0.5,0,0,0,0;0,0,0,0,0</t>
  </si>
  <si>
    <t>Summon 5 Fire Tongue Guardians in the target area to assist in the battle. Each Fire Tongue is immune to magic damage and inherits 60% of the character's attack attributes. The Fire Tongue Guardians cannot move but have a relatively high attack power.</t>
  </si>
  <si>
    <t>Summon 6 Fire Tongue Guardians in the target area to assist in the battle. Each Fire Tongue is immune to magic damage and inherits 60% of the character's attack attributes. The Fire Tongue Guardians cannot move but have a relatively high attack power.</t>
  </si>
  <si>
    <t>Summon 7 Fire Tongue Guardians in the target area to assist in the battle. Each Fire Tongue is immune to magic damage and inherits 60% of the character's attack attributes. The Fire Tongue Guardians cannot move but have a relatively high attack power.</t>
  </si>
  <si>
    <t>Summon 8 Fire Tongue Guardians in the target area to assist in the battle. Each Fire Tongue is immune to magic damage and inherits 60% of the character's attack attributes. The Fire Tongue Guardians cannot move but have a relatively high attack power.</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</si>
  <si>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</si>
  <si>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</si>
  <si>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</si>
  <si>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</si>
  <si>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</si>
  <si>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</si>
  <si>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</si>
  <si>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</si>
  <si>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</si>
  <si>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</si>
  <si>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</si>
  <si>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</si>
  <si>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</si>
  <si>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</si>
  <si>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</si>
  <si>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</si>
  <si>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</si>
  <si>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</si>
  <si>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</si>
  <si>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</si>
  <si>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</si>
  <si>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</si>
  <si>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</si>
  <si>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</si>
  <si>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</si>
  <si>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</si>
  <si>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</si>
  <si>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</si>
  <si>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</si>
  <si>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</si>
  <si>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</si>
  <si>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</si>
  <si>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</si>
  <si>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</si>
  <si>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</si>
  <si>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</si>
  <si>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</si>
  <si>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</si>
  <si>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</si>
  <si>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</si>
  <si>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</si>
  <si>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</si>
  <si>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</si>
  <si>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</si>
  <si>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</si>
  <si>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</si>
  <si>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</si>
  <si>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</si>
  <si>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</si>
  <si>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</si>
  <si>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</si>
  <si>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</si>
  <si>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</si>
  <si>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</si>
  <si>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</si>
  <si>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</si>
  <si>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</si>
  <si>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</si>
  <si>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</si>
  <si>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</si>
  <si>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</si>
  <si>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</si>
  <si>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</si>
  <si>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</si>
  <si>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</si>
  <si>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</si>
  <si>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</si>
  <si>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</si>
  <si>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</si>
  <si>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</si>
  <si>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</si>
  <si>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</si>
  <si>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</si>
  <si>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</si>
  <si>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</si>
  <si>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</si>
  <si>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</si>
  <si>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</si>
  <si>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</si>
  <si>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</si>
  <si>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</si>
  <si>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</si>
  <si>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</si>
  <si>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</si>
  <si>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</si>
  <si>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</si>
  <si>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</si>
  <si>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</si>
  <si>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</si>
  <si>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</si>
  <si>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</si>
  <si>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</si>
  <si>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</si>
  <si>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</si>
  <si>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</si>
  <si>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</si>
  <si>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</si>
  <si>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</si>
  <si>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</si>
  <si>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</si>
  <si>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</si>
  <si>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</si>
  <si>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</si>
  <si>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</si>
  <si>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</si>
  <si>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</si>
  <si>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</si>
  <si>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</si>
  <si>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</si>
  <si>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</si>
  <si>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</si>
  <si>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</si>
  <si>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</si>
  <si>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</si>
  <si>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</si>
  <si>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</si>
  <si>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</si>
  <si>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</si>
  <si>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</si>
  <si>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</si>
  <si>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</si>
  <si>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</si>
  <si>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</si>
  <si>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</si>
  <si>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</si>
  <si>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</si>
  <si>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</si>
  <si>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</si>
  <si>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</si>
  <si>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</si>
  <si>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</si>
  <si>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</si>
  <si>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</si>
  <si>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</si>
  <si>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</si>
  <si>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</si>
  <si>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</si>
  <si>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</si>
  <si>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</si>
  <si>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</si>
  <si>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</si>
  <si>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</si>
  <si>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</si>
  <si>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</si>
  <si>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</si>
  <si>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</si>
  <si>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</si>
  <si>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</si>
  <si>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</si>
  <si>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</si>
  <si>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</si>
  <si>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</si>
  <si>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</si>
  <si>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</si>
  <si>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</si>
  <si>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</si>
  <si>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</si>
  <si>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</si>
  <si>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</si>
  <si>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</si>
  <si>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</si>
  <si>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</si>
  <si>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</si>
  <si>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</si>
  <si>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</si>
  <si>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</si>
  <si>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</si>
  <si>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</si>
  <si>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</si>
  <si>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</si>
  <si>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</si>
  <si>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</si>
  <si>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</si>
  <si>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</si>
  <si>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</si>
  <si>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</si>
  <si>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</si>
  <si>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</si>
  <si>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</si>
  <si>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</si>
  <si>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</si>
  <si>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</si>
  <si>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</si>
  <si>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</si>
  <si>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</si>
  <si>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</si>
  <si>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</si>
  <si>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</si>
  <si>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</si>
  <si>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</si>
  <si>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</si>
  <si>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</si>
  <si>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</si>
  <si>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</si>
  <si>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</si>
  <si>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</si>
  <si>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</si>
  <si>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</si>
  <si>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</si>
  <si>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</si>
  <si>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</si>
  <si>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</si>
  <si>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</si>
  <si>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</si>
  <si>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</si>
  <si>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</si>
  <si>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</si>
  <si>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</si>
  <si>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</si>
  <si>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</si>
  <si>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</si>
  <si>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</si>
  <si>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</si>
  <si>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</si>
  <si>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</si>
  <si>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</si>
  <si>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</si>
  <si>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</si>
  <si>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</si>
  <si>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</si>
  <si>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</si>
  <si>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</si>
  <si>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</si>
  <si>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</si>
  <si>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</si>
  <si>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</si>
  <si>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</si>
  <si>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</si>
  <si>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</si>
  <si>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</si>
  <si>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</si>
  <si>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</si>
  <si>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</si>
  <si>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</si>
  <si>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</si>
  <si>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</si>
  <si>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</si>
  <si>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</si>
  <si>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</si>
  <si>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</si>
  <si>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</si>
  <si>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</si>
  <si>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</si>
  <si>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</si>
  <si>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</si>
  <si>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</si>
  <si>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</si>
  <si>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</si>
  <si>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</si>
  <si>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</si>
  <si>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</si>
  <si>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</si>
  <si>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</si>
  <si>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</si>
  <si>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</si>
  <si>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</si>
  <si>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</si>
  <si>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</si>
  <si>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</si>
  <si>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</si>
  <si>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</si>
  <si>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</si>
  <si>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</si>
  <si>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</si>
  <si>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</si>
  <si>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</si>
  <si>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</si>
  <si>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</si>
  <si>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</si>
  <si>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</si>
  <si>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</si>
  <si>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</si>
  <si>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</si>
  <si>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</si>
  <si>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</si>
  <si>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</si>
  <si>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</si>
  <si>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</si>
  <si>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</si>
  <si>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</si>
  <si>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</si>
  <si>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</si>
  <si>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</si>
  <si>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</si>
  <si>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</si>
  <si>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</si>
  <si>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</si>
  <si>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</si>
  <si>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</si>
  <si>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</si>
  <si>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</si>
  <si>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</si>
  <si>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</si>
  <si>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</si>
  <si>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</si>
  <si>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</si>
  <si>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</si>
  <si>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</si>
  <si>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</si>
  <si>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</si>
  <si>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</si>
  <si>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</si>
  <si>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</si>
  <si>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</si>
  <si>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</si>
  <si>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</si>
  <si>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</si>
  <si>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</si>
  <si>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</si>
  <si>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</si>
  <si>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</si>
  <si>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</si>
  <si>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</si>
  <si>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</si>
  <si>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</si>
  <si>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</si>
  <si>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</si>
  <si>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</si>
  <si>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</si>
  <si>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</si>
  <si>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</si>
  <si>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</si>
  <si>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</si>
  <si>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</si>
  <si>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</si>
  <si>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</si>
  <si>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</si>
  <si>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</si>
  <si>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</si>
  <si>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</si>
  <si>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</si>
  <si>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</si>
  <si>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</si>
  <si>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</si>
  <si>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</si>
  <si>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</si>
  <si>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</si>
  <si>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</si>
  <si>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</si>
  <si>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</si>
  <si>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</si>
  <si>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</si>
  <si>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</si>
  <si>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</si>
  <si>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</si>
  <si>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</si>
  <si>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</si>
  <si>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</si>
  <si>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</si>
  <si>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Immediately jumps to the target area and deals 200% attack damage + 750 fixed damage to its monster, leaving the target vacant for 1 second, Grants Vulnerable effect: Target takes 20% extra damage for 3s.</t>
  </si>
  <si>
    <t>Immediately jumps to the target area and deals 225% attack damage + 1500 fixed damage to its monster, leaving the target vacant for 1 second, Grants Vulnerable effect: Target takes 20% extra damage for 3s.</t>
  </si>
  <si>
    <t>Immediately jumps to the target area and deals 250% attack damage + 2250 fixed damage to its monster, leaving the target vacant for 1 second, Grants Vulnerable effect: Target takes 20% extra damage for 3s.</t>
  </si>
  <si>
    <t>裂空之击</t>
  </si>
  <si>
    <t>Ripper strike</t>
  </si>
  <si>
    <t>Instantly deals 300% attack damage + 1800 fixed damage to monsters in the area ahead</t>
  </si>
  <si>
    <t>Instantly deals 350% attack damage + 3600 fixed damage to monsters in the area ahead</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</si>
  <si>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</si>
  <si>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</si>
  <si>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</si>
  <si>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</si>
  <si>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</si>
  <si>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</si>
  <si>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</si>
  <si>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</si>
  <si>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</si>
  <si>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</si>
  <si>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</si>
  <si>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</si>
  <si>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</si>
  <si>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</si>
  <si>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</si>
  <si>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</si>
  <si>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</si>
  <si>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</si>
  <si>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</si>
  <si>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</si>
  <si>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</si>
  <si>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</si>
  <si>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</si>
  <si>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</si>
  <si>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</si>
  <si>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</si>
  <si>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</si>
  <si>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</si>
  <si>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</si>
  <si>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</si>
  <si>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</si>
  <si>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92041020,92041023,92041027</t>
  </si>
  <si>
    <t>92041020,92041024,92041027</t>
  </si>
  <si>
    <t>92041020,92041025,92041027</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</si>
  <si>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</si>
  <si>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</si>
  <si>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</si>
  <si>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</si>
  <si>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</si>
  <si>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</si>
  <si>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</si>
  <si>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</si>
  <si>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</si>
  <si>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</si>
  <si>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</si>
  <si>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</si>
  <si>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</si>
  <si>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</si>
  <si>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</si>
  <si>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</si>
  <si>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</si>
  <si>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</si>
  <si>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</si>
  <si>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</si>
  <si>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</si>
  <si>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</si>
  <si>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</si>
  <si>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</si>
  <si>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</si>
  <si>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</si>
  <si>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</si>
  <si>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</si>
  <si>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</si>
  <si>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</si>
  <si>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</si>
  <si>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</si>
  <si>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</si>
  <si>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</si>
  <si>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</si>
  <si>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</si>
  <si>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</si>
  <si>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唤灵之契</t>
  </si>
  <si>
    <t>The Pact of Summoning</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</si>
  <si>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</si>
  <si>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</si>
  <si>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</si>
  <si>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90000102;0;1,1,1;0.7,0.7;0.5,1.15,0.5,0.5,0.5,0,0,0,0;0,0,0,0,0</t>
  </si>
  <si>
    <t>在目标区域召唤唤灵协助自己战斗,唤灵之身魔法免疫且继承角色115%攻击属性,自身无法移动但拥有最快的攻击速度。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</si>
  <si>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</si>
  <si>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90000102;0;1,1,1;0.7,0.7;0.5,1.3,0.5,0.5,0.5,0,0,0,0;0,0,0,0,0</t>
  </si>
  <si>
    <t>在目标区域召唤唤灵协助自己战斗,唤灵之身魔法免疫且继承角色130%攻击属性,自身无法移动但拥有最快的攻击速度。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</si>
  <si>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</si>
  <si>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90000102;0;1,1,1;0.7,0.7;0.5,1.45,0.5,0.5,0.5,0,0,0,0;0,0,0,0,0</t>
  </si>
  <si>
    <t>在目标区域召唤唤灵协助自己战斗,唤灵之身魔法免疫且继承角色145%攻击属性,自身无法移动但拥有最快的攻击速度。</t>
  </si>
  <si>
    <t>90000102;0;1,1,1;0.7,0.7;0.5,1.6,0.5,0.5,0.5,0,0,0,0;0,0,0,0,0</t>
  </si>
  <si>
    <t>在目标区域召唤唤灵协助自己战斗,唤灵之身魔法免疫且继承角色160%攻击属性,自身无法移动但拥有最快的攻击速度。</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</si>
  <si>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</si>
  <si>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</si>
  <si>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</si>
  <si>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</si>
  <si>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</si>
  <si>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</si>
  <si>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</si>
  <si>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</si>
  <si>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</si>
  <si>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</si>
  <si>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</si>
  <si>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</si>
  <si>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</si>
  <si>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</si>
  <si>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</si>
  <si>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</si>
  <si>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</si>
  <si>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Immediately jumps to the target area and deals 200% attack damage + 750 fixed damage to its monster, leaving the target vacant for 1 second</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</si>
  <si>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</si>
  <si>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</si>
  <si>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</si>
  <si>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</si>
  <si>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</si>
  <si>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</si>
  <si>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</si>
  <si>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92041050,92041053,92041056,92041057,92041058,92041059</t>
  </si>
  <si>
    <t>提升己方所有单位200%的攻击速度和30%攻击，并额外提升20%命中和10%暴击，暴击后伤害额外再提升20%，持续6秒。</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</si>
  <si>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</si>
  <si>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</si>
  <si>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</si>
  <si>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</si>
  <si>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</si>
  <si>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</si>
  <si>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</si>
  <si>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</si>
  <si>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</si>
  <si>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1;0.3;0.5</t>
  </si>
  <si>
    <t>逆转之力</t>
  </si>
  <si>
    <t>Force of reversal</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</si>
  <si>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</si>
  <si>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</si>
  <si>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</si>
  <si>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</si>
  <si>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</si>
  <si>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</si>
  <si>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</si>
  <si>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</si>
  <si>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</si>
  <si>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</si>
  <si>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</si>
  <si>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</si>
  <si>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</si>
  <si>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</si>
  <si>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</si>
  <si>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</si>
  <si>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</si>
  <si>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</si>
  <si>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</si>
  <si>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</si>
  <si>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</si>
  <si>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</si>
  <si>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</si>
  <si>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</si>
  <si>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</si>
  <si>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</si>
  <si>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</si>
  <si>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</si>
  <si>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</si>
  <si>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</si>
  <si>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</si>
  <si>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</si>
  <si>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</si>
  <si>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</si>
  <si>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</si>
  <si>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</si>
  <si>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</si>
  <si>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</si>
  <si>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</si>
  <si>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</si>
  <si>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</si>
  <si>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</si>
  <si>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</si>
  <si>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</si>
  <si>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</si>
  <si>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</si>
  <si>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</si>
  <si>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</si>
  <si>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</si>
  <si>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</si>
  <si>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</si>
  <si>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</si>
  <si>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</si>
  <si>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</si>
  <si>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</si>
  <si>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</si>
  <si>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</si>
  <si>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</si>
  <si>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</si>
  <si>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</si>
  <si>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</si>
  <si>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</si>
  <si>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</si>
  <si>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</si>
  <si>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</si>
  <si>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</si>
  <si>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</si>
  <si>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</si>
  <si>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</si>
  <si>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</si>
  <si>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</si>
  <si>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</si>
  <si>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</si>
  <si>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</si>
  <si>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</si>
  <si>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</si>
  <si>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</si>
  <si>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</si>
  <si>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</si>
  <si>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</si>
  <si>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</si>
  <si>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</si>
  <si>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</si>
  <si>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</si>
  <si>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</si>
  <si>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</si>
  <si>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</si>
  <si>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</si>
  <si>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</si>
  <si>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</si>
  <si>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</si>
  <si>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</si>
  <si>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</si>
  <si>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</si>
  <si>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</si>
  <si>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</si>
  <si>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</si>
  <si>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</si>
  <si>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</si>
  <si>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</si>
  <si>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</si>
  <si>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</si>
  <si>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</si>
  <si>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</si>
  <si>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</si>
  <si>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</si>
  <si>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</si>
  <si>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</si>
  <si>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</si>
  <si>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</si>
  <si>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</si>
  <si>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</si>
  <si>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</si>
  <si>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</si>
  <si>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</si>
  <si>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</si>
  <si>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</si>
  <si>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</si>
  <si>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</si>
  <si>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</si>
  <si>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</si>
  <si>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</si>
  <si>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</si>
  <si>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</si>
  <si>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</si>
  <si>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</si>
  <si>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</si>
  <si>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</si>
  <si>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</si>
  <si>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</si>
  <si>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</si>
  <si>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</si>
  <si>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</si>
  <si>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</si>
  <si>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</si>
  <si>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</si>
  <si>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</si>
  <si>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</si>
  <si>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</si>
  <si>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</si>
  <si>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</si>
  <si>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</si>
  <si>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</si>
  <si>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</si>
  <si>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每次闪避目标攻击将对目标造成150%攻击伤害</t>
  </si>
  <si>
    <t>Each time you dodge an attack from the target, you will deal 150%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</si>
  <si>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</si>
  <si>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</si>
  <si>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</si>
  <si>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</si>
  <si>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</si>
  <si>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</si>
  <si>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</si>
  <si>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</si>
  <si>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</si>
  <si>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</si>
  <si>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</si>
  <si>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</si>
  <si>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</si>
  <si>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</si>
  <si>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</si>
  <si>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</si>
  <si>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</si>
  <si>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</si>
  <si>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</si>
  <si>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</si>
  <si>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</si>
  <si>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</si>
  <si>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</si>
  <si>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</si>
  <si>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</si>
  <si>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</si>
  <si>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</si>
  <si>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</si>
  <si>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</si>
  <si>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</si>
  <si>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</si>
  <si>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</si>
  <si>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</si>
  <si>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</si>
  <si>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</si>
  <si>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</si>
  <si>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</si>
  <si>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</si>
  <si>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</si>
  <si>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</si>
  <si>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</si>
  <si>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</si>
  <si>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</si>
  <si>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</si>
  <si>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</si>
  <si>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</si>
  <si>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</si>
  <si>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</si>
  <si>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</si>
  <si>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</si>
  <si>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</si>
  <si>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</si>
  <si>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</si>
  <si>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</si>
  <si>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</si>
  <si>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</si>
  <si>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</si>
  <si>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</si>
  <si>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</si>
  <si>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</si>
  <si>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</si>
  <si>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</si>
  <si>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</si>
  <si>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</si>
  <si>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</si>
  <si>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</si>
  <si>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</si>
  <si>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</si>
  <si>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</si>
  <si>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</si>
  <si>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</si>
  <si>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</si>
  <si>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</si>
  <si>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</si>
  <si>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</si>
  <si>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</si>
  <si>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</si>
  <si>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</si>
  <si>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</si>
  <si>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</si>
  <si>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</si>
  <si>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</si>
  <si>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立即对目标及其范围造成300%+1000点伤害,如果目标生命低于50%,则最终技能伤害再提升50%</t>
  </si>
  <si>
    <t>Immediately deal 300% + 1000 damage to the target and its range, If the target's HP is below 50%, the final skill damage will be boosted by an extra 50%.</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</si>
  <si>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</si>
  <si>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</si>
  <si>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</si>
  <si>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</si>
  <si>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</si>
  <si>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</si>
  <si>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</si>
  <si>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</si>
  <si>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</si>
  <si>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</si>
  <si>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</si>
  <si>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</si>
  <si>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</si>
  <si>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</si>
  <si>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</si>
  <si>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</si>
  <si>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</si>
  <si>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</si>
  <si>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</si>
  <si>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</si>
  <si>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</si>
  <si>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</si>
  <si>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</si>
  <si>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</si>
  <si>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</si>
  <si>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</si>
  <si>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</si>
  <si>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</si>
  <si>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</si>
  <si>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</si>
  <si>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</si>
  <si>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</si>
  <si>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</si>
  <si>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</si>
  <si>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</si>
  <si>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</si>
  <si>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</si>
  <si>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</si>
  <si>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</si>
  <si>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92000054,92000055</t>
  </si>
  <si>
    <t>爆炸</t>
  </si>
  <si>
    <t>普攻属性</t>
  </si>
  <si>
    <t>202703,0.1</t>
  </si>
  <si>
    <t>普攻提升10%</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</si>
  <si>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</si>
  <si>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</si>
  <si>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</si>
  <si>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</si>
  <si>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</si>
  <si>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</si>
  <si>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</si>
  <si>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</si>
  <si>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</si>
  <si>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</si>
  <si>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</si>
  <si>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</si>
  <si>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</si>
  <si>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</si>
  <si>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</si>
  <si>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</si>
  <si>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</si>
  <si>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</si>
  <si>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</si>
  <si>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</si>
  <si>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</si>
  <si>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</si>
  <si>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</si>
  <si>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</si>
  <si>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</si>
  <si>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</si>
  <si>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</si>
  <si>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</si>
  <si>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</si>
  <si>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</si>
  <si>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</si>
  <si>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</si>
  <si>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</si>
  <si>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</si>
  <si>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</si>
  <si>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</si>
  <si>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</si>
  <si>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</si>
  <si>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</si>
  <si>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</si>
  <si>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</si>
  <si>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</si>
  <si>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</si>
  <si>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</si>
  <si>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</si>
  <si>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</si>
  <si>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</si>
  <si>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</si>
  <si>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</si>
  <si>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</si>
  <si>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</si>
  <si>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</si>
  <si>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</si>
  <si>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</si>
  <si>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</si>
  <si>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</si>
  <si>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</si>
  <si>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</si>
  <si>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</si>
  <si>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</si>
  <si>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</si>
  <si>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</si>
  <si>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</si>
  <si>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</si>
  <si>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</si>
  <si>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</si>
  <si>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</si>
  <si>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</si>
  <si>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</si>
  <si>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</si>
  <si>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</si>
  <si>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</si>
  <si>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</si>
  <si>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</si>
  <si>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</si>
  <si>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</si>
  <si>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</si>
  <si>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</si>
  <si>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</si>
  <si>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</si>
  <si>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</si>
  <si>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</si>
  <si>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</si>
  <si>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</si>
  <si>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</si>
  <si>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</si>
  <si>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</si>
  <si>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</si>
  <si>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</si>
  <si>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</si>
  <si>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</si>
  <si>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</si>
  <si>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</si>
  <si>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</si>
  <si>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</si>
  <si>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</si>
  <si>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</si>
  <si>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</si>
  <si>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</si>
  <si>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</si>
  <si>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</si>
  <si>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</si>
  <si>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</si>
  <si>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</si>
  <si>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</si>
  <si>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</si>
  <si>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</si>
  <si>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</si>
  <si>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</si>
  <si>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</si>
  <si>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</si>
  <si>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</si>
  <si>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</si>
  <si>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</si>
  <si>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</si>
  <si>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</si>
  <si>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</si>
  <si>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</si>
  <si>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</si>
  <si>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</si>
  <si>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</si>
  <si>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</si>
  <si>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</si>
  <si>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</si>
  <si>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</si>
  <si>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</si>
  <si>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</si>
  <si>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</si>
  <si>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</si>
  <si>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</si>
  <si>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</si>
  <si>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</si>
  <si>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</si>
  <si>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</si>
  <si>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</si>
  <si>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</si>
  <si>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</si>
  <si>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</si>
  <si>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</si>
  <si>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</si>
  <si>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</si>
  <si>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</si>
  <si>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</si>
  <si>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</si>
  <si>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</si>
  <si>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</si>
  <si>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</si>
  <si>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</si>
  <si>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</si>
  <si>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</si>
  <si>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</si>
  <si>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</si>
  <si>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</si>
  <si>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</si>
  <si>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</si>
  <si>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</si>
  <si>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</si>
  <si>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</si>
  <si>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</si>
  <si>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</si>
  <si>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</si>
  <si>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</si>
  <si>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</si>
  <si>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</si>
  <si>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</si>
  <si>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</si>
  <si>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</si>
  <si>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</si>
  <si>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</si>
  <si>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</si>
  <si>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</si>
  <si>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</si>
  <si>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</si>
  <si>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</si>
  <si>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</si>
  <si>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</si>
  <si>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</si>
  <si>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</si>
  <si>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</si>
  <si>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</si>
  <si>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</si>
  <si>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</si>
  <si>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</si>
  <si>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</si>
  <si>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</si>
  <si>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</si>
  <si>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</si>
  <si>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</si>
  <si>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</si>
  <si>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</si>
  <si>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</si>
  <si>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</si>
  <si>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</si>
  <si>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</si>
  <si>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</si>
  <si>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</si>
  <si>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</si>
  <si>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</si>
  <si>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</si>
  <si>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</si>
  <si>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</si>
  <si>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</si>
  <si>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</si>
  <si>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</si>
  <si>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</si>
  <si>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</si>
  <si>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</si>
  <si>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</si>
  <si>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</si>
  <si>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</si>
  <si>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</si>
  <si>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</si>
  <si>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</si>
  <si>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</si>
  <si>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</si>
  <si>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</si>
  <si>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</si>
  <si>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</si>
  <si>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</si>
  <si>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</si>
  <si>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</si>
  <si>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</si>
  <si>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</si>
  <si>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</si>
  <si>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</si>
  <si>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技能冷却时间缩减10%</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</si>
  <si>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</si>
  <si>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</si>
  <si>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</si>
  <si>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</si>
  <si>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</si>
  <si>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</si>
  <si>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</si>
  <si>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</si>
  <si>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</si>
  <si>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</si>
  <si>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</si>
  <si>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</si>
  <si>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</si>
  <si>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</si>
  <si>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</si>
  <si>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</si>
  <si>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</si>
  <si>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</si>
  <si>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</si>
  <si>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</si>
  <si>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</si>
  <si>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</si>
  <si>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</si>
  <si>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</si>
  <si>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</si>
  <si>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</si>
  <si>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</si>
  <si>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</si>
  <si>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</si>
  <si>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</si>
  <si>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</si>
  <si>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</si>
  <si>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</si>
  <si>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</si>
  <si>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</si>
  <si>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</si>
  <si>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</si>
  <si>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</si>
  <si>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</si>
  <si>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</si>
  <si>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</si>
  <si>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</si>
  <si>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</si>
  <si>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</si>
  <si>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</si>
  <si>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</si>
  <si>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</si>
  <si>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</si>
  <si>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</si>
  <si>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</si>
  <si>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</si>
  <si>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</si>
  <si>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</si>
  <si>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</si>
  <si>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</si>
  <si>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</si>
  <si>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</si>
  <si>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</si>
  <si>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</si>
  <si>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</si>
  <si>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</si>
  <si>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</si>
  <si>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</si>
  <si>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</si>
  <si>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</si>
  <si>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</si>
  <si>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</si>
  <si>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</si>
  <si>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</si>
  <si>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</si>
  <si>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</si>
  <si>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</si>
  <si>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</si>
  <si>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</si>
  <si>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</si>
  <si>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</si>
  <si>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</si>
  <si>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</si>
  <si>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</si>
  <si>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</si>
  <si>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</si>
  <si>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</si>
  <si>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</si>
  <si>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</si>
  <si>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</si>
  <si>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</si>
  <si>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</si>
  <si>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</si>
  <si>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</si>
  <si>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</si>
  <si>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</si>
  <si>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</si>
  <si>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</si>
  <si>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</si>
  <si>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</si>
  <si>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</si>
  <si>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</si>
  <si>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</si>
  <si>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</si>
  <si>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</si>
  <si>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</si>
  <si>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</si>
  <si>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</si>
  <si>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</si>
  <si>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</si>
  <si>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</si>
  <si>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</si>
  <si>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</si>
  <si>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</si>
  <si>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</si>
  <si>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</si>
  <si>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</si>
  <si>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</si>
  <si>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</si>
  <si>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</si>
  <si>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</si>
  <si>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</si>
  <si>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</si>
  <si>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</si>
  <si>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</si>
  <si>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</si>
  <si>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</si>
  <si>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</si>
  <si>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</si>
  <si>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</si>
  <si>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</si>
  <si>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</si>
  <si>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</si>
  <si>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</si>
  <si>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</si>
  <si>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</si>
  <si>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</si>
  <si>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</si>
  <si>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</si>
  <si>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</si>
  <si>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</si>
  <si>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</si>
  <si>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</si>
  <si>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</si>
  <si>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</si>
  <si>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</si>
  <si>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</si>
  <si>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</si>
  <si>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</si>
  <si>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</si>
  <si>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</si>
  <si>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</si>
  <si>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</si>
  <si>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</si>
  <si>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</si>
  <si>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</si>
  <si>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</si>
  <si>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</si>
  <si>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</si>
  <si>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</si>
  <si>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</si>
  <si>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</si>
  <si>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</si>
  <si>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</si>
  <si>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</si>
  <si>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</si>
  <si>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</si>
  <si>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</si>
  <si>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</si>
  <si>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</si>
  <si>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</si>
  <si>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</si>
  <si>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</si>
  <si>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</si>
  <si>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</si>
  <si>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</si>
  <si>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</si>
  <si>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</si>
  <si>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</si>
  <si>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</si>
  <si>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</si>
  <si>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</si>
  <si>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</si>
  <si>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</si>
  <si>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</si>
  <si>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</si>
  <si>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</si>
  <si>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</si>
  <si>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</si>
  <si>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</si>
  <si>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</si>
  <si>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</si>
  <si>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</si>
  <si>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</si>
  <si>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</si>
  <si>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</si>
  <si>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</si>
  <si>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</si>
  <si>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</si>
  <si>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</si>
  <si>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</si>
  <si>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</si>
  <si>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</si>
  <si>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</si>
  <si>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</si>
  <si>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</si>
  <si>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</si>
  <si>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</si>
  <si>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</si>
  <si>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</si>
  <si>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</si>
  <si>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</si>
  <si>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</si>
  <si>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</si>
  <si>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</si>
  <si>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</si>
  <si>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</si>
  <si>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</si>
  <si>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</si>
  <si>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</si>
  <si>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</si>
  <si>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</si>
  <si>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</si>
  <si>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</si>
  <si>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</si>
  <si>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</si>
  <si>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</si>
  <si>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</si>
  <si>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</si>
  <si>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</si>
  <si>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</si>
  <si>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</si>
  <si>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</si>
  <si>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</si>
  <si>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</si>
  <si>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</si>
  <si>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</si>
  <si>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</si>
  <si>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</si>
  <si>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</si>
  <si>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</si>
  <si>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</si>
  <si>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</si>
  <si>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</si>
  <si>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</si>
  <si>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</si>
  <si>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</si>
  <si>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</si>
  <si>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</si>
  <si>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</si>
  <si>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</si>
  <si>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</si>
  <si>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</si>
  <si>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</si>
  <si>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</si>
  <si>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</si>
  <si>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</si>
  <si>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</si>
  <si>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</si>
  <si>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</si>
  <si>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</si>
  <si>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</si>
  <si>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</si>
  <si>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</si>
  <si>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</si>
  <si>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</si>
  <si>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</si>
  <si>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</si>
  <si>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</si>
  <si>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</si>
  <si>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</si>
  <si>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</si>
  <si>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</si>
  <si>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</si>
  <si>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</si>
  <si>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</si>
  <si>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</si>
  <si>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</si>
  <si>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</si>
  <si>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</si>
  <si>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</si>
  <si>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</si>
  <si>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</si>
  <si>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</si>
  <si>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</si>
  <si>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</si>
  <si>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</si>
  <si>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</si>
  <si>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</si>
  <si>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</si>
  <si>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</si>
  <si>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</si>
  <si>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</si>
  <si>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</si>
  <si>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</si>
  <si>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</si>
  <si>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</si>
  <si>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</si>
  <si>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</si>
  <si>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</si>
  <si>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</si>
  <si>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</si>
  <si>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</si>
  <si>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</si>
  <si>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</si>
  <si>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</si>
  <si>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</si>
  <si>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</si>
  <si>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</si>
  <si>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</si>
  <si>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</si>
  <si>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</si>
  <si>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</si>
  <si>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</si>
  <si>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</si>
  <si>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</si>
  <si>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</si>
  <si>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</si>
  <si>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</si>
  <si>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</si>
  <si>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</si>
  <si>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</si>
  <si>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</si>
  <si>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</si>
  <si>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</si>
  <si>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</si>
  <si>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</si>
  <si>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</si>
  <si>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</si>
  <si>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</si>
  <si>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</si>
  <si>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</si>
  <si>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</si>
  <si>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</si>
  <si>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</si>
  <si>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</si>
  <si>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</si>
  <si>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</si>
  <si>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</si>
  <si>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</si>
  <si>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</si>
  <si>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</si>
  <si>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</si>
  <si>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</si>
  <si>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</si>
  <si>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</si>
  <si>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</si>
  <si>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</si>
  <si>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</si>
  <si>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</si>
  <si>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</si>
  <si>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</si>
  <si>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</si>
  <si>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</si>
  <si>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</si>
  <si>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</si>
  <si>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</si>
  <si>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</si>
  <si>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</si>
  <si>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</si>
  <si>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</si>
  <si>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</si>
  <si>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</si>
  <si>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</si>
  <si>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</si>
  <si>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</si>
  <si>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</si>
  <si>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</si>
  <si>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</si>
  <si>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</si>
  <si>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</si>
  <si>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</si>
  <si>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</si>
  <si>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</si>
  <si>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</si>
  <si>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</si>
  <si>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</si>
  <si>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</si>
  <si>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</si>
  <si>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</si>
  <si>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</si>
  <si>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</si>
  <si>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</si>
  <si>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</si>
  <si>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</si>
  <si>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</si>
  <si>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</si>
  <si>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</si>
  <si>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</si>
  <si>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</si>
  <si>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</si>
  <si>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</si>
  <si>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</si>
  <si>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</si>
  <si>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</si>
  <si>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</si>
  <si>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</si>
  <si>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</si>
  <si>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</si>
  <si>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</si>
  <si>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</si>
  <si>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</si>
  <si>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</si>
  <si>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</si>
  <si>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</si>
  <si>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</si>
  <si>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</si>
  <si>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</si>
  <si>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</si>
  <si>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</si>
  <si>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</si>
  <si>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</si>
  <si>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</si>
  <si>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</si>
  <si>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</si>
  <si>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</si>
  <si>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</si>
  <si>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</si>
  <si>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</si>
  <si>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</si>
  <si>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</si>
  <si>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</si>
  <si>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</si>
  <si>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</si>
  <si>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</si>
  <si>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</si>
  <si>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</si>
  <si>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</si>
  <si>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</si>
  <si>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</si>
  <si>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</si>
  <si>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</si>
  <si>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</si>
  <si>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</si>
  <si>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</si>
  <si>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</si>
  <si>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</si>
  <si>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</si>
  <si>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</si>
  <si>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</si>
  <si>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</si>
  <si>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</si>
  <si>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</si>
  <si>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</si>
  <si>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</si>
  <si>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</si>
  <si>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</si>
  <si>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</si>
  <si>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</si>
  <si>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</si>
  <si>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</si>
  <si>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</si>
  <si>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</si>
  <si>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</si>
  <si>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</si>
  <si>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</si>
  <si>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</si>
  <si>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</si>
  <si>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</si>
  <si>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</si>
  <si>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</si>
  <si>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</si>
  <si>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</si>
  <si>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</si>
  <si>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</si>
  <si>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</si>
  <si>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</si>
  <si>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</si>
  <si>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</si>
  <si>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</si>
  <si>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</si>
  <si>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</si>
  <si>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</si>
  <si>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</si>
  <si>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</si>
  <si>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</si>
  <si>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</si>
  <si>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</si>
  <si>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</si>
  <si>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</si>
  <si>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</si>
  <si>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</si>
  <si>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</si>
  <si>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</si>
  <si>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</si>
  <si>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</si>
  <si>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</si>
  <si>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</si>
  <si>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</si>
  <si>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</si>
  <si>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</si>
  <si>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</si>
  <si>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</si>
  <si>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</si>
  <si>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</si>
  <si>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</si>
  <si>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</si>
  <si>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</si>
  <si>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</si>
  <si>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</si>
  <si>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</si>
  <si>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</si>
  <si>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</si>
  <si>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</si>
  <si>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</si>
  <si>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</si>
  <si>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</si>
  <si>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</si>
  <si>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</si>
  <si>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</si>
  <si>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</si>
  <si>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</si>
  <si>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</si>
  <si>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</si>
  <si>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</si>
  <si>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</si>
  <si>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</si>
  <si>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</si>
  <si>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</si>
  <si>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</si>
  <si>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</si>
  <si>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</si>
  <si>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</si>
  <si>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</si>
  <si>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</si>
  <si>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</si>
  <si>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</si>
  <si>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</si>
  <si>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</si>
  <si>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</si>
  <si>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</si>
  <si>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</si>
  <si>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</si>
  <si>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</si>
  <si>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</si>
  <si>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</si>
  <si>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</si>
  <si>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</si>
  <si>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</si>
  <si>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</si>
  <si>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</si>
  <si>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</si>
  <si>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</si>
  <si>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</si>
  <si>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</si>
  <si>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</si>
  <si>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</si>
  <si>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</si>
  <si>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</si>
  <si>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</si>
  <si>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</si>
  <si>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</si>
  <si>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</si>
  <si>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</si>
  <si>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</si>
  <si>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</si>
  <si>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</si>
  <si>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</si>
  <si>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</si>
  <si>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</si>
  <si>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</si>
  <si>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</si>
  <si>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</si>
  <si>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</si>
  <si>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</si>
  <si>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</si>
  <si>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</si>
  <si>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</si>
  <si>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</si>
  <si>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</si>
  <si>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</si>
  <si>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</si>
  <si>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</si>
  <si>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</si>
  <si>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</si>
  <si>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</si>
  <si>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</si>
  <si>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</si>
  <si>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</si>
  <si>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</si>
  <si>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</si>
  <si>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</si>
  <si>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</si>
  <si>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</si>
  <si>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</si>
  <si>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</si>
  <si>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</si>
  <si>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</si>
  <si>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</si>
  <si>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</si>
  <si>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</si>
  <si>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</si>
  <si>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</si>
  <si>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</si>
  <si>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</si>
  <si>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</si>
  <si>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</si>
  <si>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</si>
  <si>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</si>
  <si>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</si>
  <si>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</si>
  <si>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</si>
  <si>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</si>
  <si>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</si>
  <si>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</si>
  <si>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</si>
  <si>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</si>
  <si>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</si>
  <si>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</si>
  <si>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</si>
  <si>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</si>
  <si>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</si>
  <si>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</si>
  <si>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</si>
  <si>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</si>
  <si>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</si>
  <si>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</si>
  <si>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</si>
  <si>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</si>
  <si>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</si>
  <si>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</si>
  <si>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</si>
  <si>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</si>
  <si>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</si>
  <si>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</si>
  <si>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</si>
  <si>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</si>
  <si>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</si>
  <si>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</si>
  <si>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</si>
  <si>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</si>
  <si>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</si>
  <si>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</si>
  <si>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</si>
  <si>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</si>
  <si>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</si>
  <si>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</si>
  <si>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</si>
  <si>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</si>
  <si>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</si>
  <si>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</si>
  <si>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</si>
  <si>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</si>
  <si>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</si>
  <si>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</si>
  <si>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</si>
  <si>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</si>
  <si>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</si>
  <si>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</si>
  <si>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</si>
  <si>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</si>
  <si>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</si>
  <si>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</si>
  <si>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</si>
  <si>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</si>
  <si>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</si>
  <si>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</si>
  <si>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</si>
  <si>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</si>
  <si>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</si>
  <si>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</si>
  <si>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</si>
  <si>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</si>
  <si>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</si>
  <si>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</si>
  <si>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</si>
  <si>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</si>
  <si>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</si>
  <si>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</si>
  <si>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</si>
  <si>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</si>
  <si>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</si>
  <si>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</si>
  <si>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</si>
  <si>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</si>
  <si>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</si>
  <si>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</si>
  <si>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</si>
  <si>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</si>
  <si>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</si>
  <si>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</si>
  <si>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</si>
  <si>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</si>
  <si>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</si>
  <si>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</si>
  <si>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</si>
  <si>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</si>
  <si>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</si>
  <si>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</si>
  <si>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</si>
  <si>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</si>
  <si>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</si>
  <si>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</si>
  <si>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</si>
  <si>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</si>
  <si>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</si>
  <si>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</si>
  <si>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</si>
  <si>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</si>
  <si>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</si>
  <si>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</si>
  <si>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</si>
  <si>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</si>
  <si>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</si>
  <si>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</si>
  <si>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</si>
  <si>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</si>
  <si>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</si>
  <si>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</si>
  <si>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</si>
  <si>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</si>
  <si>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</si>
  <si>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</si>
  <si>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</si>
  <si>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</si>
  <si>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</si>
  <si>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</si>
  <si>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</si>
  <si>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</si>
  <si>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</si>
  <si>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</si>
  <si>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</si>
  <si>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</si>
  <si>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</si>
  <si>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</si>
  <si>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</si>
  <si>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</si>
  <si>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</si>
  <si>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</si>
  <si>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</si>
  <si>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</si>
  <si>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</si>
  <si>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</si>
  <si>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</si>
  <si>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</si>
  <si>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</si>
  <si>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</si>
  <si>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</si>
  <si>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</si>
  <si>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</si>
  <si>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</si>
  <si>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</si>
  <si>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</si>
  <si>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</si>
  <si>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</si>
  <si>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</si>
  <si>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</si>
  <si>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</si>
  <si>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</si>
  <si>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</si>
  <si>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</si>
  <si>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</si>
  <si>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</si>
  <si>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</si>
  <si>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</si>
  <si>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</si>
  <si>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</si>
  <si>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</si>
  <si>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</si>
  <si>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</si>
  <si>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</si>
  <si>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</si>
  <si>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</si>
  <si>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</si>
  <si>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</si>
  <si>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</si>
  <si>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</si>
  <si>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</si>
  <si>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</si>
  <si>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</si>
  <si>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</si>
  <si>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</si>
  <si>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</si>
  <si>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</si>
  <si>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</si>
  <si>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</si>
  <si>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</si>
  <si>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</si>
  <si>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</si>
  <si>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</si>
  <si>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</si>
  <si>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</si>
  <si>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</si>
  <si>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</si>
  <si>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</si>
  <si>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</si>
  <si>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</si>
  <si>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</si>
  <si>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</si>
  <si>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</si>
  <si>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</si>
  <si>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</si>
  <si>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</si>
  <si>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</si>
  <si>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</si>
  <si>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</si>
  <si>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</si>
  <si>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</si>
  <si>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</si>
  <si>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</si>
  <si>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</si>
  <si>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</si>
  <si>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</si>
  <si>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</si>
  <si>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</si>
  <si>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</si>
  <si>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</si>
  <si>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</si>
  <si>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</si>
  <si>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</si>
  <si>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</si>
  <si>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</si>
  <si>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</si>
  <si>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</si>
  <si>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</si>
  <si>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</si>
  <si>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</si>
  <si>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</si>
  <si>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</si>
  <si>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</si>
  <si>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</si>
  <si>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</si>
  <si>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</si>
  <si>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</si>
  <si>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</si>
  <si>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</si>
  <si>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</si>
  <si>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</si>
  <si>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</si>
  <si>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</si>
  <si>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</si>
  <si>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</si>
  <si>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</si>
  <si>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</si>
  <si>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</si>
  <si>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</si>
  <si>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</si>
  <si>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</si>
  <si>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</si>
  <si>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</si>
  <si>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</si>
  <si>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</si>
  <si>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</si>
  <si>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</si>
  <si>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</si>
  <si>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</si>
  <si>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</si>
  <si>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</si>
  <si>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</si>
  <si>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</si>
  <si>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</si>
  <si>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</si>
  <si>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</si>
  <si>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</si>
  <si>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</si>
  <si>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</si>
  <si>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</si>
  <si>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</si>
  <si>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</si>
  <si>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</si>
  <si>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</si>
  <si>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</si>
  <si>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</si>
  <si>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</si>
  <si>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</si>
  <si>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</si>
  <si>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</si>
  <si>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</si>
  <si>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</si>
  <si>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</si>
  <si>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</si>
  <si>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</si>
  <si>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</si>
  <si>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</si>
  <si>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</si>
  <si>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</si>
  <si>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</si>
  <si>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</si>
  <si>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</si>
  <si>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</si>
  <si>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</si>
  <si>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</si>
  <si>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</si>
  <si>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</si>
  <si>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</si>
  <si>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</si>
  <si>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</si>
  <si>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</si>
  <si>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</si>
  <si>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</si>
  <si>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</si>
  <si>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</si>
  <si>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</si>
  <si>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</si>
  <si>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</si>
  <si>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</si>
  <si>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</si>
  <si>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</si>
  <si>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</si>
  <si>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</si>
  <si>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</si>
  <si>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</si>
  <si>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</si>
  <si>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</si>
  <si>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</si>
  <si>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</si>
  <si>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</si>
  <si>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</si>
  <si>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</si>
  <si>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</si>
  <si>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</si>
  <si>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</si>
  <si>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</si>
  <si>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</si>
  <si>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</si>
  <si>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</si>
  <si>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</si>
  <si>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</si>
  <si>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</si>
  <si>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</si>
  <si>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</si>
  <si>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</si>
  <si>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</si>
  <si>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</si>
  <si>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</si>
  <si>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</si>
  <si>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</si>
  <si>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</si>
  <si>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</si>
  <si>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</si>
  <si>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</si>
  <si>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</si>
  <si>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</si>
  <si>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</si>
  <si>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</si>
  <si>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</si>
  <si>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</si>
  <si>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</si>
  <si>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</si>
  <si>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</si>
  <si>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</si>
  <si>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</si>
  <si>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</si>
  <si>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</si>
  <si>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</si>
  <si>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</si>
  <si>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</si>
  <si>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</si>
  <si>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</si>
  <si>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</si>
  <si>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</si>
  <si>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</si>
  <si>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</si>
  <si>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</si>
  <si>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</si>
  <si>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</si>
  <si>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</si>
  <si>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</si>
  <si>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</si>
  <si>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</si>
  <si>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</si>
  <si>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</si>
  <si>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</si>
  <si>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</si>
  <si>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</si>
  <si>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</si>
  <si>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</si>
  <si>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</si>
  <si>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</si>
  <si>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65021102,65021103;65021103,65021104;65021104,65021105;65021105,65021106</t>
  </si>
  <si>
    <t>Laser Scan</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</si>
  <si>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</si>
  <si>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</si>
  <si>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</si>
  <si>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</si>
  <si>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</si>
  <si>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65022302,65022303;65022303,65022304;65022304,65022305;65022305,65022306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</si>
  <si>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</si>
  <si>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</si>
  <si>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</si>
  <si>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</si>
  <si>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</si>
  <si>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</si>
  <si>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</si>
  <si>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</si>
  <si>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</si>
  <si>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</si>
  <si>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</si>
  <si>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</si>
  <si>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</si>
  <si>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</si>
  <si>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</si>
  <si>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</si>
  <si>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</si>
  <si>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</si>
  <si>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</si>
  <si>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</si>
  <si>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</si>
  <si>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</si>
  <si>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</si>
  <si>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</si>
  <si>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</si>
  <si>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</si>
  <si>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</si>
  <si>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</si>
  <si>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</si>
  <si>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</si>
  <si>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</si>
  <si>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</si>
  <si>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</si>
  <si>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</si>
  <si>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</si>
  <si>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</si>
  <si>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</si>
  <si>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</si>
  <si>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</si>
  <si>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</si>
  <si>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</si>
  <si>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</si>
  <si>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</si>
  <si>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</si>
  <si>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</si>
  <si>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</si>
  <si>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</si>
  <si>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</si>
  <si>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</si>
  <si>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</si>
  <si>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</si>
  <si>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</si>
  <si>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</si>
  <si>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</si>
  <si>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</si>
  <si>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</si>
  <si>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</si>
  <si>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</si>
  <si>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</si>
  <si>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</si>
  <si>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</si>
  <si>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</si>
  <si>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</si>
  <si>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</si>
  <si>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</si>
  <si>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</si>
  <si>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</si>
  <si>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</si>
  <si>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</si>
  <si>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</si>
  <si>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</si>
  <si>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</si>
  <si>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</si>
  <si>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</si>
  <si>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</si>
  <si>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</si>
  <si>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</si>
  <si>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</si>
  <si>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</si>
  <si>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</si>
  <si>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</si>
  <si>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</si>
  <si>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</si>
  <si>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</si>
  <si>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</si>
  <si>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</si>
  <si>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</si>
  <si>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</si>
  <si>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</si>
  <si>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</si>
  <si>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</si>
  <si>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</si>
  <si>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</si>
  <si>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</si>
  <si>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</si>
  <si>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</si>
  <si>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</si>
  <si>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</si>
  <si>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</si>
  <si>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</si>
  <si>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</si>
  <si>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</si>
  <si>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</si>
  <si>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</si>
  <si>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</si>
  <si>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</si>
  <si>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</si>
  <si>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</si>
  <si>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</si>
  <si>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</si>
  <si>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</si>
  <si>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</si>
  <si>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</si>
  <si>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</si>
  <si>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</si>
  <si>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</si>
  <si>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</si>
  <si>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</si>
  <si>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</si>
  <si>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</si>
  <si>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</si>
  <si>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</si>
  <si>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</si>
  <si>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</si>
  <si>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</si>
  <si>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</si>
  <si>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</si>
  <si>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</si>
  <si>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</si>
  <si>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</si>
  <si>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</si>
  <si>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</si>
  <si>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</si>
  <si>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</si>
  <si>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</si>
  <si>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</si>
  <si>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</si>
  <si>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</si>
  <si>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</si>
  <si>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</si>
  <si>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</si>
  <si>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</si>
  <si>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</si>
  <si>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</si>
  <si>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</si>
  <si>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</si>
  <si>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</si>
  <si>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</si>
  <si>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</si>
  <si>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</si>
  <si>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</si>
  <si>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</si>
  <si>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</si>
  <si>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</si>
  <si>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</si>
  <si>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</si>
  <si>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</si>
  <si>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</si>
  <si>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</si>
  <si>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</si>
  <si>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</si>
  <si>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</si>
  <si>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</si>
  <si>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</si>
  <si>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</si>
  <si>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</si>
  <si>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</si>
  <si>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</si>
  <si>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</si>
  <si>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</si>
  <si>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</si>
  <si>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</si>
  <si>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</si>
  <si>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</si>
  <si>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</si>
  <si>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</si>
  <si>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</si>
  <si>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</si>
  <si>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</si>
  <si>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</si>
  <si>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</si>
  <si>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</si>
  <si>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</si>
  <si>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</si>
  <si>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</si>
  <si>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</si>
  <si>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</si>
  <si>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</si>
  <si>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</si>
  <si>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</si>
  <si>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</si>
  <si>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</si>
  <si>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</si>
  <si>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</si>
  <si>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</si>
  <si>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</si>
  <si>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</si>
  <si>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</si>
  <si>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</si>
  <si>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</si>
  <si>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</si>
  <si>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</si>
  <si>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</si>
  <si>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</si>
  <si>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</si>
  <si>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</si>
  <si>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</si>
  <si>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</si>
  <si>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</si>
  <si>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</si>
  <si>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</si>
  <si>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</si>
  <si>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</si>
  <si>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</si>
  <si>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</si>
  <si>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</si>
  <si>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</si>
  <si>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</si>
  <si>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</si>
  <si>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</si>
  <si>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</si>
  <si>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</si>
  <si>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</si>
  <si>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</si>
  <si>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</si>
  <si>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</si>
  <si>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</si>
  <si>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</si>
  <si>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</si>
  <si>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</si>
  <si>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</si>
  <si>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</si>
  <si>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</si>
  <si>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</si>
  <si>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</si>
  <si>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</si>
  <si>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</si>
  <si>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</si>
  <si>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</si>
  <si>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</si>
  <si>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</si>
  <si>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</si>
  <si>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</si>
  <si>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</si>
  <si>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</si>
  <si>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</si>
  <si>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</si>
  <si>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</si>
  <si>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</si>
  <si>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</si>
  <si>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</si>
  <si>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</si>
  <si>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</si>
  <si>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</si>
  <si>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</si>
  <si>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</si>
  <si>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</si>
  <si>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</si>
  <si>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</si>
  <si>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</si>
  <si>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</si>
  <si>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</si>
  <si>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</si>
  <si>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</si>
  <si>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</si>
  <si>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</si>
  <si>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</si>
  <si>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</si>
  <si>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</si>
  <si>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</si>
  <si>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</si>
  <si>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</si>
  <si>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</si>
  <si>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</si>
  <si>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</si>
  <si>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</si>
  <si>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</si>
  <si>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</si>
  <si>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</si>
  <si>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</si>
  <si>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</si>
  <si>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</si>
  <si>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</si>
  <si>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</si>
  <si>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</si>
  <si>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</si>
  <si>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</si>
  <si>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</si>
  <si>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</si>
  <si>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</si>
  <si>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</si>
  <si>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</si>
  <si>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</si>
  <si>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</si>
  <si>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</si>
  <si>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</si>
  <si>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</si>
  <si>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</si>
  <si>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</si>
  <si>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</si>
  <si>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</si>
  <si>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</si>
  <si>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</si>
  <si>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</si>
  <si>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</si>
  <si>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</si>
  <si>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</si>
  <si>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</si>
  <si>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</si>
  <si>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</si>
  <si>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</si>
  <si>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</si>
  <si>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</si>
  <si>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</si>
  <si>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</si>
  <si>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</si>
  <si>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</si>
  <si>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</si>
  <si>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</si>
  <si>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</si>
  <si>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</si>
  <si>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</si>
  <si>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</si>
  <si>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</si>
  <si>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</si>
  <si>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</si>
  <si>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</si>
  <si>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</si>
  <si>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</si>
  <si>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</si>
  <si>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</si>
  <si>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</si>
  <si>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</si>
  <si>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</si>
  <si>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</si>
  <si>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</si>
  <si>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</si>
  <si>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</si>
  <si>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</si>
  <si>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</si>
  <si>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</si>
  <si>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</si>
  <si>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</si>
  <si>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</si>
  <si>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</si>
  <si>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</si>
  <si>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</si>
  <si>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</si>
  <si>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</si>
  <si>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</si>
  <si>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</si>
  <si>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</si>
  <si>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</si>
  <si>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</si>
  <si>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</si>
  <si>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</si>
  <si>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</si>
  <si>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</si>
  <si>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</si>
  <si>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</si>
  <si>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</si>
  <si>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</si>
  <si>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</si>
  <si>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</si>
  <si>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</si>
  <si>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</si>
  <si>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</si>
  <si>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</si>
  <si>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</si>
  <si>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</si>
  <si>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</si>
  <si>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</si>
  <si>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</si>
  <si>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</si>
  <si>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</si>
  <si>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</si>
  <si>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</si>
  <si>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</si>
  <si>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</si>
  <si>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</si>
  <si>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</si>
  <si>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</si>
  <si>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</si>
  <si>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</si>
  <si>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</si>
  <si>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</si>
  <si>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</si>
  <si>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</si>
  <si>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</si>
  <si>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</si>
  <si>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</si>
  <si>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</si>
  <si>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</si>
  <si>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</si>
  <si>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</si>
  <si>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</si>
  <si>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</si>
  <si>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</si>
  <si>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</si>
  <si>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</si>
  <si>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</si>
  <si>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</si>
  <si>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</si>
  <si>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</si>
  <si>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</si>
  <si>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</si>
  <si>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</si>
  <si>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</si>
  <si>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</si>
  <si>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</si>
  <si>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</si>
  <si>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</si>
  <si>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</si>
  <si>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</si>
  <si>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</si>
  <si>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</si>
  <si>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</si>
  <si>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</si>
  <si>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</si>
  <si>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</si>
  <si>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</si>
  <si>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</si>
  <si>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</si>
  <si>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</si>
  <si>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</si>
  <si>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</si>
  <si>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</si>
  <si>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</si>
  <si>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</si>
  <si>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</si>
  <si>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</si>
  <si>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</si>
  <si>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</si>
  <si>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</si>
  <si>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</si>
  <si>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</si>
  <si>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</si>
  <si>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</si>
  <si>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</si>
  <si>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</si>
  <si>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</si>
  <si>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</si>
  <si>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</si>
  <si>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</si>
  <si>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</si>
  <si>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</si>
  <si>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</si>
  <si>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</si>
  <si>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</si>
  <si>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</si>
  <si>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</si>
  <si>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</si>
  <si>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</si>
  <si>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</si>
  <si>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</si>
  <si>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</si>
  <si>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</si>
  <si>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</si>
  <si>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</si>
  <si>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</si>
  <si>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</si>
  <si>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</si>
  <si>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</si>
  <si>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</si>
  <si>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</si>
  <si>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</si>
  <si>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</si>
  <si>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</si>
  <si>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</si>
  <si>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</si>
  <si>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</si>
  <si>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</si>
  <si>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</si>
  <si>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</si>
  <si>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</si>
  <si>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</si>
  <si>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</si>
  <si>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</si>
  <si>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</si>
  <si>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</si>
  <si>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</si>
  <si>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</si>
  <si>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</si>
  <si>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</si>
  <si>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</si>
  <si>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</si>
  <si>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</si>
  <si>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</si>
  <si>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</si>
  <si>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</si>
  <si>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</si>
  <si>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</si>
  <si>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</si>
  <si>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</si>
  <si>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</si>
  <si>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</si>
  <si>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</si>
  <si>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</si>
  <si>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</si>
  <si>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</si>
  <si>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</si>
  <si>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</si>
  <si>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</si>
  <si>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</si>
  <si>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</si>
  <si>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</si>
  <si>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</si>
  <si>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</si>
  <si>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</si>
  <si>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</si>
  <si>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</si>
  <si>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</si>
  <si>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</si>
  <si>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</si>
  <si>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</si>
  <si>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</si>
  <si>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</si>
  <si>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</si>
  <si>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</si>
  <si>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</si>
  <si>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</si>
  <si>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</si>
  <si>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</si>
  <si>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</si>
  <si>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</si>
  <si>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</si>
  <si>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</si>
  <si>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</si>
  <si>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</si>
  <si>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</si>
  <si>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</si>
  <si>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</si>
  <si>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</si>
  <si>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</si>
  <si>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</si>
  <si>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</si>
  <si>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</si>
  <si>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</si>
  <si>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</si>
  <si>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</si>
  <si>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</si>
  <si>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</si>
  <si>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</si>
  <si>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</si>
  <si>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</si>
  <si>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</si>
  <si>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</si>
  <si>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</si>
  <si>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</si>
  <si>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</si>
  <si>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</si>
  <si>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</si>
  <si>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</si>
  <si>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</si>
  <si>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</si>
  <si>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</si>
  <si>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</si>
  <si>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</si>
  <si>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</si>
  <si>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</si>
  <si>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</si>
  <si>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</si>
  <si>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</si>
  <si>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</si>
  <si>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</si>
  <si>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</si>
  <si>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</si>
  <si>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</si>
  <si>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</si>
  <si>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</si>
  <si>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</si>
  <si>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</si>
  <si>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</si>
  <si>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</si>
  <si>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</si>
  <si>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</si>
  <si>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</si>
  <si>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</si>
  <si>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</si>
  <si>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</si>
  <si>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</si>
  <si>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</si>
  <si>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</si>
  <si>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</si>
  <si>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</si>
  <si>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</si>
  <si>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</si>
  <si>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</si>
  <si>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</si>
  <si>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</si>
  <si>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</si>
  <si>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</si>
  <si>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</si>
  <si>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</si>
  <si>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</si>
  <si>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</si>
  <si>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</si>
  <si>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</si>
  <si>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</si>
  <si>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</si>
  <si>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</si>
  <si>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</si>
  <si>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</si>
  <si>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</si>
  <si>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</si>
  <si>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</si>
  <si>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</si>
  <si>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</si>
  <si>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</si>
  <si>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</si>
  <si>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</si>
  <si>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</si>
  <si>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</si>
  <si>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</si>
  <si>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</si>
  <si>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</si>
  <si>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</si>
  <si>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</si>
  <si>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</si>
  <si>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</si>
  <si>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</si>
  <si>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</si>
  <si>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</si>
  <si>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</si>
  <si>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</si>
  <si>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</si>
  <si>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</si>
  <si>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</si>
  <si>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</si>
  <si>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</si>
  <si>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</si>
  <si>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</si>
  <si>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</si>
  <si>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</si>
  <si>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</si>
  <si>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</si>
  <si>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</si>
  <si>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</si>
  <si>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</si>
  <si>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</si>
  <si>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</si>
  <si>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</si>
  <si>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</si>
  <si>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</si>
  <si>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</si>
  <si>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</si>
  <si>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</si>
  <si>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</si>
  <si>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</si>
  <si>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</si>
  <si>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</si>
  <si>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</si>
  <si>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</si>
  <si>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</si>
  <si>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</si>
  <si>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</si>
  <si>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</si>
  <si>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</si>
  <si>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</si>
  <si>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</si>
  <si>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</si>
  <si>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</si>
  <si>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</si>
  <si>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</si>
  <si>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</si>
  <si>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</si>
  <si>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</si>
  <si>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</si>
  <si>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</si>
  <si>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</si>
  <si>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</si>
  <si>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</si>
  <si>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</si>
  <si>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</si>
  <si>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</si>
  <si>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</si>
  <si>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</si>
  <si>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</si>
  <si>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</si>
  <si>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</si>
  <si>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</si>
  <si>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</si>
  <si>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</si>
  <si>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</si>
  <si>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</si>
  <si>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</si>
  <si>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</si>
  <si>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</si>
  <si>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</si>
  <si>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</si>
  <si>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</si>
  <si>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</si>
  <si>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</si>
  <si>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</si>
  <si>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</si>
  <si>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</si>
  <si>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</si>
  <si>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</si>
  <si>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</si>
  <si>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</si>
  <si>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</si>
  <si>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</si>
  <si>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</si>
  <si>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</si>
  <si>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</si>
  <si>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</si>
  <si>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</si>
  <si>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</si>
  <si>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</si>
  <si>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</si>
  <si>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</si>
  <si>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</si>
  <si>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</si>
  <si>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</si>
  <si>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</si>
  <si>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</si>
  <si>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</si>
  <si>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</si>
  <si>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</si>
  <si>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</si>
  <si>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</si>
  <si>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</si>
  <si>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</si>
  <si>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</si>
  <si>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</si>
  <si>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</si>
  <si>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</si>
  <si>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</si>
  <si>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</si>
  <si>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</si>
  <si>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</si>
  <si>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</si>
  <si>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</si>
  <si>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</si>
  <si>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</si>
  <si>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</si>
  <si>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</si>
  <si>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</si>
  <si>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</si>
  <si>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</si>
  <si>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</si>
  <si>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</si>
  <si>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</si>
  <si>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</si>
  <si>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</si>
  <si>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</si>
  <si>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</si>
  <si>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</si>
  <si>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</si>
  <si>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</si>
  <si>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</si>
  <si>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</si>
  <si>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</si>
  <si>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</si>
  <si>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</si>
  <si>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</si>
  <si>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</si>
  <si>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</si>
  <si>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</si>
  <si>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</si>
  <si>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</si>
  <si>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</si>
  <si>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</si>
  <si>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</si>
  <si>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</si>
  <si>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</si>
  <si>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</si>
  <si>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</si>
  <si>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</si>
  <si>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</si>
  <si>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</si>
  <si>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</si>
  <si>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</si>
  <si>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</si>
  <si>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</si>
  <si>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</si>
  <si>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</si>
  <si>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</si>
  <si>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</si>
  <si>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</si>
  <si>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</si>
  <si>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</si>
  <si>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</si>
  <si>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</si>
  <si>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</si>
  <si>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</si>
  <si>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</si>
  <si>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</si>
  <si>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</si>
  <si>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</si>
  <si>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</si>
  <si>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</si>
  <si>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</si>
  <si>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</si>
  <si>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</si>
  <si>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</si>
  <si>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</si>
  <si>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</si>
  <si>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</si>
  <si>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</si>
  <si>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</si>
  <si>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</si>
  <si>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</si>
  <si>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</si>
  <si>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</si>
  <si>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</si>
  <si>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</si>
  <si>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</si>
  <si>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</si>
  <si>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</si>
  <si>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</si>
  <si>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</si>
  <si>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</si>
  <si>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</si>
  <si>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</si>
  <si>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</si>
  <si>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</si>
  <si>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</si>
  <si>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</si>
  <si>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</si>
  <si>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</si>
  <si>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</si>
  <si>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</si>
  <si>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</si>
  <si>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</si>
  <si>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</si>
  <si>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</si>
  <si>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</si>
  <si>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</si>
  <si>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</si>
  <si>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</si>
  <si>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</si>
  <si>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</si>
  <si>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</si>
  <si>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</si>
  <si>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</si>
  <si>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</si>
  <si>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</si>
  <si>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</si>
  <si>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</si>
  <si>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</si>
  <si>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</si>
  <si>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</si>
  <si>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</si>
  <si>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</si>
  <si>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</si>
  <si>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</si>
  <si>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</si>
  <si>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</si>
  <si>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</si>
  <si>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</si>
  <si>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</si>
  <si>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</si>
  <si>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</si>
  <si>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</si>
  <si>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</si>
  <si>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</si>
  <si>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</si>
  <si>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</si>
  <si>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</si>
  <si>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</si>
  <si>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</si>
  <si>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</si>
  <si>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</si>
  <si>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</si>
  <si>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</si>
  <si>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</si>
  <si>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</si>
  <si>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</si>
  <si>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</si>
  <si>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</si>
  <si>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</si>
  <si>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</si>
  <si>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</si>
  <si>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</si>
  <si>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</si>
  <si>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</si>
  <si>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</si>
  <si>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</si>
  <si>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</si>
  <si>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</si>
  <si>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</si>
  <si>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</si>
  <si>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</si>
  <si>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</si>
  <si>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</si>
  <si>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</si>
  <si>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</si>
  <si>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</si>
  <si>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</si>
  <si>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</si>
  <si>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</si>
  <si>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</si>
  <si>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</si>
  <si>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</si>
  <si>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</si>
  <si>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</si>
  <si>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</si>
  <si>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</si>
  <si>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</si>
  <si>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</si>
  <si>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</si>
  <si>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</si>
  <si>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</si>
  <si>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</si>
  <si>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</si>
  <si>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</si>
  <si>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</si>
  <si>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</si>
  <si>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</si>
  <si>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</si>
  <si>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</si>
  <si>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</si>
  <si>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</si>
  <si>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</si>
  <si>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</si>
  <si>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</si>
  <si>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</si>
  <si>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</si>
  <si>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</si>
  <si>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</si>
  <si>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</si>
  <si>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</si>
  <si>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</si>
  <si>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</si>
  <si>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</si>
  <si>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</si>
  <si>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</si>
  <si>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</si>
  <si>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</si>
  <si>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</si>
  <si>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</si>
  <si>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</si>
  <si>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</si>
  <si>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</si>
  <si>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</si>
  <si>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</si>
  <si>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</si>
  <si>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</si>
  <si>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</si>
  <si>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</si>
  <si>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</si>
  <si>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</si>
  <si>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</si>
  <si>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</si>
  <si>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</si>
  <si>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</si>
  <si>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</si>
  <si>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</si>
  <si>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</si>
  <si>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</si>
  <si>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</si>
  <si>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</si>
  <si>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</si>
  <si>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</si>
  <si>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</si>
  <si>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</si>
  <si>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</si>
  <si>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</si>
  <si>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</si>
  <si>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</si>
  <si>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</si>
  <si>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</si>
  <si>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</si>
  <si>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</si>
  <si>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</si>
  <si>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</si>
  <si>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</si>
  <si>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</si>
  <si>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</si>
  <si>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</si>
  <si>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</si>
  <si>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</si>
  <si>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</si>
  <si>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</si>
  <si>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</si>
  <si>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</si>
  <si>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</si>
  <si>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</si>
  <si>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</si>
  <si>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</si>
  <si>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</si>
  <si>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</si>
  <si>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</si>
  <si>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</si>
  <si>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</si>
  <si>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</si>
  <si>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</si>
  <si>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</si>
  <si>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</si>
  <si>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</si>
  <si>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</si>
  <si>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</si>
  <si>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</si>
  <si>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</si>
  <si>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</si>
  <si>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</si>
  <si>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</si>
  <si>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</si>
  <si>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</si>
  <si>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</si>
  <si>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</si>
  <si>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</si>
  <si>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</si>
  <si>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</si>
  <si>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</si>
  <si>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</si>
  <si>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</si>
  <si>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</si>
  <si>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</si>
  <si>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</si>
  <si>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</si>
  <si>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</si>
  <si>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</si>
  <si>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</si>
  <si>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</si>
  <si>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</si>
  <si>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</si>
  <si>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</si>
  <si>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</si>
  <si>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</si>
  <si>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</si>
  <si>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</si>
  <si>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</si>
  <si>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</si>
  <si>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</si>
  <si>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</si>
  <si>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</si>
  <si>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</si>
  <si>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</si>
  <si>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</si>
  <si>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</si>
  <si>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</si>
  <si>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</si>
  <si>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</si>
  <si>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</si>
  <si>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</si>
  <si>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</si>
  <si>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</si>
  <si>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</si>
  <si>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</si>
  <si>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</si>
  <si>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</si>
  <si>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</si>
  <si>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</si>
  <si>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</si>
  <si>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</si>
  <si>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</si>
  <si>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</si>
  <si>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</si>
  <si>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</si>
  <si>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</si>
  <si>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</si>
  <si>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</si>
  <si>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</si>
  <si>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</si>
  <si>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</si>
  <si>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</si>
  <si>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</si>
  <si>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</si>
  <si>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</si>
  <si>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</si>
  <si>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</si>
  <si>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</si>
  <si>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</si>
  <si>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</si>
  <si>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</si>
  <si>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</si>
  <si>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</si>
  <si>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</si>
  <si>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</si>
  <si>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</si>
  <si>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</si>
  <si>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</si>
  <si>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</si>
  <si>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</si>
  <si>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</si>
  <si>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</si>
  <si>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</si>
  <si>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</si>
  <si>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</si>
  <si>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</si>
  <si>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</si>
  <si>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</si>
  <si>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</si>
  <si>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</si>
  <si>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</si>
  <si>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</si>
  <si>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</si>
  <si>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</si>
  <si>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</si>
  <si>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</si>
  <si>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</si>
  <si>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</si>
  <si>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</si>
  <si>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</si>
  <si>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</si>
  <si>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</si>
  <si>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</si>
  <si>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</si>
  <si>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</si>
  <si>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</si>
  <si>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</si>
  <si>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</si>
  <si>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</si>
  <si>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</si>
  <si>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</si>
  <si>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</si>
  <si>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</si>
  <si>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</si>
  <si>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</si>
  <si>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</si>
  <si>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</si>
  <si>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</si>
  <si>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</si>
  <si>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</si>
  <si>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</si>
  <si>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</si>
  <si>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</si>
  <si>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</si>
  <si>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</si>
  <si>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</si>
  <si>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</si>
  <si>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</si>
  <si>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</si>
  <si>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</si>
  <si>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</si>
  <si>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</si>
  <si>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</si>
  <si>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</si>
  <si>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</si>
  <si>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</si>
  <si>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</si>
  <si>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</si>
  <si>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</si>
  <si>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</si>
  <si>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</si>
  <si>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</si>
  <si>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</si>
  <si>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</si>
  <si>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</si>
  <si>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</si>
  <si>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</si>
  <si>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</si>
  <si>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</si>
  <si>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</si>
  <si>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</si>
  <si>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</si>
  <si>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</si>
  <si>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</si>
  <si>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</si>
  <si>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</si>
  <si>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</si>
  <si>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</si>
  <si>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</si>
  <si>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</si>
  <si>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</si>
  <si>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</si>
  <si>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</si>
  <si>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</si>
  <si>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</si>
  <si>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</si>
  <si>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</si>
  <si>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</si>
  <si>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</si>
  <si>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</si>
  <si>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</si>
  <si>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</si>
  <si>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</si>
  <si>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</si>
  <si>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</si>
  <si>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</si>
  <si>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</si>
  <si>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</si>
  <si>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</si>
  <si>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</si>
  <si>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</si>
  <si>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</si>
  <si>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</si>
  <si>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</si>
  <si>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</si>
  <si>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</si>
  <si>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</si>
  <si>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</si>
  <si>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</si>
  <si>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</si>
  <si>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</si>
  <si>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</si>
  <si>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</si>
  <si>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</si>
  <si>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</si>
  <si>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</si>
  <si>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</si>
  <si>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</si>
  <si>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</si>
  <si>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</si>
  <si>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</si>
  <si>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</si>
  <si>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</si>
  <si>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</si>
  <si>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</si>
  <si>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</si>
  <si>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</si>
  <si>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</si>
  <si>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</si>
  <si>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</si>
  <si>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</si>
  <si>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</si>
  <si>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</si>
  <si>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</si>
  <si>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</si>
  <si>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</si>
  <si>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</si>
  <si>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</si>
  <si>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</si>
  <si>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</si>
  <si>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</si>
  <si>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</si>
  <si>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</si>
  <si>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</si>
  <si>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</si>
  <si>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</si>
  <si>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</si>
  <si>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</si>
  <si>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</si>
  <si>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</si>
  <si>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</si>
  <si>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</si>
  <si>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</si>
  <si>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</si>
  <si>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</si>
  <si>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</si>
  <si>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</si>
  <si>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</si>
  <si>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</si>
  <si>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</si>
  <si>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</si>
  <si>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</si>
  <si>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</si>
  <si>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</si>
  <si>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</si>
  <si>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</si>
  <si>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</si>
  <si>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</si>
  <si>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</si>
  <si>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</si>
  <si>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</si>
  <si>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</si>
  <si>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</si>
  <si>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</si>
  <si>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</si>
  <si>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</si>
  <si>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</si>
  <si>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</si>
  <si>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</si>
  <si>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</si>
  <si>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</si>
  <si>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</si>
  <si>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</si>
  <si>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</si>
  <si>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</si>
  <si>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</si>
  <si>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</si>
  <si>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</si>
  <si>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</si>
  <si>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</si>
  <si>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</si>
  <si>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</si>
  <si>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</si>
  <si>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</si>
  <si>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</si>
  <si>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</si>
  <si>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</si>
  <si>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</si>
  <si>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</si>
  <si>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</si>
  <si>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</si>
  <si>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</si>
  <si>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</si>
  <si>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</si>
  <si>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</si>
  <si>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</si>
  <si>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</si>
  <si>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</si>
  <si>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</si>
  <si>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</si>
  <si>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</si>
  <si>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</si>
  <si>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</si>
  <si>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</si>
  <si>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</si>
  <si>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</si>
  <si>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</si>
  <si>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</si>
  <si>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</si>
  <si>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</si>
  <si>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</si>
  <si>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</si>
  <si>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</si>
  <si>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</si>
  <si>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</si>
  <si>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</si>
  <si>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</si>
  <si>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</si>
  <si>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</si>
  <si>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</si>
  <si>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</si>
  <si>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</si>
  <si>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</si>
  <si>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</si>
  <si>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</si>
  <si>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</si>
  <si>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</si>
  <si>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</si>
  <si>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</si>
  <si>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</si>
  <si>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</si>
  <si>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</si>
  <si>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</si>
  <si>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</si>
  <si>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</si>
  <si>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</si>
  <si>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</si>
  <si>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</si>
  <si>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</si>
  <si>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</si>
  <si>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</si>
  <si>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</si>
  <si>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</si>
  <si>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</si>
  <si>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</si>
  <si>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</si>
  <si>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</si>
  <si>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</si>
  <si>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</si>
  <si>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</si>
  <si>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</si>
  <si>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</si>
  <si>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</si>
  <si>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</si>
  <si>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</si>
  <si>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</si>
  <si>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</si>
  <si>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</si>
  <si>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</si>
  <si>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</si>
  <si>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</si>
  <si>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</si>
  <si>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</si>
  <si>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</si>
  <si>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</si>
  <si>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</si>
  <si>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</si>
  <si>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</si>
  <si>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</si>
  <si>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</si>
  <si>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</si>
  <si>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</si>
  <si>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</si>
  <si>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</si>
  <si>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</si>
  <si>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</si>
  <si>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</si>
  <si>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</si>
  <si>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</si>
  <si>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</si>
  <si>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</si>
  <si>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</si>
  <si>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</si>
  <si>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</si>
  <si>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</si>
  <si>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</si>
  <si>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</si>
  <si>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</si>
  <si>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</si>
  <si>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</si>
  <si>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</si>
  <si>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</si>
  <si>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</si>
  <si>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</si>
  <si>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</si>
  <si>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</si>
  <si>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</si>
  <si>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</si>
  <si>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</si>
  <si>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</si>
  <si>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</si>
  <si>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</si>
  <si>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</si>
  <si>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</si>
  <si>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</si>
  <si>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</si>
  <si>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</si>
  <si>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</si>
  <si>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</si>
  <si>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</si>
  <si>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</si>
  <si>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</si>
  <si>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</si>
  <si>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</si>
  <si>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</si>
  <si>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</si>
  <si>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</si>
  <si>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</si>
  <si>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</si>
  <si>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</si>
  <si>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</si>
  <si>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</si>
  <si>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</si>
  <si>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</si>
  <si>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</si>
  <si>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</si>
  <si>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</si>
  <si>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</si>
  <si>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</si>
  <si>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</si>
  <si>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</si>
  <si>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</si>
  <si>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</si>
  <si>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</si>
  <si>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</si>
  <si>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</si>
  <si>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</si>
  <si>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</si>
  <si>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</si>
  <si>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</si>
  <si>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</si>
  <si>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</si>
  <si>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</si>
  <si>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</si>
  <si>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</si>
  <si>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</si>
  <si>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</si>
  <si>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</si>
  <si>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</si>
  <si>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</si>
  <si>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</si>
  <si>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</si>
  <si>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</si>
  <si>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</si>
  <si>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</si>
  <si>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</si>
  <si>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</si>
  <si>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</si>
  <si>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</si>
  <si>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</si>
  <si>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</si>
  <si>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</si>
  <si>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</si>
  <si>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</si>
  <si>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</si>
  <si>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</si>
  <si>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</si>
  <si>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</si>
  <si>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</si>
  <si>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</si>
  <si>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</si>
  <si>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</si>
  <si>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</si>
  <si>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</si>
  <si>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</si>
  <si>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</si>
  <si>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</si>
  <si>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</si>
  <si>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</si>
  <si>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</si>
  <si>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</si>
  <si>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</si>
  <si>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</si>
  <si>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</si>
  <si>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</si>
  <si>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</si>
  <si>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</si>
  <si>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</si>
  <si>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</si>
  <si>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</si>
  <si>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</si>
  <si>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</si>
  <si>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</si>
  <si>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</si>
  <si>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</si>
  <si>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</si>
  <si>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</si>
  <si>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</si>
  <si>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</si>
  <si>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</si>
  <si>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</si>
  <si>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</si>
  <si>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</si>
  <si>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</si>
  <si>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</si>
  <si>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</si>
  <si>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</si>
  <si>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</si>
  <si>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</si>
  <si>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</si>
  <si>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</si>
  <si>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</si>
  <si>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</si>
  <si>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</si>
  <si>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</si>
  <si>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</si>
  <si>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</si>
  <si>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</si>
  <si>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</si>
  <si>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</si>
  <si>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</si>
  <si>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</si>
  <si>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</si>
  <si>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</si>
  <si>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</si>
  <si>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</si>
  <si>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</si>
  <si>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</si>
  <si>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</si>
  <si>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</si>
  <si>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</si>
  <si>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</si>
  <si>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</si>
  <si>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</si>
  <si>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</si>
  <si>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</si>
  <si>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</si>
  <si>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</si>
  <si>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</si>
  <si>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</si>
  <si>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</si>
  <si>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</si>
  <si>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</si>
  <si>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</si>
  <si>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</si>
  <si>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</si>
  <si>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</si>
  <si>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</si>
  <si>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</si>
  <si>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</si>
  <si>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</si>
  <si>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</si>
  <si>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</si>
  <si>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</si>
  <si>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</si>
  <si>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</si>
  <si>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</si>
  <si>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</si>
  <si>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</si>
  <si>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</si>
  <si>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</si>
  <si>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</si>
  <si>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</si>
  <si>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</si>
  <si>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</si>
  <si>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</si>
  <si>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</si>
  <si>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</si>
  <si>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</si>
  <si>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</si>
  <si>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</si>
  <si>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</si>
  <si>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</si>
  <si>
    <t>附加属性被动技能(测试)</t>
  </si>
  <si>
    <t>77010202&amp;100411;50000@100203;50@100603;10</t>
  </si>
  <si>
    <t>增加1倍爆率</t>
  </si>
  <si>
    <t>小队内当目标生命低于35%时,造成伤害提升20%</t>
    <phoneticPr fontId="47" type="noConversion"/>
  </si>
  <si>
    <t>使自身进入隐身状态, 持续6秒。如果隐身期间受到任何伤害会主动现身，隐身后的第一次攻击额外造成150%伤害，并眩晕2秒。</t>
    <phoneticPr fontId="47" type="noConversion"/>
  </si>
  <si>
    <t>使自身进入隐身状态, 持续6秒。如果隐身期间受到任何伤害会主动现身，隐身后的第一次攻击额外造成180%伤害，并眩晕2秒。</t>
    <phoneticPr fontId="47" type="noConversion"/>
  </si>
  <si>
    <t>使自身进入隐身状态, 持续6秒。如果隐身期间受到任何伤害会主动现身，隐身后的第一次攻击额外造成210%伤害，并眩晕2秒。</t>
    <phoneticPr fontId="47" type="noConversion"/>
  </si>
  <si>
    <t>使自身进入隐身状态, 持续6秒。如果隐身期间受到任何伤害会主动现身，隐身后的第一次攻击额外造成240%伤害，并眩晕2秒。</t>
    <phoneticPr fontId="47" type="noConversion"/>
  </si>
  <si>
    <t>使自身进入隐身状态, 持续6秒。如果隐身期间受到任何伤害会主动现身，隐身后的第一次攻击额外造成270%伤害，并眩晕2秒。</t>
    <phoneticPr fontId="47" type="noConversion"/>
  </si>
  <si>
    <t>Renders itself invisible for 6 seconds. If you take any damage while cloaking, you appear. The first attack deals 300% damage and stuns for 2 seconds.</t>
    <phoneticPr fontId="47" type="noConversion"/>
  </si>
  <si>
    <t>Increases attack speed of all units by 200% and attack speed by 30% for 6 seconds.</t>
    <phoneticPr fontId="47" type="noConversion"/>
  </si>
  <si>
    <t>Increases attack speed of all units by 200% and attack speed by 25% for 6 seconds.</t>
    <phoneticPr fontId="47" type="noConversion"/>
  </si>
  <si>
    <t>Transform into a storm to move at high speed and gain invulnerability, dealing 240% of Attack Damage + 900 fixed damage to all enemy units in your path.</t>
  </si>
  <si>
    <t>Transform into a storm to move at high speed and gain invulnerability, dealing 270% of Attack Damage + 1800 fixed damage to all enemy units in your path.</t>
  </si>
  <si>
    <t>Transform into a storm to move at high speed and gain invulnerability, dealing 300% of Attack Damage + 2800 fixed damage to all enemy units in your path.</t>
  </si>
  <si>
    <t>Transform into a storm to move at high speed and gain invulnerability, dealing 330% of Attack Damage + 4000 fixed damage to all enemy units in your path.</t>
  </si>
  <si>
    <t>Transform into a storm to move at high speed and gain invulnerability, dealing 360% of Attack Damage + 5200 fixed damage to all enemy units in your path.</t>
  </si>
  <si>
    <t>Renders itself invisible for 6 seconds. If you take any damage while cloaking, you appear. The first attack deals 300% damage and stuns for 2 seconds.</t>
    <phoneticPr fontId="47" type="noConversion"/>
  </si>
  <si>
    <t>Renders itself invisible for 6 seconds. If you take any damage while cloaking, you will appear. The first attack deals 325% damage and stuns for 2 seconds.</t>
    <phoneticPr fontId="47" type="noConversion"/>
  </si>
  <si>
    <t>Renders itself invisible for 6 seconds. If you take any damage while cloaking, you appear. The first attack deals 350% damage and stuns for 2 seconds.</t>
    <phoneticPr fontId="47" type="noConversion"/>
  </si>
  <si>
    <t>Renders itself invisible for 6 seconds. If you take any damage while cloaking, you will appear. The first attack deals 375% damage and stuns for 2 seconds.</t>
    <phoneticPr fontId="47" type="noConversion"/>
  </si>
  <si>
    <t>Renders itself invisible for 6 seconds. If you take any damage while cloaking, you appear. The first attack deals 400% damage and stuns for 2 seconds.</t>
    <phoneticPr fontId="47" type="noConversion"/>
  </si>
  <si>
    <t>Increases the damage dealt by nearby units by 20% and deals 100% damage + 500 fixed damage per second for 5 seconds.</t>
    <phoneticPr fontId="47" type="noConversion"/>
  </si>
  <si>
    <t>Increases the damage dealt by nearby units by 20% and deals 100% damage + 800 fixed damage per second for 5 seconds.</t>
    <phoneticPr fontId="47" type="noConversion"/>
  </si>
  <si>
    <t>Increases the damage dealt by nearby units by 40% and deals 100% damage + 1150 fixed damage per second for 5 seconds.</t>
    <phoneticPr fontId="47" type="noConversion"/>
  </si>
  <si>
    <t>Increases the damage dealt by nearby units by 60% and deals 100% damage + 1550 fixed damage per second for 5 seconds.</t>
    <phoneticPr fontId="47" type="noConversion"/>
  </si>
  <si>
    <t>Increases the damage dealt by nearby units by 80% and deals 100% damage + 2050 fixed damage per second for 5 seconds.</t>
    <phoneticPr fontId="47" type="noConversion"/>
  </si>
  <si>
    <t>Becomes invincible and sends a beam of energy straight ahead that deals 200% damage and 1250 fixed damage to enemy targets in front of you for 3 seconds.</t>
    <phoneticPr fontId="47" type="noConversion"/>
  </si>
  <si>
    <t>Becomes invincible and sends a beam of energy straight ahead that deals 225% damage and 1500 fixed damage to enemy targets in front of you for 3 seconds.</t>
    <phoneticPr fontId="47" type="noConversion"/>
  </si>
  <si>
    <t>Instantly deals 300% attack damage + 5200 fixed damage to monsters in the target area, plus a blast mark that increases their damage by an additional 20% for 7 seconds</t>
    <phoneticPr fontId="47" type="noConversion"/>
  </si>
  <si>
    <t>Instantly deals 400% attack damage + 5600 fixed damage to monsters in the area ahead</t>
    <phoneticPr fontId="47" type="noConversion"/>
  </si>
  <si>
    <t>Instantly deals 450% attack damage + 8000 fixed damage to monsters in the area ahead</t>
    <phoneticPr fontId="47" type="noConversion"/>
  </si>
  <si>
    <t>Instantly deals 500% attack damage + 10400 fixed damage to monsters in the area ahead</t>
    <phoneticPr fontId="47" type="noConversion"/>
  </si>
  <si>
    <t>Immediately jumps to the target area and deals 275% attack damage + 3250 fixed damage to its monster, leaving the target vacant for 1 second, Grants Vulnerable effect: Target takes 20% extra damage for 3s.</t>
    <phoneticPr fontId="47" type="noConversion"/>
  </si>
  <si>
    <t>Immediately jumps to the target area and deals 300% attack damage + 4250 fixed damage to its monster, leaving the target vacant for 1 second, Grants Vulnerable effect: Target takes 20% extra damage for 3s.</t>
    <phoneticPr fontId="47" type="noConversion"/>
  </si>
  <si>
    <t>Summons a blade that deals 300% attack damage + 2000 fixed damage in the target area, then inflicts 120% attack damage + 1500 damage per second to enemies in range and leaves the target vacant for 1 second</t>
    <phoneticPr fontId="47" type="noConversion"/>
  </si>
  <si>
    <t>Summons a blade that deals 325% attack damage + 2750 fixed damage in the target area. then inflicts 120% attack damage + 2000 damage per second to enemies in range and leaves the target vacant for 1 second</t>
    <phoneticPr fontId="47" type="noConversion"/>
  </si>
  <si>
    <t>Summons a blade that deals 350% attack damage + 3500 fixed damage in the target area. then inflicts 120% attack damage + 2500 damage per second to enemies in range and leaves the target vacant for 1 second</t>
    <phoneticPr fontId="47" type="noConversion"/>
  </si>
  <si>
    <t>Summons a spirit to assist you in combat in the target area. The spirit body is invincible and inherits 110% of the character's attack power. It is immobile but has the fastest attack speed.</t>
    <phoneticPr fontId="47" type="noConversion"/>
  </si>
  <si>
    <t>Summons a spirit to assist you in combat in the target area. The spirit body is invincible and inherits 120% of the character's attack power. It is immobile but has the fastest attack speed.</t>
    <phoneticPr fontId="47" type="noConversion"/>
  </si>
  <si>
    <t>唤灵之契</t>
    <phoneticPr fontId="47" type="noConversion"/>
  </si>
  <si>
    <t>92000053,92000058</t>
    <phoneticPr fontId="47" type="noConversion"/>
  </si>
  <si>
    <t>当生命值降低至30%后,自身闪避提升50%且攻击提升30%,持续3秒，30秒内只能触发一次</t>
    <phoneticPr fontId="47" type="noConversion"/>
  </si>
  <si>
    <t>Attack has a chance to increase own Attack by 20%.</t>
  </si>
  <si>
    <t>Casting a skill has a certain chance to restore 5% of own Maximum HP.</t>
  </si>
  <si>
    <t>Successfully dodging an attack grants the user 1 Damage Mark, which increases allied damage by 5%. Stacks up to 5 times. Each Damage Mark lasts 6 seconds, and applying a new Mark refreshes the duration of all existing Damage Marks.</t>
  </si>
  <si>
    <t>Immediately deal 350% Damage + 2500 Fixed Damage to enemies in a rectangular area in front, and launch the targets into the air for 1 second.</t>
  </si>
  <si>
    <t>When HP drops below 50%, increase own Damage by 30% for 10 seconds. This effect can only be triggered once every 30 seconds.</t>
  </si>
  <si>
    <t>Each attack or skill cast has a certain chance to apply 1 Dodge Debuff Mark to the target, reducing their dodge chance by 10%. Stacks up to 5 times. Each Dodge Debuff Mark lasts 6 seconds, and applying a new Mark refreshes the duration of all existing Dodge Debuff Marks.</t>
  </si>
  <si>
    <t>Successfully dodging an attack grants the user 1 Damage Mark, which deals damage equal to 20% of the target’s current HP multiplied by the number of stacks. Stacks up to 5 times. Each Damage Mark lasts 6 seconds, and applying a new Mark refreshes the duration of all existing Damage Marks.</t>
  </si>
  <si>
    <t>When HP drops to 30%, increase own Dodge Rate by 50% and Attack by 30% for 3 seconds. This effect can only be triggered once every 30 seconds.</t>
  </si>
  <si>
    <t>92040030,92040032</t>
    <phoneticPr fontId="47" type="noConversion"/>
  </si>
  <si>
    <t>泰坦镜像</t>
    <phoneticPr fontId="47" type="noConversion"/>
  </si>
  <si>
    <t>幻影冲击</t>
    <phoneticPr fontId="47" type="noConversion"/>
  </si>
  <si>
    <t>1;0.5;0.5</t>
    <phoneticPr fontId="47" type="noConversion"/>
  </si>
  <si>
    <t>Deals 325% attack damage + 1350 fixed damage to enemies in front of you and leaves them vacant for 1 second. Deals an additional 50% damage if the target has less than 50% health.</t>
    <phoneticPr fontId="47" type="noConversion"/>
  </si>
  <si>
    <t>Deals 350% attack damage + 2700 fixed damage to enemies in front of you and leaves them vacant for 1 second. Deals an additional 50% damage if the target has less than 50% health.</t>
    <phoneticPr fontId="47" type="noConversion"/>
  </si>
  <si>
    <t>Deals 375% attack damage + 4200 fixed damage to enemies in front of you and leaves them vacant for 1 second. Deals an additional 50% damage if the target has less than 50% health.</t>
    <phoneticPr fontId="47" type="noConversion"/>
  </si>
  <si>
    <t>Deals 400% attack damage + 6000 fixed damage to enemies in front of you and leaves them vacant for 1 second. Deals an additional 50% damage if the target has less than 50% health.</t>
    <phoneticPr fontId="47" type="noConversion"/>
  </si>
  <si>
    <t>Deals 425% attack damage + 7800 fixed damage to enemies in front of you and leaves them vacant for 1 second. Deals an additional 50% damage if the target has less than 50% health.</t>
    <phoneticPr fontId="47" type="noConversion"/>
  </si>
  <si>
    <t>Deals 300% attack damage + 900 fixed damage to a large area of enemy targets, and quickly pulls it back in front of you, causing it to hang for 2 second.</t>
    <phoneticPr fontId="47" type="noConversion"/>
  </si>
  <si>
    <t>Deals 350% attack damage + 1800 fixed damage to a large area of enemy targets, and quickly pulls it back in front of you, causing it to hang in the air for 2 second.</t>
    <phoneticPr fontId="47" type="noConversion"/>
  </si>
  <si>
    <t>Deals 400% attack damage + 2800 fixed damage to a large area of enemy targets, and quickly pulls it back in front of you, causing it to hang in the air for 2 second.</t>
    <phoneticPr fontId="47" type="noConversion"/>
  </si>
  <si>
    <t>Deals 450% attack damage + 4000 fixed damage to a large area of enemy targets, and quickly pulls it back in front of you, causing it to hang in the air for 2 second.</t>
    <phoneticPr fontId="47" type="noConversion"/>
  </si>
  <si>
    <t>Deals 500% attack damage + 5200 fixed damage to a large area of enemy targets, and quickly pulls it back in front of you, causing it to hang in the air for 2 second.</t>
    <phoneticPr fontId="47" type="noConversion"/>
  </si>
  <si>
    <t>战灵怒吼</t>
    <phoneticPr fontId="47" type="noConversion"/>
  </si>
  <si>
    <t>冰封陷阱</t>
    <phoneticPr fontId="47" type="noConversion"/>
  </si>
  <si>
    <t>在目标区域召唤6只火舌守卫协助自己战斗,每只火舌对于魔法伤害免疫并继承角色60%攻击属性,火舌守卫无法移动但拥有较高的攻击。</t>
    <phoneticPr fontId="47" type="noConversion"/>
  </si>
  <si>
    <t>在目标区域召唤8只火舌守卫协助自己战斗,每只火舌对于魔法伤害免疫并继承角色60%攻击属性,火舌守卫无法移动但拥有较高的攻击。</t>
    <phoneticPr fontId="47" type="noConversion"/>
  </si>
  <si>
    <t>在目标区域召唤10只火舌守卫协助自己战斗,每只火舌对于魔法伤害免疫并继承角色60%攻击属性,火舌守卫无法移动但拥有较高的攻击。</t>
    <phoneticPr fontId="47" type="noConversion"/>
  </si>
  <si>
    <t>在目标区域召唤12只火舌守卫协助自己战斗,每只火舌对于魔法伤害免疫并继承角色60%攻击属性,火舌守卫无法移动但拥有较高的攻击。</t>
    <phoneticPr fontId="47" type="noConversion"/>
  </si>
  <si>
    <t>在目标区域召唤15只火舌守卫协助自己战斗,每只火舌对于魔法伤害免疫并继承角色60%攻击属性,火舌守卫无法移动但拥有较高的攻击。</t>
    <phoneticPr fontId="47" type="noConversion"/>
  </si>
  <si>
    <t>90000101;0;3,3,6;0.7,0.7;0.5,0.6,0.5,0.5,0.5,0,0,0,0;0,0,0,0,0</t>
    <phoneticPr fontId="47" type="noConversion"/>
  </si>
  <si>
    <t>90000101;0;3,3,8;0.7,0.7;0.5,0.6,0.5,0.5,0.5,0,0,0,0;0,0,0,0,0</t>
    <phoneticPr fontId="47" type="noConversion"/>
  </si>
  <si>
    <t>90000101;0;3,3,10;0.7,0.7;0.5,0.6,0.5,0.5,0.5,0,0,0,0;0,0,0,0,0</t>
    <phoneticPr fontId="47" type="noConversion"/>
  </si>
  <si>
    <t>90000101;0;3,3,12;0.7,0.7;0.5,0.6,0.5,0.5,0.5,0,0,0,0;0,0,0,0,0</t>
    <phoneticPr fontId="47" type="noConversion"/>
  </si>
  <si>
    <t>90000101;0;3,3,15;0.7,0.7;0.5,0.6,0.5,0.5,0.5,0,0,0,0;0,0,0,0,0</t>
    <phoneticPr fontId="47" type="noConversion"/>
  </si>
  <si>
    <t>冰封之地</t>
    <phoneticPr fontId="47" type="noConversion"/>
  </si>
  <si>
    <t>Immediately cast the spell beneath your feet. Targets within this area will suffer 80% attack damage + 500 fixed damage per second. Their movement speed will be reduced by 50% for 5 seconds.</t>
    <phoneticPr fontId="47" type="noConversion"/>
  </si>
  <si>
    <t>Immediately cast the spell beneath your feet. Targets within this area will take 90% of their attack damage plus 800 points of fixed damage per second. The target's movement speed will be reduced by 50%, and this effect will last for 5 seconds.</t>
    <phoneticPr fontId="47" type="noConversion"/>
  </si>
  <si>
    <t>Immediately cast the spell beneath your feet. Targets within this area will suffer 100% attack damage + 1150 points of fixed damage per second. The target's movement speed will be reduced by 50%, and this effect will last for 5 seconds.</t>
    <phoneticPr fontId="47" type="noConversion"/>
  </si>
  <si>
    <t>Immediately cast the spell beneath your feet. Targets within this area will suffer 110% attack damage + 1550 points of fixed damage per second. Their movement speed will be reduced by 50% for 5 seconds.</t>
    <phoneticPr fontId="47" type="noConversion"/>
  </si>
  <si>
    <t>Release the spell immediately under the feet. Targets within this range will suffer 120% attack damage + 2050 fixed damage per second. The target's movement speed will be reduced by 50%, lasting for 5 seconds.</t>
    <phoneticPr fontId="47" type="noConversion"/>
  </si>
  <si>
    <t>攻击有30%概率召唤1个火舌守卫协助自身战斗</t>
    <phoneticPr fontId="47" type="noConversion"/>
  </si>
  <si>
    <t>90000101;0;2;1;0.1,0.7,0.7,0.5,0.5,0.7,0.7,0.7,0.7;0,0,0,0,0</t>
    <phoneticPr fontId="47" type="noConversion"/>
  </si>
  <si>
    <t>90001074,90001042,90001047,90001048,90001049,90001050</t>
    <phoneticPr fontId="47" type="noConversion"/>
  </si>
  <si>
    <t>90001039,90001040</t>
    <phoneticPr fontId="47" type="noConversion"/>
  </si>
  <si>
    <t>光之能量</t>
    <phoneticPr fontId="47" type="noConversion"/>
  </si>
  <si>
    <t>爆发状态</t>
    <phoneticPr fontId="47" type="noConversion"/>
  </si>
  <si>
    <t>90001051,90001056,90001057,90001072,90001059,90001066,90001060,90001069,92034015,80001032</t>
    <phoneticPr fontId="47" type="noConversion"/>
  </si>
  <si>
    <t>90001054,90001056,90001057,90001080,90001059,90001066,90001067,90001068,90001060,90001069,92034015,80001032</t>
    <phoneticPr fontId="47" type="noConversion"/>
  </si>
  <si>
    <t>90001052,90001056,90001057,90001083,90001059,90001066,90001067,90001068,90001060,90001069,92034015,80001032</t>
    <phoneticPr fontId="47" type="noConversion"/>
  </si>
  <si>
    <t>精灵轰击</t>
    <phoneticPr fontId="47" type="noConversion"/>
  </si>
  <si>
    <t>Immediately deals 350% attack damage + 900 fixed damage to monsters within the target area, causes a 2-second stun, and increases critical damage by an additional 30%.</t>
    <phoneticPr fontId="47" type="noConversion"/>
  </si>
  <si>
    <t>Immediately deals 400% attack damage + 2800 points of fixed damage to monsters within the target range, causes a 2-second stun, and increases the critical damage received by the target by an additional 30%</t>
    <phoneticPr fontId="47" type="noConversion"/>
  </si>
  <si>
    <t>Immediately deals 375% attack damage + 1800 points of fixed damage to monsters within the target area, inflicting a 2-second stun, and increasing the critical damage received by 30%</t>
    <phoneticPr fontId="47" type="noConversion"/>
  </si>
  <si>
    <t>Immediately deals 425% attack damage + 4000 points of fixed damage to monsters within the target range, causes a 2-second stun, and increases the critical damage received by the target by an additional 30%</t>
    <phoneticPr fontId="47" type="noConversion"/>
  </si>
  <si>
    <t>Immediately deals 450% attack damage + 5200 fixed damage to the monsters within the target range, and causes a 2-second stun, and also increases the critical damage received by 30%.</t>
    <phoneticPr fontId="47" type="noConversion"/>
  </si>
  <si>
    <t>攻击有20%概率自动释放心灵之击技能</t>
    <phoneticPr fontId="47" type="noConversion"/>
  </si>
  <si>
    <t>The attack has a 20% chance to automatically activate the Spirit Strike skill.</t>
    <phoneticPr fontId="47" type="noConversion"/>
  </si>
  <si>
    <t>巨岩冲击</t>
    <phoneticPr fontId="47" type="noConversion"/>
  </si>
  <si>
    <t>Giant Rock Impact</t>
  </si>
  <si>
    <t>光能击</t>
    <phoneticPr fontId="47" type="noConversion"/>
  </si>
  <si>
    <t>90001031,90001018</t>
    <phoneticPr fontId="47" type="noConversion"/>
  </si>
  <si>
    <t>Immediately deal 225% attack damage + 750 points of fixed damage to the monsters within the target area, and reduce the target's speed by 50% and boost damage taken by 30%, lasting for 3 seconds.</t>
    <phoneticPr fontId="47" type="noConversion"/>
  </si>
  <si>
    <t>Immediately deal 250% attack damage + 1500 fixed damage to the monsters within the target area, and reduce the target's speed by 50% and boost damage taken by 30%, lasting for 3 seconds.</t>
    <phoneticPr fontId="47" type="noConversion"/>
  </si>
  <si>
    <t>Immediately deal 275% attack damage + 2250 points of fixed damage to monsters within the target area, and reduce the target's speed by 50% and boost damage taken by 30%. This effect lasts for 3 seconds.</t>
    <phoneticPr fontId="47" type="noConversion"/>
  </si>
  <si>
    <t>Immediately deal 300% attack damage + 3250 fixed damage to the monsters within the target range, and reduce the target's speed by 50% and boost damage taken by 30% for 3 seconds</t>
    <phoneticPr fontId="47" type="noConversion"/>
  </si>
  <si>
    <t>Immediately deal 325% attack damage + 4250 fixed damage to the monsters within the target range, and reduce the target's speed by 50% and boost damage taken by 30% for 3 seconds</t>
    <phoneticPr fontId="47" type="noConversion"/>
  </si>
  <si>
    <t>90001032,90001019</t>
    <phoneticPr fontId="47" type="noConversion"/>
  </si>
  <si>
    <t>Immediately force the monsters around the target to enter the skill's range, deal 275% attack damage + 1800 points of fixed damage to the monsters within the target area, and reduce the target's movement speed by 50% and boost damage taken by 30% for 3 seconds.</t>
    <phoneticPr fontId="47" type="noConversion"/>
  </si>
  <si>
    <t>Immediately force the monsters around the target into the skill range, deal 250% attack damage + 900 fixed damage to the monsters within the target range, and reduce the target's movement speed by 50% and boost damage taken by 30% for 3 seconds.</t>
    <phoneticPr fontId="47" type="noConversion"/>
  </si>
  <si>
    <t>Immediately force the monsters around the target to enter the skill's range, deal 300% attack damage + 2800 points of fixed damage to the monsters within the target area, and reduce the target's movement speed by 50% and boost damage taken by 30% for 3 seconds.</t>
    <phoneticPr fontId="47" type="noConversion"/>
  </si>
  <si>
    <t>Immediately force the monsters around the target to enter the skill's range, deal 325% attack damage + 4000 points of fixed damage to the monsters within the target area, and reduce the target's movement speed by 50% and boost damage taken by 30% for 3 seconds.</t>
    <phoneticPr fontId="47" type="noConversion"/>
  </si>
  <si>
    <t>Immediately force the monsters around the target to enter the skill's range, deal 350% attack damage + 5200 fixed damage to monsters within the target area, and reduce the targets' movement speed by 50% and boost damage taken by 30% for 3 seconds.</t>
    <phoneticPr fontId="47" type="noConversion"/>
  </si>
  <si>
    <t>Immediately deal 250% attack damage + 1000 points of fixed damage to the monsters within the target area, and freeze the target for 1 second, increasing the damage received by 30% as a result.</t>
  </si>
  <si>
    <t>Immediately deal 275% attack damage + 1500 points of fixed damage to the monsters within the target area, and freeze the target for 1 second, increasing the damage taken by 30% as a result.</t>
  </si>
  <si>
    <t>Immediately deal 300% attack damage + 2000 points of fixed damage to the monsters within the target area, and freeze the target for 1 second, increasing the damage received by 30%</t>
  </si>
  <si>
    <t>Immediately deal 325% attack damage + 2750 points of fixed damage to the monsters within the target area, and freeze the target for 1 second, increasing the damage received by 30% as a result.</t>
  </si>
  <si>
    <t>Immediately deal 350% attack damage + 3500 fixed damage to the monsters within the target range, and freeze the target for 1 second, increasing the damage received by 30%.</t>
    <phoneticPr fontId="47" type="noConversion"/>
  </si>
  <si>
    <t>90001021,90001017</t>
    <phoneticPr fontId="47" type="noConversion"/>
  </si>
  <si>
    <t>90001074,90001042,90001047,90001048,90001049,90001050</t>
    <phoneticPr fontId="47" type="noConversion"/>
  </si>
  <si>
    <t>Increase the damage of your normal attack by 100%,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</si>
  <si>
    <t>Increase the damage of your normal attack by 100%,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</si>
  <si>
    <t>Increase the damage of your normal attack by 100%,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20%, reduce the movement speed by 10%, and last for 2 seconds. The electric shock status can be added up to 3 layers, and lasts for 20 seconds.</t>
  </si>
  <si>
    <t>Increase the damage of your normal attack by 100%,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</si>
  <si>
    <t>Increase the damage of your normal attack by 100%,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20%, reduce the movement speed by 10%, and last for 2 seconds. The Electric Shock status can be added up to 3 layers, and lasts for 20 seconds.</t>
  </si>
  <si>
    <t>使自己普通攻击提升100%,攻击提升20%+600点攻击,攻击速度提升100%,并使自身攻击时有概率触发闪电链,目标附加感电状态,每层感电状态是其受到普攻伤害提升20%,移动速度降低10%,持续2秒  感电最多附加3层,持续20秒</t>
  </si>
  <si>
    <t>使自己普通攻击提升100%,攻击提升20%+900点攻击,攻击速度提升100%,并使自身攻击时有概率触发闪电链,目标附加感电状态,每层感电状态是其受到普攻伤害提升20%,移动速度降低10%,持续2秒  感电最多附加3层,持续20秒</t>
  </si>
  <si>
    <t>使自己普通攻击提升100%,攻击提升25%+1200点攻击,攻击速度提升100%,并使自身攻击时有概率触发闪电链,目标附加感电状态,每层感电状态是其受到普攻伤害提升20%,移动速度降低10%,持续2秒  感电最多附加3层,持续20秒</t>
  </si>
  <si>
    <t>使自己普通攻击提升100%,攻击提升25%+1500点攻击,攻击速度提升100%,并使自身攻击时有概率触发闪电链,目标附加感电状态,每层感电状态是其受到普攻伤害提升20%,移动速度降低10%,持续2秒  感电最多附加3层,持续20秒</t>
  </si>
  <si>
    <t>使自己普通攻击提升100%,攻击提升30%+1800点攻击,攻击速度提升100%,并使自身攻击时有概率触发闪电链,目标附加感电状态,每层感电状态是其受到普攻伤害提升20%,移动速度降低10%,持续2秒  感电最多附加3层,持续20秒</t>
  </si>
  <si>
    <t>Immediately deal 140% attack damage + 500 points of fixed damage to monsters within the target area multiple times per second, and stun the target for 2 seconds.</t>
    <phoneticPr fontId="47" type="noConversion"/>
  </si>
  <si>
    <t>Immediately causes the target area's monsters to take multiple attacks per second, each dealing 160% of attack damage + 800 fixed damage, and makes the target dizzy for 2 seconds.</t>
    <phoneticPr fontId="47" type="noConversion"/>
  </si>
  <si>
    <t>Immediately deal 180% of the attack damage plus 1150 points of fixed damage to each monster within the target area every second, and stun the target for 2 seconds.</t>
    <phoneticPr fontId="47" type="noConversion"/>
  </si>
  <si>
    <t>Immediately, deal 200% attack damage + 1550 points of fixed damage to each monster within the target range every second, and stun the target for 2 seconds.</t>
    <phoneticPr fontId="47" type="noConversion"/>
  </si>
  <si>
    <t>Immediately causes 220% of attack damage + 2050 points of fixed damage to multiple monsters within the target range every second, and causes the target to be stunned for 2 seconds.</t>
    <phoneticPr fontId="47" type="noConversion"/>
  </si>
  <si>
    <t>90001027,90001028</t>
    <phoneticPr fontId="47" type="noConversion"/>
  </si>
  <si>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30% as well.</t>
    <phoneticPr fontId="47" type="noConversion"/>
  </si>
  <si>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30% as well.</t>
    <phoneticPr fontId="47" type="noConversion"/>
  </si>
  <si>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30% additionally.</t>
    <phoneticPr fontId="47" type="noConversion"/>
  </si>
  <si>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30% additionally.</t>
    <phoneticPr fontId="47" type="noConversion"/>
  </si>
  <si>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30% additionally.</t>
    <phoneticPr fontId="47" type="noConversion"/>
  </si>
  <si>
    <t>开启后强制驱散眩晕状态并附加3秒霸体,损失当前15%的生命且每秒损失当前1%生命,攻击提升600点并增强额外增强60%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</si>
  <si>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15% loss of current health and a 1% loss of health per second. The attack power is increased by 600 points, and the normal attack damage is enhanced by an additional 50%. It triggers the energy hunger state. Physical defense and all attacks from the lord will reduce the received damage by 60%. Each normal attack can absorb 30% of the damage and convert it into its own health. Additionally, its movement speed is increased by 20%.</t>
  </si>
  <si>
    <t>开启后强制驱散眩晕状态并附加3秒霸体,损失当前15%的生命且每秒损失当前1%生命,攻击提升600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</si>
  <si>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15% loss of current health and a 1% loss of health per second. The attack power is increased by 600 points, and the normal attack damage is enhanced by an additional 50%. It triggers the energy hunger state. Physical defense is increased by 20%, and all attacks from the lord will reduce the received damage by 60%. Each normal attack can absorb 30% of the damage and convert it into the player's health. Additionally, the player's movement speed is increased by 20%.</t>
  </si>
  <si>
    <t>开启后强制驱散眩晕状态并附加3秒霸体,损失当前15%的生命且每秒损失当前1%生命,攻击提升900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</si>
  <si>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15% loss of current health and a 1% loss of health per second. The attack power is increased by 900 points, and the damage of normal attacks is enhanced by an additional 50%. It triggers the energy hunger state. Physical defense is increased by 20%, and all attacks from the lord will reduce the received damage by 70%. Each normal attack can absorb 30% of the damage and convert it into the player's health. Additionally, the player's movement speed is increased by 20%.</t>
  </si>
  <si>
    <t>开启后强制驱散眩晕状态并附加3秒霸体,损失当前15%的生命且每秒损失当前1%生命,攻击提升1350点并增强额外增强80%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</si>
  <si>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15% loss of current health and a 1% loss of health per second. The attack power is increased by 1350 points, and the normal attack damage is enhanced by an additional 60%. It triggers the energy hunger state. Physical defense is increased by 20%, and all attacks from the lord will reduce the received damage by 80%. Each normal attack can absorb 30% of the damage and convert it into the player's health. Additionally, the player's movement speed is increased by 20%.</t>
  </si>
  <si>
    <t>开启后强制驱散眩晕状态并附加3秒霸体,损失当前15%的生命且每秒损失当前1%生命,攻击提升2000点并增强额外增强90%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</si>
  <si>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15% loss of current health and a 1% loss of health per second. The attack power is increased by 2000 points, and the normal attack damage is enhanced by an additional 60%. It triggers the energy hunger state. Physical defense is increased by 20%, and all attacks from the lord will reduce the received damage by 90%. Each normal attack can absorb 30% of the damage and convert it into the player's health. Additionally, the player's movement speed is increased by 20%.</t>
  </si>
  <si>
    <t>开启后强制驱散眩晕状态并附加3秒霸体,损失当前15%的生命且每秒损失当前1%生命,攻击提升2500点并增强额外增强100%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</si>
  <si>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15% loss of current health and a 1%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100%. Each normal attack can absorb 30% of the damage and convert it into the player's health. Additionally, the player's movement speed is increased by 20%.</t>
  </si>
  <si>
    <t>受到攻击时有10%概率立即对目标造成一次伤害</t>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</si>
</sst>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83928952909942"/>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b/>
      <sz val="9"/>
      <name val="Tahoma"/>
      <family val="2"/>
    </font>
    <font>
      <sz val="9"/>
      <name val="Tahoma"/>
      <family val="2"/>
    </font>
  </fonts>
  <fills count="55">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3408001953185"/>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408001953185"/>
        <bgColor indexed="64"/>
      </patternFill>
    </fill>
    <fill>
      <patternFill patternType="solid">
        <fgColor theme="0" tint="-0.14786217841120639"/>
        <bgColor indexed="64"/>
      </patternFill>
    </fill>
    <fill>
      <patternFill patternType="solid">
        <fgColor theme="4" tint="0.7993408001953185"/>
        <bgColor indexed="64"/>
      </patternFill>
    </fill>
    <fill>
      <patternFill patternType="solid">
        <fgColor theme="8" tint="-0.249977111117893"/>
        <bgColor indexed="64"/>
      </patternFill>
    </fill>
    <fill>
      <patternFill patternType="solid">
        <fgColor theme="7" tint="0.39902951139866327"/>
        <bgColor indexed="64"/>
      </patternFill>
    </fill>
    <fill>
      <patternFill patternType="solid">
        <fgColor theme="0" tint="-0.14783165990173039"/>
        <bgColor indexed="64"/>
      </patternFill>
    </fill>
    <fill>
      <patternFill patternType="solid">
        <fgColor rgb="FFFFC000"/>
        <bgColor indexed="64"/>
      </patternFill>
    </fill>
    <fill>
      <patternFill patternType="solid">
        <fgColor theme="0" tint="-0.14789269692068238"/>
        <bgColor indexed="64"/>
      </patternFill>
    </fill>
    <fill>
      <patternFill patternType="solid">
        <fgColor theme="0" tint="-0.14822840052491837"/>
        <bgColor indexed="64"/>
      </patternFill>
    </fill>
    <fill>
      <patternFill patternType="solid">
        <fgColor theme="0" tint="-0.14835047456282235"/>
        <bgColor indexed="64"/>
      </patternFill>
    </fill>
    <fill>
      <patternFill patternType="solid">
        <fgColor theme="0" tint="-0.14816736350596638"/>
        <bgColor indexed="64"/>
      </patternFill>
    </fill>
    <fill>
      <patternFill patternType="solid">
        <fgColor theme="0" tint="-0.14856410412915433"/>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780877101962342"/>
        <bgColor indexed="64"/>
      </patternFill>
    </fill>
    <fill>
      <patternFill patternType="solid">
        <fgColor theme="4" tint="0.39783928952909942"/>
        <bgColor indexed="64"/>
      </patternFill>
    </fill>
    <fill>
      <patternFill patternType="solid">
        <fgColor theme="5" tint="0.39780877101962342"/>
        <bgColor indexed="64"/>
      </patternFill>
    </fill>
    <fill>
      <patternFill patternType="solid">
        <fgColor theme="5" tint="0.39783928952909942"/>
        <bgColor indexed="64"/>
      </patternFill>
    </fill>
    <fill>
      <patternFill patternType="solid">
        <fgColor theme="6" tint="0.39780877101962342"/>
        <bgColor indexed="64"/>
      </patternFill>
    </fill>
    <fill>
      <patternFill patternType="solid">
        <fgColor theme="6" tint="0.39783928952909942"/>
        <bgColor indexed="64"/>
      </patternFill>
    </fill>
    <fill>
      <patternFill patternType="solid">
        <fgColor theme="7" tint="0.39780877101962342"/>
        <bgColor indexed="64"/>
      </patternFill>
    </fill>
    <fill>
      <patternFill patternType="solid">
        <fgColor theme="7" tint="0.39783928952909942"/>
        <bgColor indexed="64"/>
      </patternFill>
    </fill>
    <fill>
      <patternFill patternType="solid">
        <fgColor theme="8" tint="0.39780877101962342"/>
        <bgColor indexed="64"/>
      </patternFill>
    </fill>
    <fill>
      <patternFill patternType="solid">
        <fgColor theme="8" tint="0.39783928952909942"/>
        <bgColor indexed="64"/>
      </patternFill>
    </fill>
    <fill>
      <patternFill patternType="solid">
        <fgColor theme="9" tint="0.39780877101962342"/>
        <bgColor indexed="64"/>
      </patternFill>
    </fill>
    <fill>
      <patternFill patternType="solid">
        <fgColor theme="9" tint="0.39783928952909942"/>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12" borderId="0" applyNumberFormat="0" applyBorder="0" applyAlignment="0" applyProtection="0">
      <alignment vertical="center"/>
    </xf>
    <xf numFmtId="0" fontId="30" fillId="12" borderId="0" applyNumberFormat="0" applyBorder="0" applyAlignment="0" applyProtection="0">
      <alignment vertical="center"/>
    </xf>
    <xf numFmtId="0" fontId="30" fillId="22"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1" fillId="33" borderId="0" applyNumberFormat="0" applyBorder="0" applyAlignment="0" applyProtection="0">
      <alignment vertical="center"/>
    </xf>
    <xf numFmtId="0" fontId="31"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5"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6"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7" borderId="0" applyNumberFormat="0" applyBorder="0" applyAlignment="0" applyProtection="0">
      <alignment vertical="center"/>
    </xf>
    <xf numFmtId="0" fontId="31" fillId="48" borderId="0" applyNumberFormat="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42" fillId="53" borderId="0" applyNumberFormat="0" applyBorder="0" applyAlignment="0" applyProtection="0">
      <alignment vertical="center"/>
    </xf>
    <xf numFmtId="0" fontId="30" fillId="54" borderId="9" applyNumberFormat="0" applyFont="0" applyAlignment="0" applyProtection="0">
      <alignment vertical="center"/>
    </xf>
    <xf numFmtId="0" fontId="30" fillId="54" borderId="9" applyNumberFormat="0" applyFont="0" applyAlignment="0" applyProtection="0">
      <alignment vertical="center"/>
    </xf>
    <xf numFmtId="0" fontId="43" fillId="54" borderId="9" applyNumberFormat="0" applyFont="0" applyAlignment="0" applyProtection="0">
      <alignment vertical="center"/>
    </xf>
  </cellStyleXfs>
  <cellXfs count="365">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49"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3" fontId="10" fillId="10" borderId="4" xfId="0" applyNumberFormat="1" applyFont="1" applyFill="1" applyBorder="1" applyAlignment="1">
      <alignment horizontal="center" vertical="center"/>
    </xf>
    <xf numFmtId="3" fontId="9" fillId="10"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49" fontId="10" fillId="10"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10"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0" fontId="13" fillId="10" borderId="4" xfId="0" quotePrefix="1" applyNumberFormat="1" applyFont="1" applyFill="1" applyBorder="1" applyAlignment="1">
      <alignment horizontal="center" vertical="center"/>
    </xf>
    <xf numFmtId="3" fontId="9" fillId="10"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17F7966-4F09-4C86-A7C8-1C783A0CE553}">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6"/>
  <sheetViews>
    <sheetView showGridLines="0" tabSelected="1" workbookViewId="0">
      <pane xSplit="4" ySplit="5" topLeftCell="BE2112" activePane="bottomRight" state="frozen"/>
      <selection pane="topRight"/>
      <selection pane="bottomLeft"/>
      <selection pane="bottomRight" activeCell="BE2118" sqref="BE2118"/>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19"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20"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21" t="s">
        <v>697</v>
      </c>
      <c r="AU185" s="322"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22"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23" t="s">
        <v>738</v>
      </c>
      <c r="AU201" s="324"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25"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26" t="s">
        <v>812</v>
      </c>
      <c r="AU225" s="327"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27"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28"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23" t="s">
        <v>825</v>
      </c>
      <c r="AU228" s="327"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23" t="s">
        <v>828</v>
      </c>
      <c r="AU229" s="327"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27"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26" t="s">
        <v>926</v>
      </c>
      <c r="AU267" s="327"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27"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29"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22"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30"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23"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25" t="s">
        <v>1190</v>
      </c>
      <c r="AV385" s="107"/>
      <c r="AW385" s="110" t="s">
        <v>205</v>
      </c>
      <c r="AX385" s="107" t="s">
        <v>551</v>
      </c>
      <c r="AY385" s="107">
        <v>10001005</v>
      </c>
      <c r="AZ385" s="325"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23" t="s">
        <v>1196</v>
      </c>
      <c r="AU386" s="328" t="s">
        <v>1197</v>
      </c>
      <c r="AV386" s="100"/>
      <c r="AW386" s="104" t="s">
        <v>204</v>
      </c>
      <c r="AX386" s="100" t="s">
        <v>540</v>
      </c>
      <c r="AY386" s="107">
        <v>0</v>
      </c>
      <c r="AZ386" s="325"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25"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25"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27"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25"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31" t="s">
        <v>1220</v>
      </c>
      <c r="AU391" s="332"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32"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33"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22" t="s">
        <v>1240</v>
      </c>
      <c r="AV396" s="93"/>
      <c r="AW396" s="71" t="s">
        <v>205</v>
      </c>
      <c r="AX396" s="72" t="s">
        <v>540</v>
      </c>
      <c r="AY396" s="74">
        <v>10000007</v>
      </c>
      <c r="AZ396" s="320"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22" t="s">
        <v>1240</v>
      </c>
      <c r="AV397" s="93"/>
      <c r="AW397" s="88" t="s">
        <v>262</v>
      </c>
      <c r="AX397" s="72" t="s">
        <v>540</v>
      </c>
      <c r="AY397" s="74">
        <v>10000007</v>
      </c>
      <c r="AZ397" s="320"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22" t="s">
        <v>1240</v>
      </c>
      <c r="AV398" s="93"/>
      <c r="AW398" s="71" t="s">
        <v>205</v>
      </c>
      <c r="AX398" s="72" t="s">
        <v>540</v>
      </c>
      <c r="AY398" s="74">
        <v>10000007</v>
      </c>
      <c r="AZ398" s="320"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30" t="s">
        <v>1258</v>
      </c>
      <c r="AU399" s="322"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30"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32"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33"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33"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34" t="s">
        <v>1284</v>
      </c>
      <c r="AU405" s="333"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23"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23"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25" t="s">
        <v>1299</v>
      </c>
      <c r="AV408" s="107"/>
      <c r="AW408" s="104" t="s">
        <v>293</v>
      </c>
      <c r="AX408" s="107" t="s">
        <v>551</v>
      </c>
      <c r="AY408" s="107">
        <v>10001005</v>
      </c>
      <c r="AZ408" s="325"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27" t="s">
        <v>204</v>
      </c>
      <c r="AV410" s="118"/>
      <c r="AW410" s="110" t="s">
        <v>205</v>
      </c>
      <c r="AX410" s="100" t="s">
        <v>540</v>
      </c>
      <c r="AY410" s="107">
        <v>10000007</v>
      </c>
      <c r="AZ410" s="325"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27" t="s">
        <v>1317</v>
      </c>
      <c r="AV412" s="118"/>
      <c r="AW412" s="110" t="s">
        <v>623</v>
      </c>
      <c r="AX412" s="100" t="s">
        <v>221</v>
      </c>
      <c r="AY412" s="107">
        <v>10000011</v>
      </c>
      <c r="AZ412" s="325"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23"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27" t="s">
        <v>204</v>
      </c>
      <c r="AV414" s="118"/>
      <c r="AW414" s="110" t="s">
        <v>205</v>
      </c>
      <c r="AX414" s="100" t="s">
        <v>540</v>
      </c>
      <c r="AY414" s="107">
        <v>10000007</v>
      </c>
      <c r="AZ414" s="325"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35"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20.100000000000001" customHeight="1">
      <c r="C431" s="162">
        <v>62009057</v>
      </c>
      <c r="D431" s="61" t="s">
        <v>728</v>
      </c>
      <c r="E431" s="61" t="s">
        <v>607</v>
      </c>
      <c r="F431" s="25">
        <v>1</v>
      </c>
      <c r="G431" s="25">
        <v>0</v>
      </c>
      <c r="H431" s="25">
        <v>0</v>
      </c>
      <c r="I431" s="26">
        <v>0</v>
      </c>
      <c r="J431" s="25">
        <v>1</v>
      </c>
      <c r="K431" s="25">
        <v>0</v>
      </c>
      <c r="L431" s="26">
        <v>0</v>
      </c>
      <c r="M431" s="26">
        <v>0</v>
      </c>
      <c r="N431" s="25">
        <v>0</v>
      </c>
      <c r="O431" s="25">
        <v>2</v>
      </c>
      <c r="P431" s="25">
        <v>2</v>
      </c>
      <c r="Q431" s="25">
        <v>0.95</v>
      </c>
      <c r="R431" s="25">
        <v>1</v>
      </c>
      <c r="S431" s="19">
        <v>0</v>
      </c>
      <c r="T431" s="25">
        <v>0</v>
      </c>
      <c r="U431" s="21">
        <v>1</v>
      </c>
      <c r="V431" s="25">
        <v>1</v>
      </c>
      <c r="W431" s="26">
        <v>0</v>
      </c>
      <c r="X431" s="25">
        <v>0</v>
      </c>
      <c r="Y431" s="19">
        <v>0</v>
      </c>
      <c r="Z431" s="25">
        <v>0</v>
      </c>
      <c r="AA431" s="25">
        <v>0</v>
      </c>
      <c r="AB431" s="25">
        <v>0</v>
      </c>
      <c r="AC431" s="26">
        <v>0</v>
      </c>
      <c r="AD431" s="25">
        <v>0</v>
      </c>
      <c r="AE431" s="25">
        <v>0</v>
      </c>
      <c r="AF431" s="25">
        <v>999999</v>
      </c>
      <c r="AG431" s="25">
        <v>1</v>
      </c>
      <c r="AH431" s="25">
        <v>2</v>
      </c>
      <c r="AI431" s="56">
        <v>0</v>
      </c>
      <c r="AJ431" s="56">
        <v>0</v>
      </c>
      <c r="AK431" s="19">
        <v>0</v>
      </c>
      <c r="AL431" s="25">
        <v>0</v>
      </c>
      <c r="AM431" s="27">
        <v>0</v>
      </c>
      <c r="AN431" s="25">
        <v>0</v>
      </c>
      <c r="AO431" s="25">
        <v>0</v>
      </c>
      <c r="AP431" s="25">
        <v>0</v>
      </c>
      <c r="AQ431" s="25">
        <v>2000</v>
      </c>
      <c r="AR431" s="25">
        <v>0</v>
      </c>
      <c r="AS431" s="25">
        <v>0</v>
      </c>
      <c r="AT431" s="19">
        <v>0</v>
      </c>
      <c r="AU431" s="25">
        <v>0</v>
      </c>
      <c r="AV431" s="25"/>
      <c r="AW431" s="25" t="s">
        <v>262</v>
      </c>
      <c r="AX431" s="26">
        <v>0</v>
      </c>
      <c r="AY431" s="26">
        <v>0</v>
      </c>
      <c r="AZ431" s="32">
        <v>91000109</v>
      </c>
      <c r="BA431" s="30" t="s">
        <v>534</v>
      </c>
      <c r="BB431" s="25" t="s">
        <v>1345</v>
      </c>
      <c r="BC431" s="57">
        <v>0</v>
      </c>
      <c r="BD431" s="57">
        <v>0</v>
      </c>
      <c r="BE431" s="64" t="s">
        <v>1338</v>
      </c>
      <c r="BF431" s="64" t="s">
        <v>1339</v>
      </c>
      <c r="BG431" s="25">
        <v>0</v>
      </c>
      <c r="BH431" s="25">
        <v>0</v>
      </c>
      <c r="BI431" s="32">
        <v>0</v>
      </c>
      <c r="BJ431" s="25">
        <v>0</v>
      </c>
      <c r="BK431" s="25">
        <v>0</v>
      </c>
      <c r="BL431" s="27">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62009101</v>
      </c>
      <c r="D432" s="30" t="s">
        <v>1346</v>
      </c>
      <c r="E432" s="30" t="s">
        <v>1347</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99002005</v>
      </c>
      <c r="AV432" s="32"/>
      <c r="AW432" s="35" t="s">
        <v>293</v>
      </c>
      <c r="AX432" s="21">
        <v>0</v>
      </c>
      <c r="AY432" s="32">
        <v>0</v>
      </c>
      <c r="AZ432" s="32">
        <v>0</v>
      </c>
      <c r="BA432" s="30" t="s">
        <v>206</v>
      </c>
      <c r="BB432" s="21">
        <v>0</v>
      </c>
      <c r="BC432" s="31">
        <v>0</v>
      </c>
      <c r="BD432" s="31">
        <v>0</v>
      </c>
      <c r="BE432" s="33" t="s">
        <v>1348</v>
      </c>
      <c r="BF432" s="33" t="s">
        <v>1349</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62009102</v>
      </c>
      <c r="D433" s="30" t="s">
        <v>1350</v>
      </c>
      <c r="E433" s="30" t="s">
        <v>1351</v>
      </c>
      <c r="F433" s="32">
        <v>1</v>
      </c>
      <c r="G433" s="21">
        <v>60010100</v>
      </c>
      <c r="H433" s="32">
        <v>0</v>
      </c>
      <c r="I433" s="31">
        <v>0</v>
      </c>
      <c r="J433" s="32">
        <v>1</v>
      </c>
      <c r="K433" s="32">
        <v>0</v>
      </c>
      <c r="L433" s="32">
        <v>0</v>
      </c>
      <c r="M433" s="21">
        <v>0</v>
      </c>
      <c r="N433" s="21">
        <v>0</v>
      </c>
      <c r="O433" s="21">
        <v>2</v>
      </c>
      <c r="P433" s="21">
        <v>6</v>
      </c>
      <c r="Q433" s="21">
        <v>1</v>
      </c>
      <c r="R433" s="21">
        <v>1</v>
      </c>
      <c r="S433" s="19">
        <v>0</v>
      </c>
      <c r="T433" s="21">
        <v>0</v>
      </c>
      <c r="U433" s="21">
        <v>1</v>
      </c>
      <c r="V433" s="21">
        <v>2</v>
      </c>
      <c r="W433" s="21">
        <v>0</v>
      </c>
      <c r="X433" s="21">
        <v>0</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0</v>
      </c>
      <c r="AS433" s="21">
        <v>0</v>
      </c>
      <c r="AT433" s="19">
        <v>0</v>
      </c>
      <c r="AU433" s="32">
        <v>99002006</v>
      </c>
      <c r="AV433" s="32"/>
      <c r="AW433" s="35" t="s">
        <v>293</v>
      </c>
      <c r="AX433" s="21">
        <v>0</v>
      </c>
      <c r="AY433" s="32">
        <v>0</v>
      </c>
      <c r="AZ433" s="32">
        <v>0</v>
      </c>
      <c r="BA433" s="30" t="s">
        <v>206</v>
      </c>
      <c r="BB433" s="21">
        <v>0</v>
      </c>
      <c r="BC433" s="31">
        <v>0</v>
      </c>
      <c r="BD433" s="31">
        <v>0</v>
      </c>
      <c r="BE433" s="33" t="s">
        <v>1352</v>
      </c>
      <c r="BF433" s="33" t="s">
        <v>1353</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19.5" customHeight="1">
      <c r="C434" s="162">
        <v>62009103</v>
      </c>
      <c r="D434" s="30" t="s">
        <v>611</v>
      </c>
      <c r="E434" s="30" t="s">
        <v>612</v>
      </c>
      <c r="F434" s="32">
        <v>1</v>
      </c>
      <c r="G434" s="21">
        <v>60010100</v>
      </c>
      <c r="H434" s="32">
        <v>0</v>
      </c>
      <c r="I434" s="31">
        <v>0</v>
      </c>
      <c r="J434" s="32">
        <v>1</v>
      </c>
      <c r="K434" s="32">
        <v>0</v>
      </c>
      <c r="L434" s="32">
        <v>0</v>
      </c>
      <c r="M434" s="21">
        <v>0</v>
      </c>
      <c r="N434" s="21">
        <v>0</v>
      </c>
      <c r="O434" s="21">
        <v>2</v>
      </c>
      <c r="P434" s="21">
        <v>2</v>
      </c>
      <c r="Q434" s="21">
        <v>0.9</v>
      </c>
      <c r="R434" s="21">
        <v>0</v>
      </c>
      <c r="S434" s="19">
        <v>0</v>
      </c>
      <c r="T434" s="21">
        <v>0</v>
      </c>
      <c r="U434" s="21">
        <v>1</v>
      </c>
      <c r="V434" s="21">
        <v>2</v>
      </c>
      <c r="W434" s="21">
        <v>0</v>
      </c>
      <c r="X434" s="21">
        <v>3</v>
      </c>
      <c r="Y434" s="19">
        <v>0</v>
      </c>
      <c r="Z434" s="21">
        <v>0</v>
      </c>
      <c r="AA434" s="21">
        <v>1</v>
      </c>
      <c r="AB434" s="21">
        <v>0</v>
      </c>
      <c r="AC434" s="21">
        <v>0</v>
      </c>
      <c r="AD434" s="21">
        <v>0</v>
      </c>
      <c r="AE434" s="21">
        <v>0</v>
      </c>
      <c r="AF434" s="21">
        <v>9</v>
      </c>
      <c r="AG434" s="21">
        <v>1</v>
      </c>
      <c r="AH434" s="21" t="s">
        <v>613</v>
      </c>
      <c r="AI434" s="19">
        <v>1</v>
      </c>
      <c r="AJ434" s="19">
        <v>1</v>
      </c>
      <c r="AK434" s="19">
        <v>0</v>
      </c>
      <c r="AL434" s="19">
        <v>3</v>
      </c>
      <c r="AM434" s="21">
        <v>0</v>
      </c>
      <c r="AN434" s="21">
        <v>0</v>
      </c>
      <c r="AO434" s="21">
        <v>0</v>
      </c>
      <c r="AP434" s="21">
        <v>3</v>
      </c>
      <c r="AQ434" s="21">
        <v>5000</v>
      </c>
      <c r="AR434" s="21">
        <v>2.5</v>
      </c>
      <c r="AS434" s="21">
        <v>0</v>
      </c>
      <c r="AT434" s="19">
        <v>0</v>
      </c>
      <c r="AU434" s="32" t="s">
        <v>665</v>
      </c>
      <c r="AV434" s="32"/>
      <c r="AW434" s="35" t="s">
        <v>293</v>
      </c>
      <c r="AX434" s="21" t="s">
        <v>540</v>
      </c>
      <c r="AY434" s="32">
        <v>10000007</v>
      </c>
      <c r="AZ434" s="32">
        <v>70107001</v>
      </c>
      <c r="BA434" s="30" t="s">
        <v>206</v>
      </c>
      <c r="BB434" s="21">
        <v>0</v>
      </c>
      <c r="BC434" s="31">
        <v>0</v>
      </c>
      <c r="BD434" s="31">
        <v>0</v>
      </c>
      <c r="BE434" s="33" t="s">
        <v>614</v>
      </c>
      <c r="BF434" s="33" t="s">
        <v>615</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62009104</v>
      </c>
      <c r="D435" s="30" t="s">
        <v>666</v>
      </c>
      <c r="E435" s="30" t="s">
        <v>667</v>
      </c>
      <c r="F435" s="32">
        <v>1</v>
      </c>
      <c r="G435" s="21">
        <v>60010100</v>
      </c>
      <c r="H435" s="32">
        <v>0</v>
      </c>
      <c r="I435" s="31">
        <v>0</v>
      </c>
      <c r="J435" s="32">
        <v>1</v>
      </c>
      <c r="K435" s="32">
        <v>0</v>
      </c>
      <c r="L435" s="32">
        <v>0</v>
      </c>
      <c r="M435" s="21">
        <v>0</v>
      </c>
      <c r="N435" s="21">
        <v>0</v>
      </c>
      <c r="O435" s="21">
        <v>2</v>
      </c>
      <c r="P435" s="21">
        <v>2</v>
      </c>
      <c r="Q435" s="21">
        <v>0.85</v>
      </c>
      <c r="R435" s="21">
        <v>0</v>
      </c>
      <c r="S435" s="19">
        <v>0</v>
      </c>
      <c r="T435" s="21">
        <v>0</v>
      </c>
      <c r="U435" s="21">
        <v>1</v>
      </c>
      <c r="V435" s="21">
        <v>2</v>
      </c>
      <c r="W435" s="21">
        <v>0</v>
      </c>
      <c r="X435" s="21">
        <v>3</v>
      </c>
      <c r="Y435" s="19">
        <v>0</v>
      </c>
      <c r="Z435" s="21">
        <v>0</v>
      </c>
      <c r="AA435" s="21">
        <v>1</v>
      </c>
      <c r="AB435" s="21">
        <v>0</v>
      </c>
      <c r="AC435" s="21">
        <v>0</v>
      </c>
      <c r="AD435" s="21">
        <v>0</v>
      </c>
      <c r="AE435" s="21">
        <v>0</v>
      </c>
      <c r="AF435" s="21">
        <v>10</v>
      </c>
      <c r="AG435" s="21">
        <v>1</v>
      </c>
      <c r="AH435" s="21">
        <v>3</v>
      </c>
      <c r="AI435" s="19">
        <v>4</v>
      </c>
      <c r="AJ435" s="19">
        <v>1</v>
      </c>
      <c r="AK435" s="19">
        <v>0</v>
      </c>
      <c r="AL435" s="19">
        <v>1.5</v>
      </c>
      <c r="AM435" s="21">
        <v>0</v>
      </c>
      <c r="AN435" s="21">
        <v>0</v>
      </c>
      <c r="AO435" s="21">
        <v>0</v>
      </c>
      <c r="AP435" s="21">
        <v>1.5</v>
      </c>
      <c r="AQ435" s="21">
        <v>3000</v>
      </c>
      <c r="AR435" s="21">
        <v>1.5</v>
      </c>
      <c r="AS435" s="21">
        <v>0</v>
      </c>
      <c r="AT435" s="19">
        <v>0</v>
      </c>
      <c r="AU435" s="32" t="s">
        <v>665</v>
      </c>
      <c r="AV435" s="32"/>
      <c r="AW435" s="35" t="s">
        <v>205</v>
      </c>
      <c r="AX435" s="21" t="s">
        <v>540</v>
      </c>
      <c r="AY435" s="32">
        <v>10000007</v>
      </c>
      <c r="AZ435" s="32">
        <v>62001302</v>
      </c>
      <c r="BA435" s="30" t="s">
        <v>206</v>
      </c>
      <c r="BB435" s="21" t="s">
        <v>1354</v>
      </c>
      <c r="BC435" s="31">
        <v>0</v>
      </c>
      <c r="BD435" s="31">
        <v>0</v>
      </c>
      <c r="BE435" s="33" t="s">
        <v>669</v>
      </c>
      <c r="BF435" s="33" t="s">
        <v>670</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162">
        <v>62009105</v>
      </c>
      <c r="D436" s="30" t="s">
        <v>671</v>
      </c>
      <c r="E436" s="30" t="s">
        <v>612</v>
      </c>
      <c r="F436" s="21">
        <v>1</v>
      </c>
      <c r="G436" s="21">
        <v>60010100</v>
      </c>
      <c r="H436" s="32">
        <v>0</v>
      </c>
      <c r="I436" s="31">
        <v>0</v>
      </c>
      <c r="J436" s="32">
        <v>1</v>
      </c>
      <c r="K436" s="32">
        <v>0</v>
      </c>
      <c r="L436" s="32">
        <v>0</v>
      </c>
      <c r="M436" s="21">
        <v>0</v>
      </c>
      <c r="N436" s="21">
        <v>0</v>
      </c>
      <c r="O436" s="21">
        <v>2</v>
      </c>
      <c r="P436" s="21">
        <v>2</v>
      </c>
      <c r="Q436" s="21">
        <v>0.8</v>
      </c>
      <c r="R436" s="21">
        <v>0</v>
      </c>
      <c r="S436" s="19">
        <v>0</v>
      </c>
      <c r="T436" s="21">
        <v>0</v>
      </c>
      <c r="U436" s="21">
        <v>1</v>
      </c>
      <c r="V436" s="21">
        <v>2</v>
      </c>
      <c r="W436" s="21">
        <v>0</v>
      </c>
      <c r="X436" s="21">
        <v>3</v>
      </c>
      <c r="Y436" s="19">
        <v>0</v>
      </c>
      <c r="Z436" s="21">
        <v>0</v>
      </c>
      <c r="AA436" s="21">
        <v>0</v>
      </c>
      <c r="AB436" s="21">
        <v>0</v>
      </c>
      <c r="AC436" s="21">
        <v>0</v>
      </c>
      <c r="AD436" s="21">
        <v>0</v>
      </c>
      <c r="AE436" s="21">
        <v>0</v>
      </c>
      <c r="AF436" s="21">
        <v>12</v>
      </c>
      <c r="AG436" s="21">
        <v>1</v>
      </c>
      <c r="AH436" s="21">
        <v>3</v>
      </c>
      <c r="AI436" s="19">
        <v>6</v>
      </c>
      <c r="AJ436" s="19">
        <v>1</v>
      </c>
      <c r="AK436" s="19">
        <v>0</v>
      </c>
      <c r="AL436" s="19">
        <v>1.5</v>
      </c>
      <c r="AM436" s="21">
        <v>0</v>
      </c>
      <c r="AN436" s="21">
        <v>0</v>
      </c>
      <c r="AO436" s="21">
        <v>0</v>
      </c>
      <c r="AP436" s="21">
        <v>1.5</v>
      </c>
      <c r="AQ436" s="21">
        <v>3000</v>
      </c>
      <c r="AR436" s="21">
        <v>1.5</v>
      </c>
      <c r="AS436" s="21">
        <v>0</v>
      </c>
      <c r="AT436" s="19">
        <v>0</v>
      </c>
      <c r="AU436" s="32" t="s">
        <v>665</v>
      </c>
      <c r="AV436" s="32"/>
      <c r="AW436" s="35" t="s">
        <v>262</v>
      </c>
      <c r="AX436" s="21" t="s">
        <v>540</v>
      </c>
      <c r="AY436" s="32">
        <v>10000007</v>
      </c>
      <c r="AZ436" s="32">
        <v>62001302</v>
      </c>
      <c r="BA436" s="30" t="s">
        <v>206</v>
      </c>
      <c r="BB436" s="21" t="s">
        <v>1355</v>
      </c>
      <c r="BC436" s="31">
        <v>0</v>
      </c>
      <c r="BD436" s="31">
        <v>0</v>
      </c>
      <c r="BE436" s="33" t="s">
        <v>673</v>
      </c>
      <c r="BF436" s="33" t="s">
        <v>674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50000101</v>
      </c>
      <c r="D437" s="30" t="s">
        <v>1356</v>
      </c>
      <c r="E437" s="30" t="s">
        <v>1357</v>
      </c>
      <c r="F437" s="21">
        <v>1</v>
      </c>
      <c r="G437" s="21">
        <v>60010300</v>
      </c>
      <c r="H437" s="21">
        <v>60010302</v>
      </c>
      <c r="I437" s="31">
        <v>2</v>
      </c>
      <c r="J437" s="21">
        <v>0</v>
      </c>
      <c r="K437" s="21">
        <v>3</v>
      </c>
      <c r="L437" s="21">
        <v>0</v>
      </c>
      <c r="M437" s="21">
        <v>0</v>
      </c>
      <c r="N437" s="21">
        <v>0</v>
      </c>
      <c r="O437" s="21">
        <v>6</v>
      </c>
      <c r="P437" s="21">
        <v>0</v>
      </c>
      <c r="Q437" s="21">
        <v>0</v>
      </c>
      <c r="R437" s="21">
        <v>0</v>
      </c>
      <c r="S437" s="19">
        <v>0</v>
      </c>
      <c r="T437" s="21">
        <v>50000102</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0.5</v>
      </c>
      <c r="AS437" s="21">
        <v>0</v>
      </c>
      <c r="AT437" s="19">
        <v>0</v>
      </c>
      <c r="AU437" s="21" t="s">
        <v>204</v>
      </c>
      <c r="AV437" s="21"/>
      <c r="AW437" s="30" t="s">
        <v>238</v>
      </c>
      <c r="AX437" s="21" t="s">
        <v>239</v>
      </c>
      <c r="AY437" s="32">
        <v>10000001</v>
      </c>
      <c r="AZ437" s="32">
        <v>20000010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50000102</v>
      </c>
      <c r="D438" s="30" t="s">
        <v>1358</v>
      </c>
      <c r="E438" s="30" t="s">
        <v>1359</v>
      </c>
      <c r="F438" s="21">
        <v>1</v>
      </c>
      <c r="G438" s="21">
        <v>60010300</v>
      </c>
      <c r="H438" s="21">
        <v>60010303</v>
      </c>
      <c r="I438" s="31">
        <v>2</v>
      </c>
      <c r="J438" s="21">
        <v>0</v>
      </c>
      <c r="K438" s="21">
        <v>3</v>
      </c>
      <c r="L438" s="21">
        <v>0</v>
      </c>
      <c r="M438" s="21">
        <v>0</v>
      </c>
      <c r="N438" s="21">
        <v>0</v>
      </c>
      <c r="O438" s="21">
        <v>6</v>
      </c>
      <c r="P438" s="21">
        <v>0</v>
      </c>
      <c r="Q438" s="21">
        <v>0</v>
      </c>
      <c r="R438" s="21">
        <v>0</v>
      </c>
      <c r="S438" s="19">
        <v>0</v>
      </c>
      <c r="T438" s="21">
        <v>50000103</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v>
      </c>
      <c r="AS438" s="21">
        <v>0</v>
      </c>
      <c r="AT438" s="19">
        <v>0</v>
      </c>
      <c r="AU438" s="21" t="s">
        <v>204</v>
      </c>
      <c r="AV438" s="21"/>
      <c r="AW438" s="30" t="s">
        <v>242</v>
      </c>
      <c r="AX438" s="21" t="s">
        <v>239</v>
      </c>
      <c r="AY438" s="32">
        <v>10000001</v>
      </c>
      <c r="AZ438" s="32">
        <v>20000020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21">
        <v>50000103</v>
      </c>
      <c r="D439" s="30" t="s">
        <v>1360</v>
      </c>
      <c r="E439" s="30" t="s">
        <v>1361</v>
      </c>
      <c r="F439" s="21">
        <v>1</v>
      </c>
      <c r="G439" s="21">
        <v>60010300</v>
      </c>
      <c r="H439" s="21">
        <v>60010301</v>
      </c>
      <c r="I439" s="31">
        <v>2</v>
      </c>
      <c r="J439" s="21">
        <v>0</v>
      </c>
      <c r="K439" s="21">
        <v>3</v>
      </c>
      <c r="L439" s="21">
        <v>0</v>
      </c>
      <c r="M439" s="21">
        <v>0</v>
      </c>
      <c r="N439" s="21">
        <v>0</v>
      </c>
      <c r="O439" s="21">
        <v>6</v>
      </c>
      <c r="P439" s="21">
        <v>0</v>
      </c>
      <c r="Q439" s="21">
        <v>0</v>
      </c>
      <c r="R439" s="21">
        <v>0</v>
      </c>
      <c r="S439" s="19">
        <v>0</v>
      </c>
      <c r="T439" s="21">
        <v>50000101</v>
      </c>
      <c r="U439" s="21">
        <v>0</v>
      </c>
      <c r="V439" s="21">
        <v>2</v>
      </c>
      <c r="W439" s="21">
        <v>0</v>
      </c>
      <c r="X439" s="21">
        <v>1</v>
      </c>
      <c r="Y439" s="19">
        <v>0</v>
      </c>
      <c r="Z439" s="32">
        <v>0</v>
      </c>
      <c r="AA439" s="21">
        <v>0</v>
      </c>
      <c r="AB439" s="21">
        <v>0</v>
      </c>
      <c r="AC439" s="21">
        <v>0</v>
      </c>
      <c r="AD439" s="21">
        <v>1</v>
      </c>
      <c r="AE439" s="21">
        <v>0</v>
      </c>
      <c r="AF439" s="21">
        <v>0</v>
      </c>
      <c r="AG439" s="21">
        <v>2</v>
      </c>
      <c r="AH439" s="21" t="s">
        <v>237</v>
      </c>
      <c r="AI439" s="19">
        <v>2</v>
      </c>
      <c r="AJ439" s="19">
        <v>0</v>
      </c>
      <c r="AK439" s="19">
        <v>0</v>
      </c>
      <c r="AL439" s="19">
        <v>0</v>
      </c>
      <c r="AM439" s="21">
        <v>0</v>
      </c>
      <c r="AN439" s="21">
        <v>0</v>
      </c>
      <c r="AO439" s="21">
        <v>0</v>
      </c>
      <c r="AP439" s="21">
        <v>1</v>
      </c>
      <c r="AQ439" s="21">
        <v>3000</v>
      </c>
      <c r="AR439" s="21">
        <v>1.2</v>
      </c>
      <c r="AS439" s="21">
        <v>0</v>
      </c>
      <c r="AT439" s="19">
        <v>0</v>
      </c>
      <c r="AU439" s="21" t="s">
        <v>204</v>
      </c>
      <c r="AV439" s="21"/>
      <c r="AW439" s="30" t="s">
        <v>245</v>
      </c>
      <c r="AX439" s="21" t="s">
        <v>239</v>
      </c>
      <c r="AY439" s="32">
        <v>10000001</v>
      </c>
      <c r="AZ439" s="32">
        <v>20000030</v>
      </c>
      <c r="BA439" s="30" t="s">
        <v>206</v>
      </c>
      <c r="BB439" s="21">
        <v>0</v>
      </c>
      <c r="BC439" s="31">
        <v>0</v>
      </c>
      <c r="BD439" s="31">
        <v>0</v>
      </c>
      <c r="BE439" s="33" t="s">
        <v>583</v>
      </c>
      <c r="BF439" s="33" t="s">
        <v>584</v>
      </c>
      <c r="BG439" s="21">
        <v>0</v>
      </c>
      <c r="BH439" s="21">
        <v>0</v>
      </c>
      <c r="BI439" s="21">
        <v>0</v>
      </c>
      <c r="BJ439" s="21">
        <v>0</v>
      </c>
      <c r="BK439" s="21">
        <v>0</v>
      </c>
      <c r="BL439" s="21">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50000201</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50000202</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1362</v>
      </c>
      <c r="BF440" s="60" t="s">
        <v>1363</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50000202</v>
      </c>
      <c r="D441" s="35" t="s">
        <v>253</v>
      </c>
      <c r="E441" s="35" t="s">
        <v>254</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50000201</v>
      </c>
      <c r="U441" s="21">
        <v>0</v>
      </c>
      <c r="V441" s="32">
        <v>1</v>
      </c>
      <c r="W441" s="32">
        <v>0</v>
      </c>
      <c r="X441" s="32">
        <v>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20</v>
      </c>
      <c r="AT441" s="19">
        <v>0</v>
      </c>
      <c r="AU441" s="32" t="s">
        <v>204</v>
      </c>
      <c r="AV441" s="32"/>
      <c r="AW441" s="35" t="s">
        <v>747</v>
      </c>
      <c r="AX441" s="32">
        <v>0</v>
      </c>
      <c r="AY441" s="32">
        <v>10000011</v>
      </c>
      <c r="AZ441" s="32">
        <v>20000210</v>
      </c>
      <c r="BA441" s="35" t="s">
        <v>256</v>
      </c>
      <c r="BB441" s="35" t="s">
        <v>204</v>
      </c>
      <c r="BC441" s="31">
        <v>0</v>
      </c>
      <c r="BD441" s="31">
        <v>0</v>
      </c>
      <c r="BE441" s="60" t="s">
        <v>1362</v>
      </c>
      <c r="BF441" s="60" t="s">
        <v>1363</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50000301</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50000302</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1362</v>
      </c>
      <c r="BF442" s="60" t="s">
        <v>1363</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50000302</v>
      </c>
      <c r="D443" s="35" t="s">
        <v>257</v>
      </c>
      <c r="E443" s="35" t="s">
        <v>258</v>
      </c>
      <c r="F443" s="32">
        <v>1</v>
      </c>
      <c r="G443" s="32">
        <v>60010500</v>
      </c>
      <c r="H443" s="32">
        <v>0</v>
      </c>
      <c r="I443" s="31">
        <v>2</v>
      </c>
      <c r="J443" s="32">
        <v>1</v>
      </c>
      <c r="K443" s="32">
        <v>3</v>
      </c>
      <c r="L443" s="32">
        <v>0</v>
      </c>
      <c r="M443" s="32">
        <v>0</v>
      </c>
      <c r="N443" s="32">
        <v>0</v>
      </c>
      <c r="O443" s="32">
        <v>1</v>
      </c>
      <c r="P443" s="32">
        <v>0</v>
      </c>
      <c r="Q443" s="32">
        <v>0</v>
      </c>
      <c r="R443" s="32">
        <v>0</v>
      </c>
      <c r="S443" s="19">
        <v>0</v>
      </c>
      <c r="T443" s="32">
        <v>0</v>
      </c>
      <c r="U443" s="21">
        <v>0</v>
      </c>
      <c r="V443" s="32">
        <v>1</v>
      </c>
      <c r="W443" s="32">
        <v>0</v>
      </c>
      <c r="X443" s="32">
        <v>1.1000000000000001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30</v>
      </c>
      <c r="AT443" s="19">
        <v>0</v>
      </c>
      <c r="AU443" s="32" t="s">
        <v>204</v>
      </c>
      <c r="AV443" s="32"/>
      <c r="AW443" s="35" t="s">
        <v>747</v>
      </c>
      <c r="AX443" s="32" t="s">
        <v>259</v>
      </c>
      <c r="AY443" s="32">
        <v>10000011</v>
      </c>
      <c r="AZ443" s="32">
        <v>20000210</v>
      </c>
      <c r="BA443" s="35" t="s">
        <v>256</v>
      </c>
      <c r="BB443" s="35" t="s">
        <v>204</v>
      </c>
      <c r="BC443" s="31">
        <v>0</v>
      </c>
      <c r="BD443" s="31">
        <v>0</v>
      </c>
      <c r="BE443" s="60" t="s">
        <v>1362</v>
      </c>
      <c r="BF443" s="60" t="s">
        <v>1363</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50000401</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50000402</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1362</v>
      </c>
      <c r="BF444" s="60" t="s">
        <v>1363</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32">
        <v>50000402</v>
      </c>
      <c r="D445" s="35" t="s">
        <v>253</v>
      </c>
      <c r="E445" s="35" t="s">
        <v>254</v>
      </c>
      <c r="F445" s="32">
        <v>1</v>
      </c>
      <c r="G445" s="32">
        <v>60010500</v>
      </c>
      <c r="H445" s="32">
        <v>0</v>
      </c>
      <c r="I445" s="31">
        <v>2</v>
      </c>
      <c r="J445" s="32">
        <v>1</v>
      </c>
      <c r="K445" s="32">
        <v>3</v>
      </c>
      <c r="L445" s="32">
        <v>0</v>
      </c>
      <c r="M445" s="32">
        <v>0</v>
      </c>
      <c r="N445" s="32">
        <v>0</v>
      </c>
      <c r="O445" s="32">
        <v>1</v>
      </c>
      <c r="P445" s="32">
        <v>0</v>
      </c>
      <c r="Q445" s="32">
        <v>0</v>
      </c>
      <c r="R445" s="32">
        <v>0</v>
      </c>
      <c r="S445" s="19">
        <v>0</v>
      </c>
      <c r="T445" s="32">
        <v>50000401</v>
      </c>
      <c r="U445" s="21">
        <v>0</v>
      </c>
      <c r="V445" s="32">
        <v>1</v>
      </c>
      <c r="W445" s="32">
        <v>0</v>
      </c>
      <c r="X445" s="32">
        <v>1</v>
      </c>
      <c r="Y445" s="19">
        <v>0</v>
      </c>
      <c r="Z445" s="32">
        <v>0</v>
      </c>
      <c r="AA445" s="32">
        <v>0</v>
      </c>
      <c r="AB445" s="32">
        <v>0</v>
      </c>
      <c r="AC445" s="32">
        <v>0</v>
      </c>
      <c r="AD445" s="32">
        <v>1</v>
      </c>
      <c r="AE445" s="32">
        <v>0</v>
      </c>
      <c r="AF445" s="32">
        <v>1</v>
      </c>
      <c r="AG445" s="32">
        <v>0</v>
      </c>
      <c r="AH445" s="32">
        <v>10</v>
      </c>
      <c r="AI445" s="19">
        <v>7</v>
      </c>
      <c r="AJ445" s="19">
        <v>0</v>
      </c>
      <c r="AK445" s="19">
        <v>0</v>
      </c>
      <c r="AL445" s="19">
        <v>0</v>
      </c>
      <c r="AM445" s="32">
        <v>0</v>
      </c>
      <c r="AN445" s="32">
        <v>0</v>
      </c>
      <c r="AO445" s="32">
        <v>0</v>
      </c>
      <c r="AP445" s="32">
        <v>0</v>
      </c>
      <c r="AQ445" s="32">
        <v>1000</v>
      </c>
      <c r="AR445" s="32">
        <v>1</v>
      </c>
      <c r="AS445" s="32">
        <v>20</v>
      </c>
      <c r="AT445" s="19">
        <v>0</v>
      </c>
      <c r="AU445" s="32" t="s">
        <v>204</v>
      </c>
      <c r="AV445" s="32"/>
      <c r="AW445" s="35" t="s">
        <v>747</v>
      </c>
      <c r="AX445" s="32">
        <v>0</v>
      </c>
      <c r="AY445" s="32">
        <v>10000011</v>
      </c>
      <c r="AZ445" s="32">
        <v>20000210</v>
      </c>
      <c r="BA445" s="35" t="s">
        <v>256</v>
      </c>
      <c r="BB445" s="35" t="s">
        <v>204</v>
      </c>
      <c r="BC445" s="31">
        <v>0</v>
      </c>
      <c r="BD445" s="31">
        <v>0</v>
      </c>
      <c r="BE445" s="60" t="s">
        <v>1362</v>
      </c>
      <c r="BF445" s="60" t="s">
        <v>1363</v>
      </c>
      <c r="BG445" s="32">
        <v>0</v>
      </c>
      <c r="BH445" s="21">
        <v>0</v>
      </c>
      <c r="BI445" s="32">
        <v>0</v>
      </c>
      <c r="BJ445" s="32">
        <v>0</v>
      </c>
      <c r="BK445" s="32">
        <v>0</v>
      </c>
      <c r="BL445" s="32">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50000501</v>
      </c>
      <c r="D446" s="30" t="s">
        <v>1356</v>
      </c>
      <c r="E446" s="30" t="s">
        <v>1357</v>
      </c>
      <c r="F446" s="21">
        <v>1</v>
      </c>
      <c r="G446" s="21">
        <v>60010300</v>
      </c>
      <c r="H446" s="21">
        <v>60010302</v>
      </c>
      <c r="I446" s="31">
        <v>2</v>
      </c>
      <c r="J446" s="21">
        <v>0</v>
      </c>
      <c r="K446" s="21">
        <v>3</v>
      </c>
      <c r="L446" s="21">
        <v>0</v>
      </c>
      <c r="M446" s="21">
        <v>0</v>
      </c>
      <c r="N446" s="21">
        <v>0</v>
      </c>
      <c r="O446" s="21">
        <v>6</v>
      </c>
      <c r="P446" s="21">
        <v>0</v>
      </c>
      <c r="Q446" s="21">
        <v>0</v>
      </c>
      <c r="R446" s="21">
        <v>0</v>
      </c>
      <c r="S446" s="19">
        <v>0</v>
      </c>
      <c r="T446" s="21">
        <v>50000502</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0.5</v>
      </c>
      <c r="AS446" s="21">
        <v>0</v>
      </c>
      <c r="AT446" s="19">
        <v>0</v>
      </c>
      <c r="AU446" s="21" t="s">
        <v>204</v>
      </c>
      <c r="AV446" s="21"/>
      <c r="AW446" s="30" t="s">
        <v>238</v>
      </c>
      <c r="AX446" s="21" t="s">
        <v>239</v>
      </c>
      <c r="AY446" s="32">
        <v>10000001</v>
      </c>
      <c r="AZ446" s="32">
        <v>20000010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50000502</v>
      </c>
      <c r="D447" s="30" t="s">
        <v>1358</v>
      </c>
      <c r="E447" s="30" t="s">
        <v>1359</v>
      </c>
      <c r="F447" s="21">
        <v>1</v>
      </c>
      <c r="G447" s="21">
        <v>60010300</v>
      </c>
      <c r="H447" s="21">
        <v>60010303</v>
      </c>
      <c r="I447" s="31">
        <v>2</v>
      </c>
      <c r="J447" s="21">
        <v>0</v>
      </c>
      <c r="K447" s="21">
        <v>3</v>
      </c>
      <c r="L447" s="21">
        <v>0</v>
      </c>
      <c r="M447" s="21">
        <v>0</v>
      </c>
      <c r="N447" s="21">
        <v>0</v>
      </c>
      <c r="O447" s="21">
        <v>6</v>
      </c>
      <c r="P447" s="21">
        <v>0</v>
      </c>
      <c r="Q447" s="21">
        <v>0</v>
      </c>
      <c r="R447" s="21">
        <v>0</v>
      </c>
      <c r="S447" s="19">
        <v>0</v>
      </c>
      <c r="T447" s="21">
        <v>50000503</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v>
      </c>
      <c r="AS447" s="21">
        <v>0</v>
      </c>
      <c r="AT447" s="19">
        <v>0</v>
      </c>
      <c r="AU447" s="21" t="s">
        <v>204</v>
      </c>
      <c r="AV447" s="21"/>
      <c r="AW447" s="30" t="s">
        <v>242</v>
      </c>
      <c r="AX447" s="21" t="s">
        <v>239</v>
      </c>
      <c r="AY447" s="32">
        <v>10000001</v>
      </c>
      <c r="AZ447" s="32">
        <v>20000020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50000503</v>
      </c>
      <c r="D448" s="30" t="s">
        <v>1360</v>
      </c>
      <c r="E448" s="30" t="s">
        <v>1361</v>
      </c>
      <c r="F448" s="21">
        <v>1</v>
      </c>
      <c r="G448" s="21">
        <v>60010300</v>
      </c>
      <c r="H448" s="21">
        <v>60010301</v>
      </c>
      <c r="I448" s="31">
        <v>2</v>
      </c>
      <c r="J448" s="21">
        <v>0</v>
      </c>
      <c r="K448" s="21">
        <v>3</v>
      </c>
      <c r="L448" s="21">
        <v>0</v>
      </c>
      <c r="M448" s="21">
        <v>0</v>
      </c>
      <c r="N448" s="21">
        <v>0</v>
      </c>
      <c r="O448" s="21">
        <v>6</v>
      </c>
      <c r="P448" s="21">
        <v>0</v>
      </c>
      <c r="Q448" s="21">
        <v>0</v>
      </c>
      <c r="R448" s="21">
        <v>0</v>
      </c>
      <c r="S448" s="19">
        <v>0</v>
      </c>
      <c r="T448" s="21">
        <v>50000501</v>
      </c>
      <c r="U448" s="21">
        <v>0</v>
      </c>
      <c r="V448" s="21">
        <v>2</v>
      </c>
      <c r="W448" s="21">
        <v>0</v>
      </c>
      <c r="X448" s="21">
        <v>1</v>
      </c>
      <c r="Y448" s="19">
        <v>0</v>
      </c>
      <c r="Z448" s="32">
        <v>0</v>
      </c>
      <c r="AA448" s="21">
        <v>0</v>
      </c>
      <c r="AB448" s="21">
        <v>0</v>
      </c>
      <c r="AC448" s="21">
        <v>0</v>
      </c>
      <c r="AD448" s="21">
        <v>1</v>
      </c>
      <c r="AE448" s="21">
        <v>0</v>
      </c>
      <c r="AF448" s="21">
        <v>0</v>
      </c>
      <c r="AG448" s="21">
        <v>2</v>
      </c>
      <c r="AH448" s="21" t="s">
        <v>237</v>
      </c>
      <c r="AI448" s="19">
        <v>2</v>
      </c>
      <c r="AJ448" s="19">
        <v>0</v>
      </c>
      <c r="AK448" s="19">
        <v>0</v>
      </c>
      <c r="AL448" s="19">
        <v>0</v>
      </c>
      <c r="AM448" s="21">
        <v>0</v>
      </c>
      <c r="AN448" s="21">
        <v>0</v>
      </c>
      <c r="AO448" s="21">
        <v>0</v>
      </c>
      <c r="AP448" s="21">
        <v>1</v>
      </c>
      <c r="AQ448" s="21">
        <v>3000</v>
      </c>
      <c r="AR448" s="21">
        <v>1.2</v>
      </c>
      <c r="AS448" s="21">
        <v>0</v>
      </c>
      <c r="AT448" s="19">
        <v>0</v>
      </c>
      <c r="AU448" s="21" t="s">
        <v>204</v>
      </c>
      <c r="AV448" s="21"/>
      <c r="AW448" s="30" t="s">
        <v>245</v>
      </c>
      <c r="AX448" s="21" t="s">
        <v>239</v>
      </c>
      <c r="AY448" s="32">
        <v>10000001</v>
      </c>
      <c r="AZ448" s="32">
        <v>20000030</v>
      </c>
      <c r="BA448" s="30" t="s">
        <v>206</v>
      </c>
      <c r="BB448" s="21">
        <v>0</v>
      </c>
      <c r="BC448" s="31">
        <v>0</v>
      </c>
      <c r="BD448" s="31">
        <v>0</v>
      </c>
      <c r="BE448" s="33" t="s">
        <v>583</v>
      </c>
      <c r="BF448" s="33" t="s">
        <v>584</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51011101</v>
      </c>
      <c r="D449" s="30" t="s">
        <v>604</v>
      </c>
      <c r="E449" s="30" t="s">
        <v>605</v>
      </c>
      <c r="F449" s="21">
        <v>0</v>
      </c>
      <c r="G449" s="21">
        <v>61011101</v>
      </c>
      <c r="H449" s="21">
        <v>51011102</v>
      </c>
      <c r="I449" s="31">
        <v>1</v>
      </c>
      <c r="J449" s="21">
        <v>1</v>
      </c>
      <c r="K449" s="21">
        <v>0</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"&lt;color=#D3FD3A&gt;裂波击(剑类武器技能):\n&lt;/color&gt;"&amp;BE629&amp;"\n\n&lt;color=#D3FD3A&gt;裂地击(刀类武器技能):\n&lt;/color&gt;"&amp;BE611</f>
        <v>&lt;color=#D3FD3A&gt;裂波击(剑类武器技能):\n&lt;/color&gt;立即对目标范围内的怪物造成225%攻击伤害+750点固定伤害,并使目标速度降低50%和受到伤害增加30%,持续3秒\n\n&lt;color=#D3FD3A&gt;裂地击(刀类武器技能):\n&lt;/color&gt;立即对目标范围内的怪物造成200%攻击伤害+750点固定伤害,并对目标造成易伤效果,使其受到伤害提升20%,持续3秒</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51011102</v>
      </c>
      <c r="D450" s="30" t="s">
        <v>604</v>
      </c>
      <c r="E450" s="30" t="s">
        <v>605</v>
      </c>
      <c r="F450" s="21">
        <v>1</v>
      </c>
      <c r="G450" s="21">
        <v>61011101</v>
      </c>
      <c r="H450" s="21">
        <v>51011103</v>
      </c>
      <c r="I450" s="31">
        <v>1</v>
      </c>
      <c r="J450" s="21">
        <v>6</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ref="BE450:BE454" si="5">"&lt;color=#D3FD3A&gt;裂波击(剑类武器技能):\n&lt;/color&gt;"&amp;BE630&amp;"\n\n&lt;color=#D3FD3A&gt;裂地击(刀类武器技能):\n&lt;/color&gt;"&amp;BE612</f>
        <v>&lt;color=#D3FD3A&gt;裂波击(剑类武器技能):\n&lt;/color&gt;立即对目标范围内的怪物造成225%攻击伤害+750点固定伤害,并使目标速度降低50%和受到伤害增加30%,持续3秒\n\n&lt;color=#D3FD3A&gt;裂地击(刀类武器技能):\n&lt;/color&gt;立即对目标范围内的怪物造成250%攻击伤害+750点固定伤害,并对目标造成易伤效果,使其受到伤害提升20%,持续3秒</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51011103</v>
      </c>
      <c r="D451" s="30" t="s">
        <v>604</v>
      </c>
      <c r="E451" s="30" t="s">
        <v>605</v>
      </c>
      <c r="F451" s="21">
        <v>2</v>
      </c>
      <c r="G451" s="21">
        <v>61011101</v>
      </c>
      <c r="H451" s="21">
        <v>51011104</v>
      </c>
      <c r="I451" s="31">
        <v>1</v>
      </c>
      <c r="J451" s="21">
        <v>0</v>
      </c>
      <c r="K451" s="21">
        <v>3</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250%攻击伤害+1500点固定伤害,并使目标速度降低50%和受到伤害增加30%,持续3秒\n\n&lt;color=#D3FD3A&gt;裂地击(刀类武器技能):\n&lt;/color&gt;立即对目标范围内的怪物造成275%攻击伤害+1500点固定伤害,并对目标造成易伤效果,使其受到伤害提升20%,持续3秒</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51011104</v>
      </c>
      <c r="D452" s="30" t="s">
        <v>604</v>
      </c>
      <c r="E452" s="30" t="s">
        <v>605</v>
      </c>
      <c r="F452" s="21">
        <v>3</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275%攻击伤害+2250点固定伤害,并使目标速度降低50%和受到伤害增加30%,持续3秒\n\n&lt;color=#D3FD3A&gt;裂地击(刀类武器技能):\n&lt;/color&gt;立即对目标范围内的怪物造成300%攻击伤害+2250点固定伤害,并对目标造成易伤效果,使其受到伤害提升20%,持续3秒</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51011105</v>
      </c>
      <c r="D453" s="30" t="s">
        <v>604</v>
      </c>
      <c r="E453" s="30" t="s">
        <v>605</v>
      </c>
      <c r="F453" s="21">
        <v>4</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300%攻击伤害+3250点固定伤害,并使目标速度降低50%和受到伤害增加30%,持续3秒\n\n&lt;color=#D3FD3A&gt;裂地击(刀类武器技能):\n&lt;/color&gt;立即对目标范围内的怪物造成325%攻击伤害+3250点固定伤害,并对目标造成易伤效果,使其受到伤害提升20%,持续3秒</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51011106</v>
      </c>
      <c r="D454" s="30" t="s">
        <v>604</v>
      </c>
      <c r="E454" s="30" t="s">
        <v>605</v>
      </c>
      <c r="F454" s="21">
        <v>5</v>
      </c>
      <c r="G454" s="21">
        <v>61011101</v>
      </c>
      <c r="H454" s="21">
        <v>0</v>
      </c>
      <c r="I454" s="31">
        <v>1</v>
      </c>
      <c r="J454" s="21">
        <v>0</v>
      </c>
      <c r="K454" s="21">
        <v>0</v>
      </c>
      <c r="L454" s="21">
        <v>0</v>
      </c>
      <c r="M454" s="21">
        <v>0</v>
      </c>
      <c r="N454" s="21">
        <v>0</v>
      </c>
      <c r="O454" s="21">
        <v>6</v>
      </c>
      <c r="P454" s="21">
        <v>0</v>
      </c>
      <c r="Q454" s="21">
        <v>0</v>
      </c>
      <c r="R454" s="21">
        <v>0</v>
      </c>
      <c r="S454" s="19">
        <v>0</v>
      </c>
      <c r="T454" s="21">
        <v>0</v>
      </c>
      <c r="U454" s="21">
        <v>1</v>
      </c>
      <c r="V454" s="21">
        <v>2</v>
      </c>
      <c r="W454" s="21">
        <v>0</v>
      </c>
      <c r="X454" s="21">
        <v>3</v>
      </c>
      <c r="Y454" s="19">
        <v>0</v>
      </c>
      <c r="Z454" s="21">
        <v>350</v>
      </c>
      <c r="AA454" s="21">
        <v>0</v>
      </c>
      <c r="AB454" s="21">
        <v>0</v>
      </c>
      <c r="AC454" s="21">
        <v>0</v>
      </c>
      <c r="AD454" s="21">
        <v>0</v>
      </c>
      <c r="AE454" s="21">
        <v>0</v>
      </c>
      <c r="AF454" s="21">
        <v>9</v>
      </c>
      <c r="AG454" s="21">
        <v>2</v>
      </c>
      <c r="AH454" s="21" t="s">
        <v>219</v>
      </c>
      <c r="AI454" s="19">
        <v>2</v>
      </c>
      <c r="AJ454" s="19">
        <v>2</v>
      </c>
      <c r="AK454" s="19">
        <v>0</v>
      </c>
      <c r="AL454" s="19">
        <v>1.5</v>
      </c>
      <c r="AM454" s="21">
        <v>0</v>
      </c>
      <c r="AN454" s="21">
        <v>0</v>
      </c>
      <c r="AO454" s="21">
        <v>0</v>
      </c>
      <c r="AP454" s="21">
        <v>1</v>
      </c>
      <c r="AQ454" s="21">
        <v>3000</v>
      </c>
      <c r="AR454" s="21">
        <v>0.5</v>
      </c>
      <c r="AS454" s="21">
        <v>0</v>
      </c>
      <c r="AT454" s="19">
        <v>0</v>
      </c>
      <c r="AU454" s="21" t="s">
        <v>204</v>
      </c>
      <c r="AV454" s="21"/>
      <c r="AW454" s="30" t="s">
        <v>293</v>
      </c>
      <c r="AX454" s="21" t="s">
        <v>551</v>
      </c>
      <c r="AY454" s="32">
        <v>10000007</v>
      </c>
      <c r="AZ454" s="32">
        <v>21000110</v>
      </c>
      <c r="BA454" s="30" t="s">
        <v>206</v>
      </c>
      <c r="BB454" s="21">
        <v>0</v>
      </c>
      <c r="BC454" s="31">
        <v>0</v>
      </c>
      <c r="BD454" s="31">
        <v>0</v>
      </c>
      <c r="BE454" s="171" t="str">
        <f t="shared" si="5"/>
        <v>&lt;color=#D3FD3A&gt;裂波击(剑类武器技能):\n&lt;/color&gt;立即对目标范围内的怪物造成325%攻击伤害+4250点固定伤害,并使目标速度降低50%和受到伤害增加30%,持续3秒\n\n&lt;color=#D3FD3A&gt;裂地击(刀类武器技能):\n&lt;/color&gt;立即对目标范围内的怪物造成350%攻击伤害+4250点固定伤害,并对目标造成易伤效果,使其受到伤害提升20%,持续3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51011201</v>
      </c>
      <c r="D455" s="30" t="s">
        <v>538</v>
      </c>
      <c r="E455" s="30" t="s">
        <v>261</v>
      </c>
      <c r="F455" s="21">
        <v>0</v>
      </c>
      <c r="G455" s="21">
        <v>61011201</v>
      </c>
      <c r="H455" s="21">
        <v>51011202</v>
      </c>
      <c r="I455" s="31">
        <v>1</v>
      </c>
      <c r="J455" s="21">
        <v>3</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"&lt;color=#D3FD3A&gt;旋风击(剑类武器技能):\n&lt;/color&gt;"&amp;BE635&amp;"\n\n&lt;color=#D3FD3A&gt;回旋击(刀类武器技能):\n&lt;/color&gt;"&amp;BE617</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51011202</v>
      </c>
      <c r="D456" s="30" t="s">
        <v>538</v>
      </c>
      <c r="E456" s="30" t="s">
        <v>261</v>
      </c>
      <c r="F456" s="21">
        <v>1</v>
      </c>
      <c r="G456" s="21">
        <v>61011201</v>
      </c>
      <c r="H456" s="21">
        <v>51011203</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ref="BE456:BE460" si="6">"&lt;color=#D3FD3A&gt;旋风击(剑类武器技能):\n&lt;/color&gt;"&amp;BE636&amp;"\n\n&lt;color=#D3FD3A&gt;回旋击(刀类武器技能):\n&lt;/color&gt;"&amp;BE618</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51011203</v>
      </c>
      <c r="D457" s="30" t="s">
        <v>538</v>
      </c>
      <c r="E457" s="30" t="s">
        <v>261</v>
      </c>
      <c r="F457" s="21">
        <v>2</v>
      </c>
      <c r="G457" s="21">
        <v>61011201</v>
      </c>
      <c r="H457" s="21">
        <v>51011204</v>
      </c>
      <c r="I457" s="31">
        <v>1</v>
      </c>
      <c r="J457" s="21">
        <v>0</v>
      </c>
      <c r="K457" s="21">
        <v>3</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51011204</v>
      </c>
      <c r="D458" s="30" t="s">
        <v>538</v>
      </c>
      <c r="E458" s="30" t="s">
        <v>261</v>
      </c>
      <c r="F458" s="21">
        <v>3</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51011205</v>
      </c>
      <c r="D459" s="30" t="s">
        <v>538</v>
      </c>
      <c r="E459" s="30" t="s">
        <v>261</v>
      </c>
      <c r="F459" s="21">
        <v>4</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51011206</v>
      </c>
      <c r="D460" s="30" t="s">
        <v>538</v>
      </c>
      <c r="E460" s="30" t="s">
        <v>261</v>
      </c>
      <c r="F460" s="21">
        <v>5</v>
      </c>
      <c r="G460" s="21">
        <v>61011201</v>
      </c>
      <c r="H460" s="21">
        <v>0</v>
      </c>
      <c r="I460" s="31">
        <v>1</v>
      </c>
      <c r="J460" s="21">
        <v>0</v>
      </c>
      <c r="K460" s="21">
        <v>0</v>
      </c>
      <c r="L460" s="21">
        <v>0</v>
      </c>
      <c r="M460" s="21">
        <v>0</v>
      </c>
      <c r="N460" s="21">
        <v>0</v>
      </c>
      <c r="O460" s="21">
        <v>6</v>
      </c>
      <c r="P460" s="21">
        <v>0</v>
      </c>
      <c r="Q460" s="21">
        <v>0</v>
      </c>
      <c r="R460" s="21">
        <v>0</v>
      </c>
      <c r="S460" s="19">
        <v>0</v>
      </c>
      <c r="T460" s="21">
        <v>0</v>
      </c>
      <c r="U460" s="21">
        <v>1</v>
      </c>
      <c r="V460" s="21">
        <v>2</v>
      </c>
      <c r="W460" s="21">
        <v>0</v>
      </c>
      <c r="X460" s="21">
        <v>1.5</v>
      </c>
      <c r="Y460" s="19">
        <v>0</v>
      </c>
      <c r="Z460" s="21">
        <v>10</v>
      </c>
      <c r="AA460" s="21">
        <v>1</v>
      </c>
      <c r="AB460" s="21">
        <v>0</v>
      </c>
      <c r="AC460" s="21">
        <v>0</v>
      </c>
      <c r="AD460" s="21">
        <v>0</v>
      </c>
      <c r="AE460" s="21">
        <v>0</v>
      </c>
      <c r="AF460" s="21">
        <v>5</v>
      </c>
      <c r="AG460" s="21">
        <v>1</v>
      </c>
      <c r="AH460" s="21">
        <v>3</v>
      </c>
      <c r="AI460" s="19">
        <v>2</v>
      </c>
      <c r="AJ460" s="19">
        <v>0</v>
      </c>
      <c r="AK460" s="19">
        <v>0</v>
      </c>
      <c r="AL460" s="19">
        <v>0</v>
      </c>
      <c r="AM460" s="21">
        <v>0</v>
      </c>
      <c r="AN460" s="21">
        <v>0</v>
      </c>
      <c r="AO460" s="21">
        <v>0</v>
      </c>
      <c r="AP460" s="21">
        <v>0.5</v>
      </c>
      <c r="AQ460" s="21">
        <v>3000</v>
      </c>
      <c r="AR460" s="21">
        <v>0.2</v>
      </c>
      <c r="AS460" s="21">
        <v>0</v>
      </c>
      <c r="AT460" s="19">
        <v>0</v>
      </c>
      <c r="AU460" s="21" t="s">
        <v>204</v>
      </c>
      <c r="AV460" s="21"/>
      <c r="AW460" s="30" t="s">
        <v>623</v>
      </c>
      <c r="AX460" s="21" t="s">
        <v>540</v>
      </c>
      <c r="AY460" s="32">
        <v>10000007</v>
      </c>
      <c r="AZ460" s="32">
        <v>21000020</v>
      </c>
      <c r="BA460" s="30" t="s">
        <v>206</v>
      </c>
      <c r="BB460" s="21">
        <v>0</v>
      </c>
      <c r="BC460" s="31">
        <v>0</v>
      </c>
      <c r="BD460" s="31">
        <v>0</v>
      </c>
      <c r="BE460"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60" s="171" t="s">
        <v>1375</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51011301</v>
      </c>
      <c r="D461" s="30" t="s">
        <v>1376</v>
      </c>
      <c r="E461" s="30" t="s">
        <v>1377</v>
      </c>
      <c r="F461" s="21">
        <v>0</v>
      </c>
      <c r="G461" s="21">
        <v>61011301</v>
      </c>
      <c r="H461" s="21">
        <v>51011302</v>
      </c>
      <c r="I461" s="31">
        <v>1</v>
      </c>
      <c r="J461" s="21">
        <v>10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1378</v>
      </c>
      <c r="BB461" s="21">
        <v>0</v>
      </c>
      <c r="BC461" s="31">
        <v>0</v>
      </c>
      <c r="BD461" s="31">
        <v>0</v>
      </c>
      <c r="BE461" s="171" t="str">
        <f>"&lt;color=#D3FD3A&gt;冲锋击(剑类武器技能):\n&lt;/color&gt;"&amp;BE641&amp;"\n\n&lt;color=#D3FD3A&gt;跳跃击(刀类武器技能):\n&lt;/color&gt;"&amp;BE623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1" s="171" t="s">
        <v>1379</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51011302</v>
      </c>
      <c r="D462" s="30" t="s">
        <v>1376</v>
      </c>
      <c r="E462" s="30" t="s">
        <v>1377</v>
      </c>
      <c r="F462" s="21">
        <v>1</v>
      </c>
      <c r="G462" s="21">
        <v>61011301</v>
      </c>
      <c r="H462" s="21">
        <v>51011303</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1378</v>
      </c>
      <c r="BB462" s="21">
        <v>0</v>
      </c>
      <c r="BC462" s="31">
        <v>0</v>
      </c>
      <c r="BD462" s="31">
        <v>0</v>
      </c>
      <c r="BE462" s="171" t="str">
        <f t="shared" ref="BE462:BE466" si="7">"&lt;color=#D3FD3A&gt;冲锋击(剑类武器技能):\n&lt;/color&gt;"&amp;BE642&amp;"\n\n&lt;color=#D3FD3A&gt;跳跃击(刀类武器技能):\n&lt;/color&gt;"&amp;BE624</f>
        <v>&lt;color=#D3FD3A&gt;冲锋击(剑类武器技能):\n&lt;/color&gt;立即冲锋至目标区域并对其怪物造成160%攻击伤害+750点固定伤害,并使自身无敌1秒和将对方眩晕1秒,且对目标造成易伤效果,使其受到伤害提升20%,持续3秒\n\n&lt;color=#D3FD3A&gt;跳跃击(刀类武器技能):\n&lt;/color&gt;立即跳跃至目标区域并对其怪物造成200%攻击伤害+750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51011303</v>
      </c>
      <c r="D463" s="30" t="s">
        <v>1376</v>
      </c>
      <c r="E463" s="30" t="s">
        <v>1377</v>
      </c>
      <c r="F463" s="21">
        <v>2</v>
      </c>
      <c r="G463" s="21">
        <v>61011301</v>
      </c>
      <c r="H463" s="21">
        <v>51011304</v>
      </c>
      <c r="I463" s="31">
        <v>1</v>
      </c>
      <c r="J463" s="21">
        <v>0</v>
      </c>
      <c r="K463" s="21">
        <v>3</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1378</v>
      </c>
      <c r="BB463" s="21">
        <v>0</v>
      </c>
      <c r="BC463" s="31">
        <v>0</v>
      </c>
      <c r="BD463" s="31">
        <v>0</v>
      </c>
      <c r="BE463" s="171" t="str">
        <f t="shared" si="7"/>
        <v>&lt;color=#D3FD3A&gt;冲锋击(剑类武器技能):\n&lt;/color&gt;立即冲锋至目标区域并对其怪物造成180%攻击伤害+1500点固定伤害,并使自身无敌1秒和将对方眩晕1秒,且对目标造成易伤效果,使其受到伤害提升20%,持续3秒\n\n&lt;color=#D3FD3A&gt;跳跃击(刀类武器技能):\n&lt;/color&gt;立即跳跃至目标区域并对其怪物造成225%攻击伤害+1500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51011304</v>
      </c>
      <c r="D464" s="30" t="s">
        <v>1376</v>
      </c>
      <c r="E464" s="30" t="s">
        <v>1377</v>
      </c>
      <c r="F464" s="21">
        <v>3</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1378</v>
      </c>
      <c r="BB464" s="21">
        <v>0</v>
      </c>
      <c r="BC464" s="31">
        <v>0</v>
      </c>
      <c r="BD464" s="31">
        <v>0</v>
      </c>
      <c r="BE464" s="171" t="str">
        <f t="shared" si="7"/>
        <v>&lt;color=#D3FD3A&gt;冲锋击(剑类武器技能):\n&lt;/color&gt;立即冲锋至目标区域并对其怪物造成200%攻击伤害+2250点固定伤害,并使自身无敌1秒和将对方眩晕1秒,且对目标造成易伤效果,使其受到伤害提升20%,持续3秒\n\n&lt;color=#D3FD3A&gt;跳跃击(刀类武器技能):\n&lt;/color&gt;立即跳跃至目标区域并对其怪物造成250%攻击伤害+2250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51011305</v>
      </c>
      <c r="D465" s="30" t="s">
        <v>1376</v>
      </c>
      <c r="E465" s="30" t="s">
        <v>1377</v>
      </c>
      <c r="F465" s="21">
        <v>4</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1378</v>
      </c>
      <c r="BB465" s="21">
        <v>0</v>
      </c>
      <c r="BC465" s="31">
        <v>0</v>
      </c>
      <c r="BD465" s="31">
        <v>0</v>
      </c>
      <c r="BE465" s="171" t="str">
        <f t="shared" si="7"/>
        <v>&lt;color=#D3FD3A&gt;冲锋击(剑类武器技能):\n&lt;/color&gt;立即冲锋至目标区域并对其怪物造成220%攻击伤害+3250点固定伤害,并使自身无敌1秒和将对方眩晕1秒,且对目标造成易伤效果,使其受到伤害提升20%,持续3秒\n\n&lt;color=#D3FD3A&gt;跳跃击(刀类武器技能):\n&lt;/color&gt;立即跳跃至目标区域并对其怪物造成275%攻击伤害+3250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51011306</v>
      </c>
      <c r="D466" s="30" t="s">
        <v>1376</v>
      </c>
      <c r="E466" s="30" t="s">
        <v>1377</v>
      </c>
      <c r="F466" s="21">
        <v>5</v>
      </c>
      <c r="G466" s="21">
        <v>61011301</v>
      </c>
      <c r="H466" s="21">
        <v>0</v>
      </c>
      <c r="I466" s="31">
        <v>1</v>
      </c>
      <c r="J466" s="21">
        <v>0</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1</v>
      </c>
      <c r="AB466" s="21">
        <v>0</v>
      </c>
      <c r="AC466" s="21">
        <v>0</v>
      </c>
      <c r="AD466" s="21">
        <v>0</v>
      </c>
      <c r="AE466" s="21">
        <v>0</v>
      </c>
      <c r="AF466" s="21">
        <v>9</v>
      </c>
      <c r="AG466" s="21">
        <v>1</v>
      </c>
      <c r="AH466" s="21">
        <v>3</v>
      </c>
      <c r="AI466" s="19">
        <v>2</v>
      </c>
      <c r="AJ466" s="19">
        <v>1</v>
      </c>
      <c r="AK466" s="19">
        <v>0</v>
      </c>
      <c r="AL466" s="19">
        <v>6</v>
      </c>
      <c r="AM466" s="21">
        <v>0</v>
      </c>
      <c r="AN466" s="21">
        <v>0</v>
      </c>
      <c r="AO466" s="21">
        <v>0</v>
      </c>
      <c r="AP466" s="21">
        <v>1</v>
      </c>
      <c r="AQ466" s="21">
        <v>3000</v>
      </c>
      <c r="AR466" s="21">
        <v>0.4</v>
      </c>
      <c r="AS466" s="21">
        <v>0</v>
      </c>
      <c r="AT466" s="19">
        <v>0</v>
      </c>
      <c r="AU466" s="21" t="s">
        <v>204</v>
      </c>
      <c r="AV466" s="21"/>
      <c r="AW466" s="30" t="s">
        <v>768</v>
      </c>
      <c r="AX466" s="21" t="s">
        <v>221</v>
      </c>
      <c r="AY466" s="32">
        <v>10000015</v>
      </c>
      <c r="AZ466" s="32">
        <v>21000030</v>
      </c>
      <c r="BA466" s="30" t="s">
        <v>1378</v>
      </c>
      <c r="BB466" s="21">
        <v>0</v>
      </c>
      <c r="BC466" s="31">
        <v>0</v>
      </c>
      <c r="BD466" s="31">
        <v>0</v>
      </c>
      <c r="BE466" s="171" t="str">
        <f t="shared" si="7"/>
        <v>&lt;color=#D3FD3A&gt;冲锋击(剑类武器技能):\n&lt;/color&gt;立即冲锋至目标区域并对其怪物造成240%攻击伤害+4250点固定伤害,并使自身无敌1秒和将对方眩晕1秒,且对目标造成易伤效果,使其受到伤害提升20%,持续3秒\n\n&lt;color=#D3FD3A&gt;跳跃击(刀类武器技能):\n&lt;/color&gt;立即跳跃至目标区域并对其怪物造成300%攻击伤害+4250点固定伤害,并使目标眩晕1秒</v>
      </c>
      <c r="BF466" s="171" t="s">
        <v>1383</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52011101</v>
      </c>
      <c r="D467" s="30" t="s">
        <v>1384</v>
      </c>
      <c r="E467" s="30" t="s">
        <v>1385</v>
      </c>
      <c r="F467" s="21">
        <v>0</v>
      </c>
      <c r="G467" s="21">
        <v>62011101</v>
      </c>
      <c r="H467" s="21">
        <v>52011102</v>
      </c>
      <c r="I467" s="31">
        <v>3</v>
      </c>
      <c r="J467" s="21">
        <v>1</v>
      </c>
      <c r="K467" s="21">
        <v>0</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ref="BE467:BE472" si="8">"&lt;color=#D3FD3A&gt;"&amp;D740&amp;"(法杖武器技能):\n&lt;/color&gt;"&amp;BE740&amp;"\n\n&lt;color=#D3FD3A&gt;"&amp;D746&amp;"(魔法书武器技能):\n&lt;/color&gt;"&amp;BE746</f>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7" s="171" t="s">
        <v>1386</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52011102</v>
      </c>
      <c r="D468" s="30" t="s">
        <v>1384</v>
      </c>
      <c r="E468" s="30" t="s">
        <v>1385</v>
      </c>
      <c r="F468" s="21">
        <v>1</v>
      </c>
      <c r="G468" s="21">
        <v>62011101</v>
      </c>
      <c r="H468" s="21">
        <v>52011103</v>
      </c>
      <c r="I468" s="31">
        <v>3</v>
      </c>
      <c r="J468" s="21">
        <v>6</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225%攻击伤害+900点固定伤害,并附加易伤效果，对目标额外造成20%伤害，持续3秒\n\n&lt;color=#D3FD3A&gt;龙卷雨击(魔法书武器技能):\n&lt;/color&gt;立即对目标范围内的怪物造成225%攻击伤害+750点固定伤害,并使目标移动速度降低50%和额外承受20%伤害,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52011103</v>
      </c>
      <c r="D469" s="30" t="s">
        <v>1384</v>
      </c>
      <c r="E469" s="30" t="s">
        <v>1385</v>
      </c>
      <c r="F469" s="21">
        <v>2</v>
      </c>
      <c r="G469" s="21">
        <v>62011101</v>
      </c>
      <c r="H469" s="21">
        <v>52011104</v>
      </c>
      <c r="I469" s="31">
        <v>3</v>
      </c>
      <c r="J469" s="21">
        <v>0</v>
      </c>
      <c r="K469" s="21">
        <v>3</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250%攻击伤害+1800点固定伤害,并附加易伤效果，对目标额外造成20%伤害，持续3秒\n\n&lt;color=#D3FD3A&gt;龙卷雨击(魔法书武器技能):\n&lt;/color&gt;立即对目标范围内的怪物造成250%攻击伤害+1500点固定伤害,并使目标移动速度降低50%和额外承受20%伤害,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52011104</v>
      </c>
      <c r="D470" s="30" t="s">
        <v>1384</v>
      </c>
      <c r="E470" s="30" t="s">
        <v>1385</v>
      </c>
      <c r="F470" s="21">
        <v>3</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275%攻击伤害+2800点固定伤害,并附加易伤效果，对目标额外造成20%伤害，持续3秒\n\n&lt;color=#D3FD3A&gt;龙卷雨击(魔法书武器技能):\n&lt;/color&gt;立即对目标范围内的怪物造成275%攻击伤害+2250点固定伤害,并使目标移动速度降低50%和额外承受20%伤害,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52011105</v>
      </c>
      <c r="D471" s="30" t="s">
        <v>1384</v>
      </c>
      <c r="E471" s="30" t="s">
        <v>1385</v>
      </c>
      <c r="F471" s="21">
        <v>4</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300%攻击伤害+4000点固定伤害,并附加易伤效果，对目标额外造成20%伤害，持续3秒\n\n&lt;color=#D3FD3A&gt;龙卷雨击(魔法书武器技能):\n&lt;/color&gt;立即对目标范围内的怪物造成300%攻击伤害+3250点固定伤害,并使目标移动速度降低50%和额外承受20%伤害,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52011106</v>
      </c>
      <c r="D472" s="30" t="s">
        <v>1384</v>
      </c>
      <c r="E472" s="30" t="s">
        <v>1385</v>
      </c>
      <c r="F472" s="21">
        <v>5</v>
      </c>
      <c r="G472" s="21">
        <v>62011101</v>
      </c>
      <c r="H472" s="21">
        <v>0</v>
      </c>
      <c r="I472" s="31">
        <v>3</v>
      </c>
      <c r="J472" s="21">
        <v>0</v>
      </c>
      <c r="K472" s="21">
        <v>0</v>
      </c>
      <c r="L472" s="21">
        <v>0</v>
      </c>
      <c r="M472" s="21">
        <v>0</v>
      </c>
      <c r="N472" s="21">
        <v>0</v>
      </c>
      <c r="O472" s="21">
        <v>6</v>
      </c>
      <c r="P472" s="21">
        <v>0</v>
      </c>
      <c r="Q472" s="21">
        <v>0</v>
      </c>
      <c r="R472" s="21">
        <v>0</v>
      </c>
      <c r="S472" s="19">
        <v>0</v>
      </c>
      <c r="T472" s="21">
        <v>0</v>
      </c>
      <c r="U472" s="21">
        <v>1</v>
      </c>
      <c r="V472" s="21">
        <v>2</v>
      </c>
      <c r="W472" s="21">
        <v>0</v>
      </c>
      <c r="X472" s="21">
        <v>3</v>
      </c>
      <c r="Y472" s="19">
        <v>0</v>
      </c>
      <c r="Z472" s="21">
        <v>350</v>
      </c>
      <c r="AA472" s="21">
        <v>0</v>
      </c>
      <c r="AB472" s="21">
        <v>0</v>
      </c>
      <c r="AC472" s="21">
        <v>0</v>
      </c>
      <c r="AD472" s="21">
        <v>0</v>
      </c>
      <c r="AE472" s="21">
        <v>0</v>
      </c>
      <c r="AF472" s="21">
        <v>9</v>
      </c>
      <c r="AG472" s="21">
        <v>2</v>
      </c>
      <c r="AH472" s="21" t="s">
        <v>219</v>
      </c>
      <c r="AI472" s="19">
        <v>2</v>
      </c>
      <c r="AJ472" s="19">
        <v>2</v>
      </c>
      <c r="AK472" s="19">
        <v>0</v>
      </c>
      <c r="AL472" s="19">
        <v>1.5</v>
      </c>
      <c r="AM472" s="21">
        <v>0</v>
      </c>
      <c r="AN472" s="21">
        <v>0</v>
      </c>
      <c r="AO472" s="21">
        <v>0</v>
      </c>
      <c r="AP472" s="21">
        <v>1</v>
      </c>
      <c r="AQ472" s="21">
        <v>3000</v>
      </c>
      <c r="AR472" s="21">
        <v>0.5</v>
      </c>
      <c r="AS472" s="21">
        <v>0</v>
      </c>
      <c r="AT472" s="19">
        <v>0</v>
      </c>
      <c r="AU472" s="21" t="s">
        <v>204</v>
      </c>
      <c r="AV472" s="21"/>
      <c r="AW472" s="30" t="s">
        <v>293</v>
      </c>
      <c r="AX472" s="21" t="s">
        <v>551</v>
      </c>
      <c r="AY472" s="32">
        <v>10000007</v>
      </c>
      <c r="AZ472" s="32">
        <v>21000110</v>
      </c>
      <c r="BA472" s="30" t="s">
        <v>206</v>
      </c>
      <c r="BB472" s="21">
        <v>0</v>
      </c>
      <c r="BC472" s="31">
        <v>0</v>
      </c>
      <c r="BD472" s="31">
        <v>0</v>
      </c>
      <c r="BE472" s="171" t="str">
        <f t="shared" si="8"/>
        <v>&lt;color=#D3FD3A&gt;魔法闪击(法杖武器技能):\n&lt;/color&gt;立即对目标范围内的怪物造成325%攻击伤害+5200点固定伤害,并附加易伤效果，对目标额外造成20%伤害，持续3秒\n\n&lt;color=#D3FD3A&gt;龙卷雨击(魔法书武器技能):\n&lt;/color&gt;立即对目标范围内的怪物造成325%攻击伤害+4250点固定伤害,并使目标移动速度降低50%和额外承受20%伤害,持续3秒</v>
      </c>
      <c r="BF472" s="171" t="s">
        <v>1390</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52011201</v>
      </c>
      <c r="D473" s="30" t="s">
        <v>1391</v>
      </c>
      <c r="E473" s="30" t="s">
        <v>1392</v>
      </c>
      <c r="F473" s="21">
        <v>0</v>
      </c>
      <c r="G473" s="21">
        <v>62011201</v>
      </c>
      <c r="H473" s="21">
        <v>52011202</v>
      </c>
      <c r="I473" s="31">
        <v>3</v>
      </c>
      <c r="J473" s="21">
        <v>3</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ref="BE473:BE478" si="9">"&lt;color=#D3FD3A&gt;"&amp;D752&amp;"(法杖武器技能):\n&lt;/color&gt;"&amp;BE752&amp;"\n\n&lt;color=#D3FD3A&gt;"&amp;D758&amp;"(魔法书类武器技能):\n&lt;/color&gt;"&amp;BE758</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1393</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52011202</v>
      </c>
      <c r="D474" s="30" t="s">
        <v>1391</v>
      </c>
      <c r="E474" s="30" t="s">
        <v>1392</v>
      </c>
      <c r="F474" s="21">
        <v>1</v>
      </c>
      <c r="G474" s="21">
        <v>62011201</v>
      </c>
      <c r="H474" s="21">
        <v>52011203</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52011203</v>
      </c>
      <c r="D475" s="30" t="s">
        <v>1391</v>
      </c>
      <c r="E475" s="30" t="s">
        <v>1392</v>
      </c>
      <c r="F475" s="21">
        <v>2</v>
      </c>
      <c r="G475" s="21">
        <v>62011201</v>
      </c>
      <c r="H475" s="21">
        <v>52011204</v>
      </c>
      <c r="I475" s="31">
        <v>3</v>
      </c>
      <c r="J475" s="21">
        <v>0</v>
      </c>
      <c r="K475" s="21">
        <v>3</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52011204</v>
      </c>
      <c r="D476" s="30" t="s">
        <v>1391</v>
      </c>
      <c r="E476" s="30" t="s">
        <v>1392</v>
      </c>
      <c r="F476" s="21">
        <v>3</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52011205</v>
      </c>
      <c r="D477" s="30" t="s">
        <v>1391</v>
      </c>
      <c r="E477" s="30" t="s">
        <v>1392</v>
      </c>
      <c r="F477" s="21">
        <v>4</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52011206</v>
      </c>
      <c r="D478" s="30" t="s">
        <v>1391</v>
      </c>
      <c r="E478" s="30" t="s">
        <v>1392</v>
      </c>
      <c r="F478" s="21">
        <v>5</v>
      </c>
      <c r="G478" s="21">
        <v>62011201</v>
      </c>
      <c r="H478" s="21">
        <v>0</v>
      </c>
      <c r="I478" s="31">
        <v>3</v>
      </c>
      <c r="J478" s="21">
        <v>0</v>
      </c>
      <c r="K478" s="21">
        <v>0</v>
      </c>
      <c r="L478" s="21">
        <v>0</v>
      </c>
      <c r="M478" s="21">
        <v>0</v>
      </c>
      <c r="N478" s="21">
        <v>0</v>
      </c>
      <c r="O478" s="21">
        <v>6</v>
      </c>
      <c r="P478" s="21">
        <v>0</v>
      </c>
      <c r="Q478" s="21">
        <v>0</v>
      </c>
      <c r="R478" s="21">
        <v>0</v>
      </c>
      <c r="S478" s="19">
        <v>0</v>
      </c>
      <c r="T478" s="21">
        <v>0</v>
      </c>
      <c r="U478" s="21">
        <v>1</v>
      </c>
      <c r="V478" s="21">
        <v>2</v>
      </c>
      <c r="W478" s="21">
        <v>0</v>
      </c>
      <c r="X478" s="21">
        <v>1.5</v>
      </c>
      <c r="Y478" s="19">
        <v>0</v>
      </c>
      <c r="Z478" s="21">
        <v>10</v>
      </c>
      <c r="AA478" s="21">
        <v>1</v>
      </c>
      <c r="AB478" s="21">
        <v>0</v>
      </c>
      <c r="AC478" s="21">
        <v>0</v>
      </c>
      <c r="AD478" s="21">
        <v>0</v>
      </c>
      <c r="AE478" s="21">
        <v>0</v>
      </c>
      <c r="AF478" s="21">
        <v>5</v>
      </c>
      <c r="AG478" s="21">
        <v>1</v>
      </c>
      <c r="AH478" s="21">
        <v>3</v>
      </c>
      <c r="AI478" s="19">
        <v>2</v>
      </c>
      <c r="AJ478" s="19">
        <v>0</v>
      </c>
      <c r="AK478" s="19">
        <v>0</v>
      </c>
      <c r="AL478" s="19">
        <v>0</v>
      </c>
      <c r="AM478" s="21">
        <v>0</v>
      </c>
      <c r="AN478" s="21">
        <v>0</v>
      </c>
      <c r="AO478" s="21">
        <v>0</v>
      </c>
      <c r="AP478" s="21">
        <v>0.5</v>
      </c>
      <c r="AQ478" s="21">
        <v>3000</v>
      </c>
      <c r="AR478" s="21">
        <v>0.2</v>
      </c>
      <c r="AS478" s="21">
        <v>0</v>
      </c>
      <c r="AT478" s="19">
        <v>0</v>
      </c>
      <c r="AU478" s="21" t="s">
        <v>204</v>
      </c>
      <c r="AV478" s="21"/>
      <c r="AW478" s="30" t="s">
        <v>623</v>
      </c>
      <c r="AX478" s="21" t="s">
        <v>540</v>
      </c>
      <c r="AY478" s="32">
        <v>10000007</v>
      </c>
      <c r="AZ478" s="32">
        <v>21000020</v>
      </c>
      <c r="BA478" s="30" t="s">
        <v>206</v>
      </c>
      <c r="BB478" s="21">
        <v>0</v>
      </c>
      <c r="BC478" s="31">
        <v>0</v>
      </c>
      <c r="BD478" s="31">
        <v>0</v>
      </c>
      <c r="BE478"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8" s="171" t="s">
        <v>1397</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52011301</v>
      </c>
      <c r="D479" s="30" t="s">
        <v>1398</v>
      </c>
      <c r="E479" s="30" t="s">
        <v>1399</v>
      </c>
      <c r="F479" s="21">
        <v>0</v>
      </c>
      <c r="G479" s="21">
        <v>62011301</v>
      </c>
      <c r="H479" s="21">
        <v>52011302</v>
      </c>
      <c r="I479" s="31">
        <v>3</v>
      </c>
      <c r="J479" s="21">
        <v>10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1378</v>
      </c>
      <c r="BB479" s="21">
        <v>0</v>
      </c>
      <c r="BC479" s="31">
        <v>0</v>
      </c>
      <c r="BD479" s="31">
        <v>0</v>
      </c>
      <c r="BE479" s="171" t="str">
        <f t="shared" ref="BE479:BE484" si="10">"&lt;color=#D3FD3A&gt;"&amp;D764&amp;"(法杖类武器技能):\n&lt;/color&gt;"&amp;BE764&amp;"\n\n&lt;color=#D3FD3A&gt;"&amp;D770&amp;"(魔法书类武器技能):\n&lt;/color&gt;"&amp;BE770</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1400</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52011302</v>
      </c>
      <c r="D480" s="30" t="s">
        <v>1398</v>
      </c>
      <c r="E480" s="30" t="s">
        <v>1399</v>
      </c>
      <c r="F480" s="21">
        <v>1</v>
      </c>
      <c r="G480" s="21">
        <v>62011301</v>
      </c>
      <c r="H480" s="21">
        <v>52011303</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1378</v>
      </c>
      <c r="BB480" s="21">
        <v>0</v>
      </c>
      <c r="BC480" s="31">
        <v>0</v>
      </c>
      <c r="BD480" s="31">
        <v>0</v>
      </c>
      <c r="BE480"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52011303</v>
      </c>
      <c r="D481" s="30" t="s">
        <v>1398</v>
      </c>
      <c r="E481" s="30" t="s">
        <v>1399</v>
      </c>
      <c r="F481" s="21">
        <v>2</v>
      </c>
      <c r="G481" s="21">
        <v>62011301</v>
      </c>
      <c r="H481" s="21">
        <v>52011304</v>
      </c>
      <c r="I481" s="31">
        <v>3</v>
      </c>
      <c r="J481" s="21">
        <v>0</v>
      </c>
      <c r="K481" s="21">
        <v>3</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1378</v>
      </c>
      <c r="BB481" s="21">
        <v>0</v>
      </c>
      <c r="BC481" s="31">
        <v>0</v>
      </c>
      <c r="BD481" s="31">
        <v>0</v>
      </c>
      <c r="BE481"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52011304</v>
      </c>
      <c r="D482" s="30" t="s">
        <v>1398</v>
      </c>
      <c r="E482" s="30" t="s">
        <v>1399</v>
      </c>
      <c r="F482" s="21">
        <v>3</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1378</v>
      </c>
      <c r="BB482" s="21">
        <v>0</v>
      </c>
      <c r="BC482" s="31">
        <v>0</v>
      </c>
      <c r="BD482" s="31">
        <v>0</v>
      </c>
      <c r="BE482"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52011305</v>
      </c>
      <c r="D483" s="30" t="s">
        <v>1398</v>
      </c>
      <c r="E483" s="30" t="s">
        <v>1399</v>
      </c>
      <c r="F483" s="21">
        <v>4</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1378</v>
      </c>
      <c r="BB483" s="21">
        <v>0</v>
      </c>
      <c r="BC483" s="31">
        <v>0</v>
      </c>
      <c r="BD483" s="31">
        <v>0</v>
      </c>
      <c r="BE483"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21">
        <v>52011306</v>
      </c>
      <c r="D484" s="30" t="s">
        <v>1398</v>
      </c>
      <c r="E484" s="30" t="s">
        <v>1399</v>
      </c>
      <c r="F484" s="21">
        <v>5</v>
      </c>
      <c r="G484" s="21">
        <v>62011301</v>
      </c>
      <c r="H484" s="21">
        <v>0</v>
      </c>
      <c r="I484" s="31">
        <v>3</v>
      </c>
      <c r="J484" s="21">
        <v>0</v>
      </c>
      <c r="K484" s="21">
        <v>0</v>
      </c>
      <c r="L484" s="21">
        <v>0</v>
      </c>
      <c r="M484" s="21">
        <v>0</v>
      </c>
      <c r="N484" s="21">
        <v>0</v>
      </c>
      <c r="O484" s="21">
        <v>6</v>
      </c>
      <c r="P484" s="21">
        <v>0</v>
      </c>
      <c r="Q484" s="21">
        <v>0</v>
      </c>
      <c r="R484" s="21">
        <v>0</v>
      </c>
      <c r="S484" s="19">
        <v>0</v>
      </c>
      <c r="T484" s="21">
        <v>0</v>
      </c>
      <c r="U484" s="21">
        <v>1</v>
      </c>
      <c r="V484" s="21">
        <v>2</v>
      </c>
      <c r="W484" s="21">
        <v>0</v>
      </c>
      <c r="X484" s="21">
        <v>3</v>
      </c>
      <c r="Y484" s="19">
        <v>0</v>
      </c>
      <c r="Z484" s="21">
        <v>350</v>
      </c>
      <c r="AA484" s="21">
        <v>1</v>
      </c>
      <c r="AB484" s="21">
        <v>0</v>
      </c>
      <c r="AC484" s="21">
        <v>0</v>
      </c>
      <c r="AD484" s="21">
        <v>0</v>
      </c>
      <c r="AE484" s="21">
        <v>0</v>
      </c>
      <c r="AF484" s="21">
        <v>9</v>
      </c>
      <c r="AG484" s="21">
        <v>1</v>
      </c>
      <c r="AH484" s="21">
        <v>3</v>
      </c>
      <c r="AI484" s="19">
        <v>2</v>
      </c>
      <c r="AJ484" s="19">
        <v>1</v>
      </c>
      <c r="AK484" s="19">
        <v>0</v>
      </c>
      <c r="AL484" s="19">
        <v>6</v>
      </c>
      <c r="AM484" s="21">
        <v>0</v>
      </c>
      <c r="AN484" s="21">
        <v>0</v>
      </c>
      <c r="AO484" s="21">
        <v>0</v>
      </c>
      <c r="AP484" s="21">
        <v>1</v>
      </c>
      <c r="AQ484" s="21">
        <v>3000</v>
      </c>
      <c r="AR484" s="21">
        <v>0.4</v>
      </c>
      <c r="AS484" s="21">
        <v>0</v>
      </c>
      <c r="AT484" s="19">
        <v>0</v>
      </c>
      <c r="AU484" s="21" t="s">
        <v>204</v>
      </c>
      <c r="AV484" s="21"/>
      <c r="AW484" s="30" t="s">
        <v>768</v>
      </c>
      <c r="AX484" s="21" t="s">
        <v>221</v>
      </c>
      <c r="AY484" s="32">
        <v>10000015</v>
      </c>
      <c r="AZ484" s="32">
        <v>21000030</v>
      </c>
      <c r="BA484" s="30" t="s">
        <v>1378</v>
      </c>
      <c r="BB484" s="21">
        <v>0</v>
      </c>
      <c r="BC484" s="31">
        <v>0</v>
      </c>
      <c r="BD484" s="31">
        <v>0</v>
      </c>
      <c r="BE484"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4" s="171" t="s">
        <v>1404</v>
      </c>
      <c r="BG484" s="21">
        <v>0</v>
      </c>
      <c r="BH484" s="21">
        <v>0</v>
      </c>
      <c r="BI484" s="21">
        <v>0</v>
      </c>
      <c r="BJ484" s="21">
        <v>0</v>
      </c>
      <c r="BK484" s="21">
        <v>0</v>
      </c>
      <c r="BL484" s="21">
        <v>0</v>
      </c>
      <c r="BM484" s="25">
        <v>0</v>
      </c>
      <c r="BN484" s="19">
        <v>0</v>
      </c>
      <c r="BO484" s="19">
        <v>0</v>
      </c>
      <c r="BP484" s="19">
        <v>0</v>
      </c>
      <c r="BQ484" s="19">
        <v>0</v>
      </c>
      <c r="BR484" s="19">
        <v>0</v>
      </c>
      <c r="BS484" s="19">
        <v>0</v>
      </c>
      <c r="BT484" s="19">
        <v>0</v>
      </c>
      <c r="BU484" s="23">
        <v>0</v>
      </c>
      <c r="BV484" s="23"/>
      <c r="BW484" s="23"/>
      <c r="BX484" s="23"/>
      <c r="BY484" s="23"/>
      <c r="BZ484" s="23"/>
    </row>
    <row r="485" spans="3:78" ht="20.100000000000001" customHeight="1">
      <c r="C485" s="172">
        <v>53011101</v>
      </c>
      <c r="D485" s="173" t="s">
        <v>1405</v>
      </c>
      <c r="E485" s="173" t="s">
        <v>1406</v>
      </c>
      <c r="F485" s="172">
        <v>0</v>
      </c>
      <c r="G485" s="172">
        <v>62011101</v>
      </c>
      <c r="H485" s="172">
        <v>53011102</v>
      </c>
      <c r="I485" s="174">
        <v>3</v>
      </c>
      <c r="J485" s="172">
        <v>1</v>
      </c>
      <c r="K485" s="172">
        <v>0</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1407</v>
      </c>
      <c r="AY485" s="176">
        <v>10000007</v>
      </c>
      <c r="AZ485" s="176">
        <v>21000110</v>
      </c>
      <c r="BA485" s="173" t="s">
        <v>206</v>
      </c>
      <c r="BB485" s="172">
        <v>0</v>
      </c>
      <c r="BC485" s="174">
        <v>0</v>
      </c>
      <c r="BD485" s="174">
        <v>0</v>
      </c>
      <c r="BE485" s="177" t="str">
        <f t="shared" ref="BE485:BE490" si="11">"&lt;color=#D3FD3A&gt;"&amp;D882&amp;"(剑类武器技能):\n&lt;/color&gt;"&amp;BE882&amp;"\n\n&lt;color=#D3FD3A&gt;"&amp;D876&amp;"(弓箭类武器技能):\n&lt;/color&gt;"&amp;BE876</f>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5" s="177" t="s">
        <v>1408</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53011102</v>
      </c>
      <c r="D486" s="173" t="s">
        <v>1405</v>
      </c>
      <c r="E486" s="173" t="s">
        <v>1406</v>
      </c>
      <c r="F486" s="172">
        <v>1</v>
      </c>
      <c r="G486" s="172">
        <v>62011101</v>
      </c>
      <c r="H486" s="172">
        <v>53011103</v>
      </c>
      <c r="I486" s="174">
        <v>3</v>
      </c>
      <c r="J486" s="172">
        <v>6</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1407</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130%攻击伤害+600点固定伤害,此光球再移动到一定位置后会再原始路径返回\n\n&lt;color=#D3FD3A&gt;震荡射击(弓箭类武器技能):\n&lt;/color&gt;向前方射出一支锋利的箭,对触碰的怪物造成225%攻击伤害+750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53011103</v>
      </c>
      <c r="D487" s="173" t="s">
        <v>1405</v>
      </c>
      <c r="E487" s="173" t="s">
        <v>1406</v>
      </c>
      <c r="F487" s="172">
        <v>2</v>
      </c>
      <c r="G487" s="172">
        <v>62011101</v>
      </c>
      <c r="H487" s="172">
        <v>53011104</v>
      </c>
      <c r="I487" s="174">
        <v>3</v>
      </c>
      <c r="J487" s="172">
        <v>0</v>
      </c>
      <c r="K487" s="172">
        <v>3</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1407</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+950点固定伤害,此光球再移动到一定位置后会再原始路径返回\n\n&lt;color=#D3FD3A&gt;震荡射击(弓箭类武器技能):\n&lt;/color&gt;向前方射出一支锋利的箭,对触碰的怪物造成250%攻击伤害+1500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53011104</v>
      </c>
      <c r="D488" s="173" t="s">
        <v>1405</v>
      </c>
      <c r="E488" s="173" t="s">
        <v>1406</v>
      </c>
      <c r="F488" s="172">
        <v>3</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1407</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170%攻击伤害+1500点固定伤害,此光球再移动到一定位置后会再原始路径返回\n\n&lt;color=#D3FD3A&gt;震荡射击(弓箭类武器技能):\n&lt;/color&gt;向前方射出一支锋利的箭,对触碰的怪物造成275%攻击伤害+2250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53011105</v>
      </c>
      <c r="D489" s="173" t="s">
        <v>1405</v>
      </c>
      <c r="E489" s="173" t="s">
        <v>1406</v>
      </c>
      <c r="F489" s="172">
        <v>4</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1407</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190%攻击伤害+2250点固定伤害,此光球再移动到一定位置后会再原始路径返回\n\n&lt;color=#D3FD3A&gt;震荡射击(弓箭类武器技能):\n&lt;/color&gt;向前方射出一支锋利的箭,对触碰的怪物造成300%攻击伤害+3250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53011106</v>
      </c>
      <c r="D490" s="173" t="s">
        <v>1405</v>
      </c>
      <c r="E490" s="173" t="s">
        <v>1406</v>
      </c>
      <c r="F490" s="172">
        <v>5</v>
      </c>
      <c r="G490" s="172">
        <v>62011101</v>
      </c>
      <c r="H490" s="172">
        <v>0</v>
      </c>
      <c r="I490" s="174">
        <v>3</v>
      </c>
      <c r="J490" s="172">
        <v>0</v>
      </c>
      <c r="K490" s="172">
        <v>0</v>
      </c>
      <c r="L490" s="172">
        <v>0</v>
      </c>
      <c r="M490" s="172">
        <v>0</v>
      </c>
      <c r="N490" s="172">
        <v>0</v>
      </c>
      <c r="O490" s="172">
        <v>6</v>
      </c>
      <c r="P490" s="172">
        <v>0</v>
      </c>
      <c r="Q490" s="172">
        <v>0</v>
      </c>
      <c r="R490" s="172">
        <v>0</v>
      </c>
      <c r="S490" s="175">
        <v>0</v>
      </c>
      <c r="T490" s="172">
        <v>0</v>
      </c>
      <c r="U490" s="172">
        <v>1</v>
      </c>
      <c r="V490" s="172">
        <v>2</v>
      </c>
      <c r="W490" s="172">
        <v>0</v>
      </c>
      <c r="X490" s="172">
        <v>3</v>
      </c>
      <c r="Y490" s="19">
        <v>0</v>
      </c>
      <c r="Z490" s="172">
        <v>350</v>
      </c>
      <c r="AA490" s="172">
        <v>0</v>
      </c>
      <c r="AB490" s="172">
        <v>0</v>
      </c>
      <c r="AC490" s="172">
        <v>0</v>
      </c>
      <c r="AD490" s="172">
        <v>0</v>
      </c>
      <c r="AE490" s="172">
        <v>0</v>
      </c>
      <c r="AF490" s="172">
        <v>9</v>
      </c>
      <c r="AG490" s="172">
        <v>2</v>
      </c>
      <c r="AH490" s="172" t="s">
        <v>219</v>
      </c>
      <c r="AI490" s="175">
        <v>2</v>
      </c>
      <c r="AJ490" s="175">
        <v>2</v>
      </c>
      <c r="AK490" s="175">
        <v>0</v>
      </c>
      <c r="AL490" s="175">
        <v>1.5</v>
      </c>
      <c r="AM490" s="172">
        <v>0</v>
      </c>
      <c r="AN490" s="172">
        <v>0</v>
      </c>
      <c r="AO490" s="172">
        <v>0</v>
      </c>
      <c r="AP490" s="172">
        <v>1</v>
      </c>
      <c r="AQ490" s="172">
        <v>2000</v>
      </c>
      <c r="AR490" s="172">
        <v>0.5</v>
      </c>
      <c r="AS490" s="172">
        <v>0</v>
      </c>
      <c r="AT490" s="175">
        <v>0</v>
      </c>
      <c r="AU490" s="172" t="s">
        <v>204</v>
      </c>
      <c r="AV490" s="172"/>
      <c r="AW490" s="173" t="s">
        <v>293</v>
      </c>
      <c r="AX490" s="32" t="s">
        <v>1407</v>
      </c>
      <c r="AY490" s="176">
        <v>10000007</v>
      </c>
      <c r="AZ490" s="176">
        <v>21000110</v>
      </c>
      <c r="BA490" s="173" t="s">
        <v>206</v>
      </c>
      <c r="BB490" s="172">
        <v>0</v>
      </c>
      <c r="BC490" s="174">
        <v>0</v>
      </c>
      <c r="BD490" s="174">
        <v>0</v>
      </c>
      <c r="BE490" s="177" t="str">
        <f t="shared" si="11"/>
        <v>&lt;color=#D3FD3A&gt;奥义投掷(剑类武器技能):\n&lt;/color&gt;对目标方向投掷2个光球,对触碰的单位造成造成210%攻击伤害+3000点固定伤害,此光球再移动到一定位置后会再原始路径返回\n\n&lt;color=#D3FD3A&gt;震荡射击(弓箭类武器技能):\n&lt;/color&gt;向前方射出一支锋利的箭,对触碰的怪物造成325%攻击伤害+4250点固定伤害,并使目标移动速度降低50%,持续3秒</v>
      </c>
      <c r="BF490" s="177" t="s">
        <v>1412</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53011201</v>
      </c>
      <c r="D491" s="173" t="s">
        <v>1413</v>
      </c>
      <c r="E491" s="173" t="s">
        <v>1414</v>
      </c>
      <c r="F491" s="172">
        <v>0</v>
      </c>
      <c r="G491" s="172">
        <v>62011201</v>
      </c>
      <c r="H491" s="172">
        <v>53011202</v>
      </c>
      <c r="I491" s="174">
        <v>3</v>
      </c>
      <c r="J491" s="172">
        <v>3</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1415</v>
      </c>
      <c r="AY491" s="176">
        <v>10000007</v>
      </c>
      <c r="AZ491" s="176">
        <v>21000020</v>
      </c>
      <c r="BA491" s="173" t="s">
        <v>206</v>
      </c>
      <c r="BB491" s="172">
        <v>0</v>
      </c>
      <c r="BC491" s="174">
        <v>0</v>
      </c>
      <c r="BD491" s="174">
        <v>0</v>
      </c>
      <c r="BE491" s="177" t="str">
        <f t="shared" ref="BE491:BE496" si="12">"&lt;color=#D3FD3A&gt;"&amp;D907&amp;"(剑类武器技能):\n&lt;/color&gt;"&amp;BE907&amp;"\n\n&lt;color=#D3FD3A&gt;"&amp;D888&amp;"(弓箭类武器技能):\n&lt;/color&gt;"&amp;BE888</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1416</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53011202</v>
      </c>
      <c r="D492" s="173" t="s">
        <v>1413</v>
      </c>
      <c r="E492" s="173" t="s">
        <v>1414</v>
      </c>
      <c r="F492" s="172">
        <v>1</v>
      </c>
      <c r="G492" s="172">
        <v>62011201</v>
      </c>
      <c r="H492" s="172">
        <v>53011203</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1415</v>
      </c>
      <c r="AY492" s="176">
        <v>10000007</v>
      </c>
      <c r="AZ492" s="176">
        <v>21000020</v>
      </c>
      <c r="BA492" s="173" t="s">
        <v>206</v>
      </c>
      <c r="BB492" s="172">
        <v>0</v>
      </c>
      <c r="BC492" s="174">
        <v>0</v>
      </c>
      <c r="BD492" s="174">
        <v>0</v>
      </c>
      <c r="BE492"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53011203</v>
      </c>
      <c r="D493" s="173" t="s">
        <v>1413</v>
      </c>
      <c r="E493" s="173" t="s">
        <v>1414</v>
      </c>
      <c r="F493" s="172">
        <v>2</v>
      </c>
      <c r="G493" s="172">
        <v>62011201</v>
      </c>
      <c r="H493" s="172">
        <v>53011204</v>
      </c>
      <c r="I493" s="174">
        <v>3</v>
      </c>
      <c r="J493" s="172">
        <v>0</v>
      </c>
      <c r="K493" s="172">
        <v>3</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1415</v>
      </c>
      <c r="AY493" s="176">
        <v>10000007</v>
      </c>
      <c r="AZ493" s="176">
        <v>21000020</v>
      </c>
      <c r="BA493" s="173" t="s">
        <v>206</v>
      </c>
      <c r="BB493" s="172">
        <v>0</v>
      </c>
      <c r="BC493" s="174">
        <v>0</v>
      </c>
      <c r="BD493" s="174">
        <v>0</v>
      </c>
      <c r="BE493"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53011204</v>
      </c>
      <c r="D494" s="173" t="s">
        <v>1413</v>
      </c>
      <c r="E494" s="173" t="s">
        <v>1414</v>
      </c>
      <c r="F494" s="172">
        <v>3</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1415</v>
      </c>
      <c r="AY494" s="176">
        <v>10000007</v>
      </c>
      <c r="AZ494" s="176">
        <v>21000020</v>
      </c>
      <c r="BA494" s="173" t="s">
        <v>206</v>
      </c>
      <c r="BB494" s="172">
        <v>0</v>
      </c>
      <c r="BC494" s="174">
        <v>0</v>
      </c>
      <c r="BD494" s="174">
        <v>0</v>
      </c>
      <c r="BE494"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53011205</v>
      </c>
      <c r="D495" s="173" t="s">
        <v>1413</v>
      </c>
      <c r="E495" s="173" t="s">
        <v>1414</v>
      </c>
      <c r="F495" s="172">
        <v>4</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1415</v>
      </c>
      <c r="AY495" s="176">
        <v>10000007</v>
      </c>
      <c r="AZ495" s="176">
        <v>21000020</v>
      </c>
      <c r="BA495" s="173" t="s">
        <v>206</v>
      </c>
      <c r="BB495" s="172">
        <v>0</v>
      </c>
      <c r="BC495" s="174">
        <v>0</v>
      </c>
      <c r="BD495" s="174">
        <v>0</v>
      </c>
      <c r="BE495"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53011206</v>
      </c>
      <c r="D496" s="173" t="s">
        <v>1413</v>
      </c>
      <c r="E496" s="173" t="s">
        <v>1414</v>
      </c>
      <c r="F496" s="172">
        <v>5</v>
      </c>
      <c r="G496" s="172">
        <v>62011201</v>
      </c>
      <c r="H496" s="172">
        <v>0</v>
      </c>
      <c r="I496" s="174">
        <v>3</v>
      </c>
      <c r="J496" s="172">
        <v>0</v>
      </c>
      <c r="K496" s="172">
        <v>0</v>
      </c>
      <c r="L496" s="172">
        <v>0</v>
      </c>
      <c r="M496" s="172">
        <v>0</v>
      </c>
      <c r="N496" s="172">
        <v>0</v>
      </c>
      <c r="O496" s="172">
        <v>6</v>
      </c>
      <c r="P496" s="172">
        <v>0</v>
      </c>
      <c r="Q496" s="172">
        <v>0</v>
      </c>
      <c r="R496" s="172">
        <v>0</v>
      </c>
      <c r="S496" s="175">
        <v>0</v>
      </c>
      <c r="T496" s="172">
        <v>0</v>
      </c>
      <c r="U496" s="172">
        <v>1</v>
      </c>
      <c r="V496" s="172">
        <v>2</v>
      </c>
      <c r="W496" s="172">
        <v>0</v>
      </c>
      <c r="X496" s="172">
        <v>1.5</v>
      </c>
      <c r="Y496" s="19">
        <v>0</v>
      </c>
      <c r="Z496" s="172">
        <v>10</v>
      </c>
      <c r="AA496" s="172">
        <v>1</v>
      </c>
      <c r="AB496" s="172">
        <v>0</v>
      </c>
      <c r="AC496" s="172">
        <v>0</v>
      </c>
      <c r="AD496" s="172">
        <v>0</v>
      </c>
      <c r="AE496" s="172">
        <v>0</v>
      </c>
      <c r="AF496" s="172">
        <v>5</v>
      </c>
      <c r="AG496" s="172">
        <v>1</v>
      </c>
      <c r="AH496" s="172">
        <v>3</v>
      </c>
      <c r="AI496" s="175">
        <v>2</v>
      </c>
      <c r="AJ496" s="175">
        <v>0</v>
      </c>
      <c r="AK496" s="175">
        <v>0</v>
      </c>
      <c r="AL496" s="175">
        <v>0</v>
      </c>
      <c r="AM496" s="172">
        <v>0</v>
      </c>
      <c r="AN496" s="172">
        <v>0</v>
      </c>
      <c r="AO496" s="172">
        <v>0</v>
      </c>
      <c r="AP496" s="172">
        <v>0.5</v>
      </c>
      <c r="AQ496" s="172">
        <v>3000</v>
      </c>
      <c r="AR496" s="172">
        <v>0.2</v>
      </c>
      <c r="AS496" s="172">
        <v>0</v>
      </c>
      <c r="AT496" s="175">
        <v>0</v>
      </c>
      <c r="AU496" s="172" t="s">
        <v>204</v>
      </c>
      <c r="AV496" s="172"/>
      <c r="AW496" s="173" t="s">
        <v>623</v>
      </c>
      <c r="AX496" s="172" t="s">
        <v>1415</v>
      </c>
      <c r="AY496" s="176">
        <v>10000007</v>
      </c>
      <c r="AZ496" s="176">
        <v>21000020</v>
      </c>
      <c r="BA496" s="173" t="s">
        <v>206</v>
      </c>
      <c r="BB496" s="172">
        <v>0</v>
      </c>
      <c r="BC496" s="174">
        <v>0</v>
      </c>
      <c r="BD496" s="174">
        <v>0</v>
      </c>
      <c r="BE496"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6" s="177" t="s">
        <v>1420</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53011301</v>
      </c>
      <c r="D497" s="173" t="s">
        <v>1421</v>
      </c>
      <c r="E497" s="173" t="s">
        <v>1422</v>
      </c>
      <c r="F497" s="172">
        <v>0</v>
      </c>
      <c r="G497" s="172">
        <v>62011301</v>
      </c>
      <c r="H497" s="172">
        <v>53011302</v>
      </c>
      <c r="I497" s="174">
        <v>3</v>
      </c>
      <c r="J497" s="172">
        <v>10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1423</v>
      </c>
      <c r="AY497" s="176">
        <v>10000015</v>
      </c>
      <c r="AZ497" s="176">
        <v>21000030</v>
      </c>
      <c r="BA497" s="173" t="s">
        <v>1378</v>
      </c>
      <c r="BB497" s="172">
        <v>0</v>
      </c>
      <c r="BC497" s="174">
        <v>0</v>
      </c>
      <c r="BD497" s="174">
        <v>0</v>
      </c>
      <c r="BE497" s="177" t="str">
        <f t="shared" ref="BE497:BE502" si="13">"&lt;color=#D3FD3A&gt;"&amp;D919&amp;"(剑类武器技能):\n&lt;/color&gt;"&amp;BE919&amp;"\n\n&lt;color=#D3FD3A&gt;"&amp;D913&amp;"(弓箭类武器技能):\n&lt;/color&gt;"&amp;BE913</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1424</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53011302</v>
      </c>
      <c r="D498" s="173" t="s">
        <v>1421</v>
      </c>
      <c r="E498" s="173" t="s">
        <v>1422</v>
      </c>
      <c r="F498" s="172">
        <v>1</v>
      </c>
      <c r="G498" s="172">
        <v>62011301</v>
      </c>
      <c r="H498" s="172">
        <v>53011303</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1423</v>
      </c>
      <c r="AY498" s="176">
        <v>10000015</v>
      </c>
      <c r="AZ498" s="176">
        <v>21000030</v>
      </c>
      <c r="BA498" s="173" t="s">
        <v>1378</v>
      </c>
      <c r="BB498" s="172">
        <v>0</v>
      </c>
      <c r="BC498" s="174">
        <v>0</v>
      </c>
      <c r="BD498" s="174">
        <v>0</v>
      </c>
      <c r="BE498"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53011303</v>
      </c>
      <c r="D499" s="173" t="s">
        <v>1421</v>
      </c>
      <c r="E499" s="173" t="s">
        <v>1422</v>
      </c>
      <c r="F499" s="172">
        <v>2</v>
      </c>
      <c r="G499" s="172">
        <v>62011301</v>
      </c>
      <c r="H499" s="172">
        <v>53011304</v>
      </c>
      <c r="I499" s="174">
        <v>3</v>
      </c>
      <c r="J499" s="172">
        <v>0</v>
      </c>
      <c r="K499" s="172">
        <v>3</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1423</v>
      </c>
      <c r="AY499" s="176">
        <v>10000015</v>
      </c>
      <c r="AZ499" s="176">
        <v>21000030</v>
      </c>
      <c r="BA499" s="173" t="s">
        <v>1378</v>
      </c>
      <c r="BB499" s="172">
        <v>0</v>
      </c>
      <c r="BC499" s="174">
        <v>0</v>
      </c>
      <c r="BD499" s="174">
        <v>0</v>
      </c>
      <c r="BE499"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53011304</v>
      </c>
      <c r="D500" s="173" t="s">
        <v>1421</v>
      </c>
      <c r="E500" s="173" t="s">
        <v>1422</v>
      </c>
      <c r="F500" s="172">
        <v>3</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1423</v>
      </c>
      <c r="AY500" s="176">
        <v>10000015</v>
      </c>
      <c r="AZ500" s="176">
        <v>21000030</v>
      </c>
      <c r="BA500" s="173" t="s">
        <v>1378</v>
      </c>
      <c r="BB500" s="172">
        <v>0</v>
      </c>
      <c r="BC500" s="174">
        <v>0</v>
      </c>
      <c r="BD500" s="174">
        <v>0</v>
      </c>
      <c r="BE500"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53011305</v>
      </c>
      <c r="D501" s="173" t="s">
        <v>1421</v>
      </c>
      <c r="E501" s="173" t="s">
        <v>1422</v>
      </c>
      <c r="F501" s="172">
        <v>4</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1423</v>
      </c>
      <c r="AY501" s="176">
        <v>10000015</v>
      </c>
      <c r="AZ501" s="176">
        <v>21000030</v>
      </c>
      <c r="BA501" s="173" t="s">
        <v>1378</v>
      </c>
      <c r="BB501" s="172">
        <v>0</v>
      </c>
      <c r="BC501" s="174">
        <v>0</v>
      </c>
      <c r="BD501" s="174">
        <v>0</v>
      </c>
      <c r="BE501"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ht="20.100000000000001" customHeight="1">
      <c r="C502" s="172">
        <v>53011306</v>
      </c>
      <c r="D502" s="173" t="s">
        <v>1421</v>
      </c>
      <c r="E502" s="173" t="s">
        <v>1422</v>
      </c>
      <c r="F502" s="172">
        <v>5</v>
      </c>
      <c r="G502" s="172">
        <v>62011301</v>
      </c>
      <c r="H502" s="172">
        <v>0</v>
      </c>
      <c r="I502" s="174">
        <v>3</v>
      </c>
      <c r="J502" s="172">
        <v>0</v>
      </c>
      <c r="K502" s="172">
        <v>0</v>
      </c>
      <c r="L502" s="172">
        <v>0</v>
      </c>
      <c r="M502" s="172">
        <v>0</v>
      </c>
      <c r="N502" s="172">
        <v>0</v>
      </c>
      <c r="O502" s="172">
        <v>6</v>
      </c>
      <c r="P502" s="172">
        <v>0</v>
      </c>
      <c r="Q502" s="172">
        <v>0</v>
      </c>
      <c r="R502" s="172">
        <v>0</v>
      </c>
      <c r="S502" s="175">
        <v>0</v>
      </c>
      <c r="T502" s="172">
        <v>0</v>
      </c>
      <c r="U502" s="172">
        <v>1</v>
      </c>
      <c r="V502" s="172">
        <v>2</v>
      </c>
      <c r="W502" s="172">
        <v>0</v>
      </c>
      <c r="X502" s="172">
        <v>3</v>
      </c>
      <c r="Y502" s="19">
        <v>0</v>
      </c>
      <c r="Z502" s="172">
        <v>350</v>
      </c>
      <c r="AA502" s="172">
        <v>1</v>
      </c>
      <c r="AB502" s="172">
        <v>0</v>
      </c>
      <c r="AC502" s="172">
        <v>0</v>
      </c>
      <c r="AD502" s="172">
        <v>0</v>
      </c>
      <c r="AE502" s="172">
        <v>0</v>
      </c>
      <c r="AF502" s="172">
        <v>9</v>
      </c>
      <c r="AG502" s="172">
        <v>1</v>
      </c>
      <c r="AH502" s="172">
        <v>3</v>
      </c>
      <c r="AI502" s="175">
        <v>2</v>
      </c>
      <c r="AJ502" s="175">
        <v>1</v>
      </c>
      <c r="AK502" s="175">
        <v>0</v>
      </c>
      <c r="AL502" s="175">
        <v>6</v>
      </c>
      <c r="AM502" s="172">
        <v>0</v>
      </c>
      <c r="AN502" s="172">
        <v>0</v>
      </c>
      <c r="AO502" s="172">
        <v>0</v>
      </c>
      <c r="AP502" s="172">
        <v>1</v>
      </c>
      <c r="AQ502" s="172">
        <v>2000</v>
      </c>
      <c r="AR502" s="172">
        <v>0.4</v>
      </c>
      <c r="AS502" s="172">
        <v>0</v>
      </c>
      <c r="AT502" s="175">
        <v>0</v>
      </c>
      <c r="AU502" s="172" t="s">
        <v>204</v>
      </c>
      <c r="AV502" s="172"/>
      <c r="AW502" s="173" t="s">
        <v>768</v>
      </c>
      <c r="AX502" s="32" t="s">
        <v>1423</v>
      </c>
      <c r="AY502" s="176">
        <v>10000015</v>
      </c>
      <c r="AZ502" s="176">
        <v>21000030</v>
      </c>
      <c r="BA502" s="173" t="s">
        <v>1378</v>
      </c>
      <c r="BB502" s="172">
        <v>0</v>
      </c>
      <c r="BC502" s="174">
        <v>0</v>
      </c>
      <c r="BD502" s="174">
        <v>0</v>
      </c>
      <c r="BE502"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2" s="177" t="s">
        <v>1428</v>
      </c>
      <c r="BG502" s="172">
        <v>0</v>
      </c>
      <c r="BH502" s="172">
        <v>0</v>
      </c>
      <c r="BI502" s="172">
        <v>0</v>
      </c>
      <c r="BJ502" s="172">
        <v>0</v>
      </c>
      <c r="BK502" s="172">
        <v>0</v>
      </c>
      <c r="BL502" s="172">
        <v>0</v>
      </c>
      <c r="BM502" s="178">
        <v>0</v>
      </c>
      <c r="BN502" s="175">
        <v>0</v>
      </c>
      <c r="BO502" s="175">
        <v>0</v>
      </c>
      <c r="BP502" s="175">
        <v>0</v>
      </c>
      <c r="BQ502" s="175">
        <v>0</v>
      </c>
      <c r="BR502" s="175">
        <v>0</v>
      </c>
      <c r="BS502" s="175">
        <v>0</v>
      </c>
      <c r="BT502" s="19">
        <v>0</v>
      </c>
      <c r="BU502" s="23">
        <v>0</v>
      </c>
      <c r="BV502" s="23"/>
      <c r="BW502" s="23"/>
      <c r="BX502" s="23"/>
      <c r="BY502" s="23"/>
      <c r="BZ502" s="23"/>
    </row>
    <row r="503" spans="3:78" s="1" customFormat="1" ht="20.100000000000001" customHeight="1">
      <c r="C503" s="72">
        <v>54011101</v>
      </c>
      <c r="D503" s="71" t="s">
        <v>1429</v>
      </c>
      <c r="E503" s="71" t="s">
        <v>1430</v>
      </c>
      <c r="F503" s="72">
        <v>0</v>
      </c>
      <c r="G503" s="72">
        <v>62011101</v>
      </c>
      <c r="H503" s="72">
        <v>54011102</v>
      </c>
      <c r="I503" s="75">
        <v>3</v>
      </c>
      <c r="J503" s="72">
        <v>1</v>
      </c>
      <c r="K503" s="72">
        <v>0</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1378</v>
      </c>
      <c r="BB503" s="72">
        <v>0</v>
      </c>
      <c r="BC503" s="75">
        <v>0</v>
      </c>
      <c r="BD503" s="75">
        <v>0</v>
      </c>
      <c r="BE503" s="114" t="str">
        <f>"&lt;color=#D3FD3A&gt;"&amp;D1017&amp;"(法杖武器技能):\n&lt;/color&gt;"&amp;BE1017&amp;"\n\n&lt;color=#D3FD3A&gt;"&amp;D1043&amp;"(魔法书武器技能):\n&lt;/color&gt;"&amp;BE1043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1431</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54011102</v>
      </c>
      <c r="D504" s="71" t="s">
        <v>1429</v>
      </c>
      <c r="E504" s="71" t="s">
        <v>1430</v>
      </c>
      <c r="F504" s="72">
        <v>1</v>
      </c>
      <c r="G504" s="72">
        <v>62011101</v>
      </c>
      <c r="H504" s="72">
        <v>54011103</v>
      </c>
      <c r="I504" s="75">
        <v>3</v>
      </c>
      <c r="J504" s="72">
        <v>6</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1378</v>
      </c>
      <c r="BB504" s="72">
        <v>0</v>
      </c>
      <c r="BC504" s="75">
        <v>0</v>
      </c>
      <c r="BD504" s="75">
        <v>0</v>
      </c>
      <c r="BE504" s="114" t="str">
        <f t="shared" ref="BE504:BE509" si="14">"&lt;color=#D3FD3A&gt;"&amp;D1018&amp;"(法杖武器技能):\n&lt;/color&gt;"&amp;BE1018&amp;"\n\n&lt;color=#D3FD3A&gt;"&amp;D1044&amp;"(魔法书武器技能):\n&lt;/color&gt;"&amp;BE1044</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54011103</v>
      </c>
      <c r="D505" s="71" t="s">
        <v>1429</v>
      </c>
      <c r="E505" s="71" t="s">
        <v>1430</v>
      </c>
      <c r="F505" s="72">
        <v>2</v>
      </c>
      <c r="G505" s="72">
        <v>62011101</v>
      </c>
      <c r="H505" s="72">
        <v>54011104</v>
      </c>
      <c r="I505" s="75">
        <v>3</v>
      </c>
      <c r="J505" s="72">
        <v>0</v>
      </c>
      <c r="K505" s="72">
        <v>3</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1378</v>
      </c>
      <c r="BB505" s="72">
        <v>0</v>
      </c>
      <c r="BC505" s="75">
        <v>0</v>
      </c>
      <c r="BD505" s="75">
        <v>0</v>
      </c>
      <c r="BE505"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54011104</v>
      </c>
      <c r="D506" s="71" t="s">
        <v>1429</v>
      </c>
      <c r="E506" s="71" t="s">
        <v>1430</v>
      </c>
      <c r="F506" s="72">
        <v>3</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1378</v>
      </c>
      <c r="BB506" s="72">
        <v>0</v>
      </c>
      <c r="BC506" s="75">
        <v>0</v>
      </c>
      <c r="BD506" s="75">
        <v>0</v>
      </c>
      <c r="BE506"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54011105</v>
      </c>
      <c r="D507" s="71" t="s">
        <v>1429</v>
      </c>
      <c r="E507" s="71" t="s">
        <v>1430</v>
      </c>
      <c r="F507" s="72">
        <v>4</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1378</v>
      </c>
      <c r="BB507" s="72">
        <v>0</v>
      </c>
      <c r="BC507" s="75">
        <v>0</v>
      </c>
      <c r="BD507" s="75">
        <v>0</v>
      </c>
      <c r="BE507"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54011106</v>
      </c>
      <c r="D508" s="71" t="s">
        <v>1429</v>
      </c>
      <c r="E508" s="71" t="s">
        <v>1430</v>
      </c>
      <c r="F508" s="72">
        <v>5</v>
      </c>
      <c r="G508" s="72">
        <v>62011101</v>
      </c>
      <c r="H508" s="72">
        <v>0</v>
      </c>
      <c r="I508" s="75">
        <v>3</v>
      </c>
      <c r="J508" s="72">
        <v>0</v>
      </c>
      <c r="K508" s="72">
        <v>0</v>
      </c>
      <c r="L508" s="72">
        <v>0</v>
      </c>
      <c r="M508" s="72">
        <v>0</v>
      </c>
      <c r="N508" s="72">
        <v>0</v>
      </c>
      <c r="O508" s="72">
        <v>6</v>
      </c>
      <c r="P508" s="72">
        <v>0</v>
      </c>
      <c r="Q508" s="72">
        <v>0</v>
      </c>
      <c r="R508" s="72">
        <v>0</v>
      </c>
      <c r="S508" s="73">
        <v>0</v>
      </c>
      <c r="T508" s="72">
        <v>0</v>
      </c>
      <c r="U508" s="72">
        <v>1</v>
      </c>
      <c r="V508" s="72">
        <v>2</v>
      </c>
      <c r="W508" s="72">
        <v>0</v>
      </c>
      <c r="X508" s="72">
        <v>3</v>
      </c>
      <c r="Y508" s="19">
        <v>0</v>
      </c>
      <c r="Z508" s="72">
        <v>350</v>
      </c>
      <c r="AA508" s="72">
        <v>0</v>
      </c>
      <c r="AB508" s="72">
        <v>0</v>
      </c>
      <c r="AC508" s="72">
        <v>0</v>
      </c>
      <c r="AD508" s="72">
        <v>0</v>
      </c>
      <c r="AE508" s="72">
        <v>0</v>
      </c>
      <c r="AF508" s="72">
        <v>9</v>
      </c>
      <c r="AG508" s="72">
        <v>1</v>
      </c>
      <c r="AH508" s="72">
        <v>3</v>
      </c>
      <c r="AI508" s="73">
        <v>2</v>
      </c>
      <c r="AJ508" s="73">
        <v>1</v>
      </c>
      <c r="AK508" s="73">
        <v>0</v>
      </c>
      <c r="AL508" s="73">
        <v>6</v>
      </c>
      <c r="AM508" s="72">
        <v>0</v>
      </c>
      <c r="AN508" s="72">
        <v>0</v>
      </c>
      <c r="AO508" s="72">
        <v>0</v>
      </c>
      <c r="AP508" s="72">
        <v>1</v>
      </c>
      <c r="AQ508" s="72">
        <v>2000</v>
      </c>
      <c r="AR508" s="72">
        <v>0.5</v>
      </c>
      <c r="AS508" s="72">
        <v>0</v>
      </c>
      <c r="AT508" s="73">
        <v>0</v>
      </c>
      <c r="AU508" s="72" t="s">
        <v>204</v>
      </c>
      <c r="AV508" s="72"/>
      <c r="AW508" s="71" t="s">
        <v>293</v>
      </c>
      <c r="AX508" s="72" t="s">
        <v>551</v>
      </c>
      <c r="AY508" s="74">
        <v>10000007</v>
      </c>
      <c r="AZ508" s="74">
        <v>21000110</v>
      </c>
      <c r="BA508" s="173" t="s">
        <v>1378</v>
      </c>
      <c r="BB508" s="72">
        <v>0</v>
      </c>
      <c r="BC508" s="75">
        <v>0</v>
      </c>
      <c r="BD508" s="75">
        <v>0</v>
      </c>
      <c r="BE508"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8" s="114" t="s">
        <v>1435</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54011201</v>
      </c>
      <c r="D509" s="110" t="s">
        <v>1436</v>
      </c>
      <c r="E509" s="110" t="s">
        <v>1437</v>
      </c>
      <c r="F509" s="72">
        <v>0</v>
      </c>
      <c r="G509" s="72">
        <v>62011201</v>
      </c>
      <c r="H509" s="72">
        <v>54011202</v>
      </c>
      <c r="I509" s="75">
        <v>3</v>
      </c>
      <c r="J509" s="72">
        <v>3</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1438</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54011202</v>
      </c>
      <c r="D510" s="110" t="s">
        <v>1436</v>
      </c>
      <c r="E510" s="110" t="s">
        <v>1437</v>
      </c>
      <c r="F510" s="72">
        <v>1</v>
      </c>
      <c r="G510" s="72">
        <v>62011201</v>
      </c>
      <c r="H510" s="72">
        <v>54011203</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ref="BE510:BE514" si="15">"&lt;color=#D3FD3A&gt;"&amp;D1024&amp;"(法杖武器技能):\n&lt;/color&gt;"&amp;BE1024&amp;"\n\n&lt;color=#D3FD3A&gt;"&amp;D1050&amp;"(魔法书武器技能):\n&lt;/color&gt;"&amp;BE1050</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54011203</v>
      </c>
      <c r="D511" s="110" t="s">
        <v>1436</v>
      </c>
      <c r="E511" s="110" t="s">
        <v>1437</v>
      </c>
      <c r="F511" s="72">
        <v>2</v>
      </c>
      <c r="G511" s="72">
        <v>62011201</v>
      </c>
      <c r="H511" s="72">
        <v>54011204</v>
      </c>
      <c r="I511" s="75">
        <v>3</v>
      </c>
      <c r="J511" s="72">
        <v>0</v>
      </c>
      <c r="K511" s="72">
        <v>3</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54011204</v>
      </c>
      <c r="D512" s="110" t="s">
        <v>1436</v>
      </c>
      <c r="E512" s="110" t="s">
        <v>1437</v>
      </c>
      <c r="F512" s="72">
        <v>3</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54011205</v>
      </c>
      <c r="D513" s="110" t="s">
        <v>1436</v>
      </c>
      <c r="E513" s="110" t="s">
        <v>1437</v>
      </c>
      <c r="F513" s="72">
        <v>4</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54011206</v>
      </c>
      <c r="D514" s="110" t="s">
        <v>1436</v>
      </c>
      <c r="E514" s="110" t="s">
        <v>1437</v>
      </c>
      <c r="F514" s="72">
        <v>5</v>
      </c>
      <c r="G514" s="72">
        <v>62011201</v>
      </c>
      <c r="H514" s="72">
        <v>0</v>
      </c>
      <c r="I514" s="75">
        <v>3</v>
      </c>
      <c r="J514" s="72">
        <v>0</v>
      </c>
      <c r="K514" s="72">
        <v>0</v>
      </c>
      <c r="L514" s="72">
        <v>0</v>
      </c>
      <c r="M514" s="72">
        <v>0</v>
      </c>
      <c r="N514" s="72">
        <v>0</v>
      </c>
      <c r="O514" s="72">
        <v>6</v>
      </c>
      <c r="P514" s="72">
        <v>0</v>
      </c>
      <c r="Q514" s="72">
        <v>0</v>
      </c>
      <c r="R514" s="72">
        <v>0</v>
      </c>
      <c r="S514" s="73">
        <v>0</v>
      </c>
      <c r="T514" s="72">
        <v>0</v>
      </c>
      <c r="U514" s="72">
        <v>1</v>
      </c>
      <c r="V514" s="72">
        <v>2</v>
      </c>
      <c r="W514" s="72">
        <v>0</v>
      </c>
      <c r="X514" s="72">
        <v>1.5</v>
      </c>
      <c r="Y514" s="19">
        <v>0</v>
      </c>
      <c r="Z514" s="72">
        <v>10</v>
      </c>
      <c r="AA514" s="72">
        <v>1</v>
      </c>
      <c r="AB514" s="72">
        <v>0</v>
      </c>
      <c r="AC514" s="72">
        <v>0</v>
      </c>
      <c r="AD514" s="72">
        <v>0</v>
      </c>
      <c r="AE514" s="72">
        <v>0</v>
      </c>
      <c r="AF514" s="72">
        <v>5</v>
      </c>
      <c r="AG514" s="72">
        <v>1</v>
      </c>
      <c r="AH514" s="72">
        <v>3</v>
      </c>
      <c r="AI514" s="73">
        <v>2</v>
      </c>
      <c r="AJ514" s="73">
        <v>0</v>
      </c>
      <c r="AK514" s="73">
        <v>0</v>
      </c>
      <c r="AL514" s="73">
        <v>0</v>
      </c>
      <c r="AM514" s="72">
        <v>0</v>
      </c>
      <c r="AN514" s="72">
        <v>0</v>
      </c>
      <c r="AO514" s="72">
        <v>0</v>
      </c>
      <c r="AP514" s="72">
        <v>0.5</v>
      </c>
      <c r="AQ514" s="72">
        <v>3000</v>
      </c>
      <c r="AR514" s="72">
        <v>0.2</v>
      </c>
      <c r="AS514" s="72">
        <v>0</v>
      </c>
      <c r="AT514" s="73">
        <v>0</v>
      </c>
      <c r="AU514" s="72" t="s">
        <v>204</v>
      </c>
      <c r="AV514" s="72"/>
      <c r="AW514" s="71" t="s">
        <v>623</v>
      </c>
      <c r="AX514" s="72" t="s">
        <v>540</v>
      </c>
      <c r="AY514" s="74">
        <v>10000007</v>
      </c>
      <c r="AZ514" s="74">
        <v>21000020</v>
      </c>
      <c r="BA514" s="71" t="s">
        <v>206</v>
      </c>
      <c r="BB514" s="72">
        <v>0</v>
      </c>
      <c r="BC514" s="75">
        <v>0</v>
      </c>
      <c r="BD514" s="75">
        <v>0</v>
      </c>
      <c r="BE514"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4" s="114" t="s">
        <v>1442</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54011301</v>
      </c>
      <c r="D515" s="71" t="s">
        <v>1443</v>
      </c>
      <c r="E515" s="71" t="s">
        <v>1444</v>
      </c>
      <c r="F515" s="72">
        <v>0</v>
      </c>
      <c r="G515" s="72">
        <v>62011301</v>
      </c>
      <c r="H515" s="72">
        <v>54011302</v>
      </c>
      <c r="I515" s="75">
        <v>3</v>
      </c>
      <c r="J515" s="72">
        <v>10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1378</v>
      </c>
      <c r="BB515" s="72">
        <v>0</v>
      </c>
      <c r="BC515" s="75">
        <v>0</v>
      </c>
      <c r="BD515" s="75">
        <v>0</v>
      </c>
      <c r="BE515" s="114" t="str">
        <f>"&lt;color=#D3FD3A&gt;"&amp;D1029&amp;"(法杖武器技能):\n&lt;/color&gt;"&amp;BE1029&amp;"\n\n&lt;color=#D3FD3A&gt;"&amp;D776&amp;"(魔法书武器技能):\n&lt;/color&gt;"&amp;BE1055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1445</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54011302</v>
      </c>
      <c r="D516" s="71" t="s">
        <v>1443</v>
      </c>
      <c r="E516" s="71" t="s">
        <v>1444</v>
      </c>
      <c r="F516" s="72">
        <v>1</v>
      </c>
      <c r="G516" s="72">
        <v>62011301</v>
      </c>
      <c r="H516" s="72">
        <v>54011303</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1378</v>
      </c>
      <c r="BB516" s="72">
        <v>0</v>
      </c>
      <c r="BC516" s="75">
        <v>0</v>
      </c>
      <c r="BD516" s="75">
        <v>0</v>
      </c>
      <c r="BE516" s="114" t="str">
        <f t="shared" ref="BE516:BE520" si="16">"&lt;color=#D3FD3A&gt;"&amp;D1030&amp;"(法杖武器技能):\n&lt;/color&gt;"&amp;BE1030&amp;"\n\n&lt;color=#D3FD3A&gt;"&amp;D777&amp;"(魔法书武器技能):\n&lt;/color&gt;"&amp;BE1056</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54011303</v>
      </c>
      <c r="D517" s="71" t="s">
        <v>1443</v>
      </c>
      <c r="E517" s="71" t="s">
        <v>1444</v>
      </c>
      <c r="F517" s="72">
        <v>2</v>
      </c>
      <c r="G517" s="72">
        <v>62011301</v>
      </c>
      <c r="H517" s="72">
        <v>54011304</v>
      </c>
      <c r="I517" s="75">
        <v>3</v>
      </c>
      <c r="J517" s="72">
        <v>0</v>
      </c>
      <c r="K517" s="72">
        <v>3</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1378</v>
      </c>
      <c r="BB517" s="72">
        <v>0</v>
      </c>
      <c r="BC517" s="75">
        <v>0</v>
      </c>
      <c r="BD517" s="75">
        <v>0</v>
      </c>
      <c r="BE517"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54011304</v>
      </c>
      <c r="D518" s="71" t="s">
        <v>1443</v>
      </c>
      <c r="E518" s="71" t="s">
        <v>1444</v>
      </c>
      <c r="F518" s="72">
        <v>3</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1378</v>
      </c>
      <c r="BB518" s="72">
        <v>0</v>
      </c>
      <c r="BC518" s="75">
        <v>0</v>
      </c>
      <c r="BD518" s="75">
        <v>0</v>
      </c>
      <c r="BE518"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54011305</v>
      </c>
      <c r="D519" s="71" t="s">
        <v>1443</v>
      </c>
      <c r="E519" s="71" t="s">
        <v>1444</v>
      </c>
      <c r="F519" s="72">
        <v>4</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1378</v>
      </c>
      <c r="BB519" s="72">
        <v>0</v>
      </c>
      <c r="BC519" s="75">
        <v>0</v>
      </c>
      <c r="BD519" s="75">
        <v>0</v>
      </c>
      <c r="BE519"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s="1" customFormat="1" ht="20.100000000000001" customHeight="1">
      <c r="C520" s="72">
        <v>54011306</v>
      </c>
      <c r="D520" s="71" t="s">
        <v>1443</v>
      </c>
      <c r="E520" s="71" t="s">
        <v>1444</v>
      </c>
      <c r="F520" s="72">
        <v>5</v>
      </c>
      <c r="G520" s="72">
        <v>62011301</v>
      </c>
      <c r="H520" s="72">
        <v>0</v>
      </c>
      <c r="I520" s="75">
        <v>3</v>
      </c>
      <c r="J520" s="72">
        <v>0</v>
      </c>
      <c r="K520" s="72">
        <v>0</v>
      </c>
      <c r="L520" s="72">
        <v>0</v>
      </c>
      <c r="M520" s="72">
        <v>0</v>
      </c>
      <c r="N520" s="72">
        <v>0</v>
      </c>
      <c r="O520" s="72">
        <v>6</v>
      </c>
      <c r="P520" s="72">
        <v>0</v>
      </c>
      <c r="Q520" s="72">
        <v>0</v>
      </c>
      <c r="R520" s="72">
        <v>0</v>
      </c>
      <c r="S520" s="73">
        <v>0</v>
      </c>
      <c r="T520" s="72">
        <v>0</v>
      </c>
      <c r="U520" s="72">
        <v>1</v>
      </c>
      <c r="V520" s="72">
        <v>2</v>
      </c>
      <c r="W520" s="72">
        <v>0</v>
      </c>
      <c r="X520" s="72">
        <v>3</v>
      </c>
      <c r="Y520" s="19">
        <v>0</v>
      </c>
      <c r="Z520" s="72">
        <v>350</v>
      </c>
      <c r="AA520" s="72">
        <v>1</v>
      </c>
      <c r="AB520" s="72">
        <v>0</v>
      </c>
      <c r="AC520" s="72">
        <v>0</v>
      </c>
      <c r="AD520" s="72">
        <v>0</v>
      </c>
      <c r="AE520" s="72">
        <v>0</v>
      </c>
      <c r="AF520" s="72">
        <v>9</v>
      </c>
      <c r="AG520" s="72">
        <v>1</v>
      </c>
      <c r="AH520" s="72">
        <v>3</v>
      </c>
      <c r="AI520" s="73">
        <v>2</v>
      </c>
      <c r="AJ520" s="73">
        <v>1</v>
      </c>
      <c r="AK520" s="73">
        <v>0</v>
      </c>
      <c r="AL520" s="73">
        <v>6</v>
      </c>
      <c r="AM520" s="72">
        <v>0</v>
      </c>
      <c r="AN520" s="72">
        <v>0</v>
      </c>
      <c r="AO520" s="72">
        <v>0</v>
      </c>
      <c r="AP520" s="72">
        <v>1</v>
      </c>
      <c r="AQ520" s="72">
        <v>3000</v>
      </c>
      <c r="AR520" s="72">
        <v>0.4</v>
      </c>
      <c r="AS520" s="72">
        <v>0</v>
      </c>
      <c r="AT520" s="73">
        <v>0</v>
      </c>
      <c r="AU520" s="72" t="s">
        <v>204</v>
      </c>
      <c r="AV520" s="72"/>
      <c r="AW520" s="71" t="s">
        <v>768</v>
      </c>
      <c r="AX520" s="72" t="s">
        <v>221</v>
      </c>
      <c r="AY520" s="74">
        <v>10000015</v>
      </c>
      <c r="AZ520" s="74">
        <v>21000030</v>
      </c>
      <c r="BA520" s="71" t="s">
        <v>1378</v>
      </c>
      <c r="BB520" s="72">
        <v>0</v>
      </c>
      <c r="BC520" s="75">
        <v>0</v>
      </c>
      <c r="BD520" s="75">
        <v>0</v>
      </c>
      <c r="BE520"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20" s="114" t="s">
        <v>1449</v>
      </c>
      <c r="BG520" s="72">
        <v>0</v>
      </c>
      <c r="BH520" s="72">
        <v>0</v>
      </c>
      <c r="BI520" s="72">
        <v>0</v>
      </c>
      <c r="BJ520" s="72">
        <v>0</v>
      </c>
      <c r="BK520" s="72">
        <v>0</v>
      </c>
      <c r="BL520" s="72">
        <v>0</v>
      </c>
      <c r="BM520" s="90">
        <v>0</v>
      </c>
      <c r="BN520" s="73">
        <v>0</v>
      </c>
      <c r="BO520" s="73">
        <v>0</v>
      </c>
      <c r="BP520" s="73">
        <v>0</v>
      </c>
      <c r="BQ520" s="73">
        <v>0</v>
      </c>
      <c r="BR520" s="73">
        <v>0</v>
      </c>
      <c r="BS520" s="73">
        <v>0</v>
      </c>
      <c r="BT520" s="73">
        <v>0</v>
      </c>
      <c r="BU520" s="73">
        <v>0</v>
      </c>
      <c r="BV520" s="23"/>
      <c r="BW520" s="23"/>
      <c r="BX520" s="23"/>
      <c r="BY520" s="23"/>
      <c r="BZ520" s="23"/>
    </row>
    <row r="521" spans="3:78" ht="20.100000000000001" customHeight="1">
      <c r="C521" s="21">
        <v>55011101</v>
      </c>
      <c r="D521" s="30" t="s">
        <v>1450</v>
      </c>
      <c r="E521" s="30" t="s">
        <v>1451</v>
      </c>
      <c r="F521" s="21">
        <v>0</v>
      </c>
      <c r="G521" s="21">
        <v>65011101</v>
      </c>
      <c r="H521" s="21">
        <v>55011102</v>
      </c>
      <c r="I521" s="31">
        <v>1</v>
      </c>
      <c r="J521" s="21">
        <v>1</v>
      </c>
      <c r="K521" s="21">
        <v>0</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ref="BE521:BE526" si="17">"&lt;color=#D3FD3A&gt;破界巨刃(刀类武器技能):\n&lt;/color&gt;"&amp;BE1174&amp;"\n\n&lt;color=#D3FD3A&gt;裂空之击(弓箭类武器技能):\n&lt;/color&gt;"&amp;BE1192</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1452</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55011102</v>
      </c>
      <c r="D522" s="30" t="s">
        <v>1450</v>
      </c>
      <c r="E522" s="30" t="s">
        <v>1451</v>
      </c>
      <c r="F522" s="21">
        <v>1</v>
      </c>
      <c r="G522" s="21">
        <v>65011101</v>
      </c>
      <c r="H522" s="21">
        <v>55011103</v>
      </c>
      <c r="I522" s="31">
        <v>1</v>
      </c>
      <c r="J522" s="21">
        <v>6</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55011103</v>
      </c>
      <c r="D523" s="30" t="s">
        <v>1450</v>
      </c>
      <c r="E523" s="30" t="s">
        <v>1451</v>
      </c>
      <c r="F523" s="21">
        <v>2</v>
      </c>
      <c r="G523" s="21">
        <v>65011101</v>
      </c>
      <c r="H523" s="21">
        <v>55011104</v>
      </c>
      <c r="I523" s="31">
        <v>1</v>
      </c>
      <c r="J523" s="21">
        <v>0</v>
      </c>
      <c r="K523" s="21">
        <v>3</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55011104</v>
      </c>
      <c r="D524" s="30" t="s">
        <v>1450</v>
      </c>
      <c r="E524" s="30" t="s">
        <v>1451</v>
      </c>
      <c r="F524" s="21">
        <v>3</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55011105</v>
      </c>
      <c r="D525" s="30" t="s">
        <v>1450</v>
      </c>
      <c r="E525" s="30" t="s">
        <v>1451</v>
      </c>
      <c r="F525" s="21">
        <v>4</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55011106</v>
      </c>
      <c r="D526" s="30" t="s">
        <v>1450</v>
      </c>
      <c r="E526" s="30" t="s">
        <v>1451</v>
      </c>
      <c r="F526" s="21">
        <v>5</v>
      </c>
      <c r="G526" s="21">
        <v>65011101</v>
      </c>
      <c r="H526" s="21">
        <v>0</v>
      </c>
      <c r="I526" s="31">
        <v>1</v>
      </c>
      <c r="J526" s="21">
        <v>0</v>
      </c>
      <c r="K526" s="21">
        <v>0</v>
      </c>
      <c r="L526" s="21">
        <v>0</v>
      </c>
      <c r="M526" s="21">
        <v>0</v>
      </c>
      <c r="N526" s="21">
        <v>0</v>
      </c>
      <c r="O526" s="21">
        <v>6</v>
      </c>
      <c r="P526" s="21">
        <v>0</v>
      </c>
      <c r="Q526" s="21">
        <v>0</v>
      </c>
      <c r="R526" s="21">
        <v>0</v>
      </c>
      <c r="S526" s="19">
        <v>0</v>
      </c>
      <c r="T526" s="21">
        <v>0</v>
      </c>
      <c r="U526" s="21">
        <v>1</v>
      </c>
      <c r="V526" s="21">
        <v>2</v>
      </c>
      <c r="W526" s="21">
        <v>0</v>
      </c>
      <c r="X526" s="21">
        <v>3</v>
      </c>
      <c r="Y526" s="19">
        <v>0</v>
      </c>
      <c r="Z526" s="21">
        <v>350</v>
      </c>
      <c r="AA526" s="21">
        <v>0</v>
      </c>
      <c r="AB526" s="21">
        <v>0</v>
      </c>
      <c r="AC526" s="21">
        <v>0</v>
      </c>
      <c r="AD526" s="21">
        <v>0</v>
      </c>
      <c r="AE526" s="21">
        <v>0</v>
      </c>
      <c r="AF526" s="21">
        <v>9</v>
      </c>
      <c r="AG526" s="21">
        <v>2</v>
      </c>
      <c r="AH526" s="21" t="s">
        <v>219</v>
      </c>
      <c r="AI526" s="19">
        <v>2</v>
      </c>
      <c r="AJ526" s="19">
        <v>2</v>
      </c>
      <c r="AK526" s="19">
        <v>0</v>
      </c>
      <c r="AL526" s="19">
        <v>1.5</v>
      </c>
      <c r="AM526" s="21">
        <v>0</v>
      </c>
      <c r="AN526" s="21">
        <v>0</v>
      </c>
      <c r="AO526" s="21">
        <v>0</v>
      </c>
      <c r="AP526" s="21">
        <v>1</v>
      </c>
      <c r="AQ526" s="21">
        <v>3000</v>
      </c>
      <c r="AR526" s="21">
        <v>0.5</v>
      </c>
      <c r="AS526" s="21">
        <v>0</v>
      </c>
      <c r="AT526" s="19">
        <v>0</v>
      </c>
      <c r="AU526" s="21" t="s">
        <v>204</v>
      </c>
      <c r="AV526" s="21"/>
      <c r="AW526" s="30" t="s">
        <v>293</v>
      </c>
      <c r="AX526" s="21" t="s">
        <v>551</v>
      </c>
      <c r="AY526" s="32">
        <v>10000007</v>
      </c>
      <c r="AZ526" s="32">
        <v>21000110</v>
      </c>
      <c r="BA526" s="30" t="s">
        <v>206</v>
      </c>
      <c r="BB526" s="21">
        <v>0</v>
      </c>
      <c r="BC526" s="31">
        <v>0</v>
      </c>
      <c r="BD526" s="31">
        <v>0</v>
      </c>
      <c r="BE526"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6" s="171" t="s">
        <v>1456</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55011201</v>
      </c>
      <c r="D527" s="30" t="s">
        <v>1457</v>
      </c>
      <c r="E527" s="30" t="s">
        <v>1458</v>
      </c>
      <c r="F527" s="21">
        <v>0</v>
      </c>
      <c r="G527" s="21">
        <v>65011201</v>
      </c>
      <c r="H527" s="21">
        <v>55011202</v>
      </c>
      <c r="I527" s="31">
        <v>1</v>
      </c>
      <c r="J527" s="21">
        <v>3</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ref="BE527:BE532" si="18">"&lt;color=#D3FD3A&gt;咆哮之击(刀类武器技能):\n&lt;/color&gt;"&amp;BE1180&amp;"\n\n&lt;color=#D3FD3A&gt;疾风标记(弓箭类武器技能):\n&lt;/color&gt;"&amp;BE1198</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1459</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55011202</v>
      </c>
      <c r="D528" s="30" t="s">
        <v>1457</v>
      </c>
      <c r="E528" s="30" t="s">
        <v>1458</v>
      </c>
      <c r="F528" s="21">
        <v>1</v>
      </c>
      <c r="G528" s="21">
        <v>65011201</v>
      </c>
      <c r="H528" s="21">
        <v>55011203</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55011203</v>
      </c>
      <c r="D529" s="30" t="s">
        <v>1457</v>
      </c>
      <c r="E529" s="30" t="s">
        <v>1458</v>
      </c>
      <c r="F529" s="21">
        <v>2</v>
      </c>
      <c r="G529" s="21">
        <v>65011201</v>
      </c>
      <c r="H529" s="21">
        <v>55011204</v>
      </c>
      <c r="I529" s="31">
        <v>1</v>
      </c>
      <c r="J529" s="21">
        <v>0</v>
      </c>
      <c r="K529" s="21">
        <v>3</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55011204</v>
      </c>
      <c r="D530" s="30" t="s">
        <v>1457</v>
      </c>
      <c r="E530" s="30" t="s">
        <v>1458</v>
      </c>
      <c r="F530" s="21">
        <v>3</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55011205</v>
      </c>
      <c r="D531" s="30" t="s">
        <v>1457</v>
      </c>
      <c r="E531" s="30" t="s">
        <v>1458</v>
      </c>
      <c r="F531" s="21">
        <v>4</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55011206</v>
      </c>
      <c r="D532" s="30" t="s">
        <v>1457</v>
      </c>
      <c r="E532" s="30" t="s">
        <v>1458</v>
      </c>
      <c r="F532" s="21">
        <v>5</v>
      </c>
      <c r="G532" s="21">
        <v>65011201</v>
      </c>
      <c r="H532" s="21">
        <v>0</v>
      </c>
      <c r="I532" s="31">
        <v>1</v>
      </c>
      <c r="J532" s="21">
        <v>0</v>
      </c>
      <c r="K532" s="21">
        <v>0</v>
      </c>
      <c r="L532" s="21">
        <v>0</v>
      </c>
      <c r="M532" s="21">
        <v>0</v>
      </c>
      <c r="N532" s="21">
        <v>0</v>
      </c>
      <c r="O532" s="21">
        <v>6</v>
      </c>
      <c r="P532" s="21">
        <v>0</v>
      </c>
      <c r="Q532" s="21">
        <v>0</v>
      </c>
      <c r="R532" s="21">
        <v>0</v>
      </c>
      <c r="S532" s="19">
        <v>0</v>
      </c>
      <c r="T532" s="21">
        <v>0</v>
      </c>
      <c r="U532" s="21">
        <v>1</v>
      </c>
      <c r="V532" s="21">
        <v>2</v>
      </c>
      <c r="W532" s="21">
        <v>0</v>
      </c>
      <c r="X532" s="21">
        <v>1.5</v>
      </c>
      <c r="Y532" s="19">
        <v>0</v>
      </c>
      <c r="Z532" s="21">
        <v>10</v>
      </c>
      <c r="AA532" s="21">
        <v>1</v>
      </c>
      <c r="AB532" s="21">
        <v>0</v>
      </c>
      <c r="AC532" s="21">
        <v>0</v>
      </c>
      <c r="AD532" s="21">
        <v>0</v>
      </c>
      <c r="AE532" s="21">
        <v>0</v>
      </c>
      <c r="AF532" s="21">
        <v>5</v>
      </c>
      <c r="AG532" s="21">
        <v>1</v>
      </c>
      <c r="AH532" s="21">
        <v>3</v>
      </c>
      <c r="AI532" s="19">
        <v>2</v>
      </c>
      <c r="AJ532" s="19">
        <v>0</v>
      </c>
      <c r="AK532" s="19">
        <v>0</v>
      </c>
      <c r="AL532" s="19">
        <v>0</v>
      </c>
      <c r="AM532" s="21">
        <v>0</v>
      </c>
      <c r="AN532" s="21">
        <v>0</v>
      </c>
      <c r="AO532" s="21">
        <v>0</v>
      </c>
      <c r="AP532" s="21">
        <v>0.5</v>
      </c>
      <c r="AQ532" s="21">
        <v>3000</v>
      </c>
      <c r="AR532" s="21">
        <v>0.2</v>
      </c>
      <c r="AS532" s="21">
        <v>0</v>
      </c>
      <c r="AT532" s="19">
        <v>0</v>
      </c>
      <c r="AU532" s="21" t="s">
        <v>204</v>
      </c>
      <c r="AV532" s="21"/>
      <c r="AW532" s="30" t="s">
        <v>623</v>
      </c>
      <c r="AX532" s="21" t="s">
        <v>540</v>
      </c>
      <c r="AY532" s="32">
        <v>10000007</v>
      </c>
      <c r="AZ532" s="32">
        <v>21000020</v>
      </c>
      <c r="BA532" s="30" t="s">
        <v>206</v>
      </c>
      <c r="BB532" s="21">
        <v>0</v>
      </c>
      <c r="BC532" s="31">
        <v>0</v>
      </c>
      <c r="BD532" s="31">
        <v>0</v>
      </c>
      <c r="BE532"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2" s="171" t="s">
        <v>1463</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55011301</v>
      </c>
      <c r="D533" s="30" t="s">
        <v>1464</v>
      </c>
      <c r="E533" s="30" t="s">
        <v>1465</v>
      </c>
      <c r="F533" s="21">
        <v>0</v>
      </c>
      <c r="G533" s="21">
        <v>65011301</v>
      </c>
      <c r="H533" s="21">
        <v>55011302</v>
      </c>
      <c r="I533" s="31">
        <v>1</v>
      </c>
      <c r="J533" s="21">
        <v>10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1378</v>
      </c>
      <c r="BB533" s="21">
        <v>0</v>
      </c>
      <c r="BC533" s="31">
        <v>0</v>
      </c>
      <c r="BD533" s="31">
        <v>0</v>
      </c>
      <c r="BE533" s="171" t="str">
        <f t="shared" ref="BE533:BE538" si="19">"&lt;color=#D3FD3A&gt;跃空击(刀类武器技能):\n&lt;/color&gt;"&amp;BE1186&amp;"\n\n&lt;color=#D3FD3A&gt;急速射击(弓箭类武器技能):\n&lt;/color&gt;"&amp;BE1204</f>
        <v>&lt;color=#D3FD3A&gt;跃空击(刀类武器技能):\n&lt;/color&gt;立即跳跃至目标区域并对其怪物造成200%攻击伤害+750点固定伤害,并使目标置空1秒，目标将额外受到20%伤害，持续3秒\n\n&lt;color=#D3FD3A&gt;急速射击(弓箭类武器技能):\n&lt;/color&gt;立即提升自身的攻击和移动速度50%,持续3秒</v>
      </c>
      <c r="BF533" s="171" t="s">
        <v>1466</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55011302</v>
      </c>
      <c r="D534" s="30" t="s">
        <v>1464</v>
      </c>
      <c r="E534" s="30" t="s">
        <v>1465</v>
      </c>
      <c r="F534" s="21">
        <v>1</v>
      </c>
      <c r="G534" s="21">
        <v>65011301</v>
      </c>
      <c r="H534" s="21">
        <v>55011303</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1378</v>
      </c>
      <c r="BB534" s="21">
        <v>0</v>
      </c>
      <c r="BC534" s="31">
        <v>0</v>
      </c>
      <c r="BD534" s="31">
        <v>0</v>
      </c>
      <c r="BE534" s="171" t="str">
        <f t="shared" si="19"/>
        <v>&lt;color=#D3FD3A&gt;跃空击(刀类武器技能):\n&lt;/color&gt;立即跳跃至目标区域并对其怪物造成200%攻击伤害+750点固定伤害,并使目标置空1秒，目标将额外受到20%伤害，持续3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55011303</v>
      </c>
      <c r="D535" s="30" t="s">
        <v>1464</v>
      </c>
      <c r="E535" s="30" t="s">
        <v>1465</v>
      </c>
      <c r="F535" s="21">
        <v>2</v>
      </c>
      <c r="G535" s="21">
        <v>65011301</v>
      </c>
      <c r="H535" s="21">
        <v>55011304</v>
      </c>
      <c r="I535" s="31">
        <v>1</v>
      </c>
      <c r="J535" s="21">
        <v>0</v>
      </c>
      <c r="K535" s="21">
        <v>3</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1378</v>
      </c>
      <c r="BB535" s="21">
        <v>0</v>
      </c>
      <c r="BC535" s="31">
        <v>0</v>
      </c>
      <c r="BD535" s="31">
        <v>0</v>
      </c>
      <c r="BE535" s="171" t="str">
        <f t="shared" si="19"/>
        <v>&lt;color=#D3FD3A&gt;跃空击(刀类武器技能):\n&lt;/color&gt;立即跳跃至目标区域并对其怪物造成225%攻击伤害+1500点固定伤害,并使目标置空1秒，目标将额外受到20%伤害，持续3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55011304</v>
      </c>
      <c r="D536" s="30" t="s">
        <v>1464</v>
      </c>
      <c r="E536" s="30" t="s">
        <v>1465</v>
      </c>
      <c r="F536" s="21">
        <v>3</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1378</v>
      </c>
      <c r="BB536" s="21">
        <v>0</v>
      </c>
      <c r="BC536" s="31">
        <v>0</v>
      </c>
      <c r="BD536" s="31">
        <v>0</v>
      </c>
      <c r="BE536" s="171" t="str">
        <f t="shared" si="19"/>
        <v>&lt;color=#D3FD3A&gt;跃空击(刀类武器技能):\n&lt;/color&gt;立即跳跃至目标区域并对其怪物造成250%攻击伤害+2250点固定伤害,并使目标置空1秒，目标将额外受到20%伤害，持续3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55011305</v>
      </c>
      <c r="D537" s="30" t="s">
        <v>1464</v>
      </c>
      <c r="E537" s="30" t="s">
        <v>1465</v>
      </c>
      <c r="F537" s="21">
        <v>4</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1378</v>
      </c>
      <c r="BB537" s="21">
        <v>0</v>
      </c>
      <c r="BC537" s="31">
        <v>0</v>
      </c>
      <c r="BD537" s="31">
        <v>0</v>
      </c>
      <c r="BE537" s="171" t="str">
        <f t="shared" si="19"/>
        <v>&lt;color=#D3FD3A&gt;跃空击(刀类武器技能):\n&lt;/color&gt;立即跳跃至目标区域并对其怪物造成275%攻击伤害+3250点固定伤害,并使目标置空1秒，目标将额外受到20%伤害，持续3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55011306</v>
      </c>
      <c r="D538" s="30" t="s">
        <v>1464</v>
      </c>
      <c r="E538" s="30" t="s">
        <v>1465</v>
      </c>
      <c r="F538" s="21">
        <v>5</v>
      </c>
      <c r="G538" s="21">
        <v>65011301</v>
      </c>
      <c r="H538" s="21">
        <v>0</v>
      </c>
      <c r="I538" s="31">
        <v>1</v>
      </c>
      <c r="J538" s="21">
        <v>0</v>
      </c>
      <c r="K538" s="21">
        <v>0</v>
      </c>
      <c r="L538" s="21">
        <v>0</v>
      </c>
      <c r="M538" s="21">
        <v>0</v>
      </c>
      <c r="N538" s="21">
        <v>0</v>
      </c>
      <c r="O538" s="21">
        <v>6</v>
      </c>
      <c r="P538" s="21">
        <v>0</v>
      </c>
      <c r="Q538" s="21">
        <v>0</v>
      </c>
      <c r="R538" s="21">
        <v>0</v>
      </c>
      <c r="S538" s="19">
        <v>0</v>
      </c>
      <c r="T538" s="21">
        <v>0</v>
      </c>
      <c r="U538" s="21">
        <v>1</v>
      </c>
      <c r="V538" s="21">
        <v>2</v>
      </c>
      <c r="W538" s="21">
        <v>0</v>
      </c>
      <c r="X538" s="21">
        <v>3</v>
      </c>
      <c r="Y538" s="19">
        <v>0</v>
      </c>
      <c r="Z538" s="21">
        <v>350</v>
      </c>
      <c r="AA538" s="21">
        <v>1</v>
      </c>
      <c r="AB538" s="21">
        <v>0</v>
      </c>
      <c r="AC538" s="21">
        <v>0</v>
      </c>
      <c r="AD538" s="21">
        <v>0</v>
      </c>
      <c r="AE538" s="21">
        <v>0</v>
      </c>
      <c r="AF538" s="21">
        <v>9</v>
      </c>
      <c r="AG538" s="21">
        <v>1</v>
      </c>
      <c r="AH538" s="21">
        <v>3</v>
      </c>
      <c r="AI538" s="19">
        <v>2</v>
      </c>
      <c r="AJ538" s="19">
        <v>1</v>
      </c>
      <c r="AK538" s="19">
        <v>0</v>
      </c>
      <c r="AL538" s="19">
        <v>6</v>
      </c>
      <c r="AM538" s="21">
        <v>0</v>
      </c>
      <c r="AN538" s="21">
        <v>0</v>
      </c>
      <c r="AO538" s="21">
        <v>0</v>
      </c>
      <c r="AP538" s="21">
        <v>1</v>
      </c>
      <c r="AQ538" s="21">
        <v>3000</v>
      </c>
      <c r="AR538" s="21">
        <v>0.4</v>
      </c>
      <c r="AS538" s="21">
        <v>0</v>
      </c>
      <c r="AT538" s="19">
        <v>0</v>
      </c>
      <c r="AU538" s="21" t="s">
        <v>204</v>
      </c>
      <c r="AV538" s="21"/>
      <c r="AW538" s="30" t="s">
        <v>768</v>
      </c>
      <c r="AX538" s="21" t="s">
        <v>221</v>
      </c>
      <c r="AY538" s="32">
        <v>10000015</v>
      </c>
      <c r="AZ538" s="32">
        <v>21000030</v>
      </c>
      <c r="BA538" s="30" t="s">
        <v>1378</v>
      </c>
      <c r="BB538" s="21">
        <v>0</v>
      </c>
      <c r="BC538" s="31">
        <v>0</v>
      </c>
      <c r="BD538" s="31">
        <v>0</v>
      </c>
      <c r="BE538" s="171" t="str">
        <f t="shared" si="19"/>
        <v>&lt;color=#D3FD3A&gt;跃空击(刀类武器技能):\n&lt;/color&gt;立即跳跃至目标区域并对其怪物造成300%攻击伤害+4250点固定伤害,并使目标置空1秒，目标将额外受到20%伤害，持续3秒\n\n&lt;color=#D3FD3A&gt;急速射击(弓箭类武器技能):\n&lt;/color&gt;立即提升自身的攻击和移动速度50%,持续3秒</v>
      </c>
      <c r="BF538" s="171" t="s">
        <v>1470</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59000101</v>
      </c>
      <c r="D539" s="30" t="s">
        <v>1471</v>
      </c>
      <c r="E539" s="30" t="s">
        <v>1472</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v>
      </c>
      <c r="Y539" s="19">
        <v>0</v>
      </c>
      <c r="Z539" s="21">
        <v>500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1473</v>
      </c>
      <c r="AY539" s="32">
        <v>10003002</v>
      </c>
      <c r="AZ539" s="32">
        <v>21020101</v>
      </c>
      <c r="BA539" s="30" t="s">
        <v>206</v>
      </c>
      <c r="BB539" s="21">
        <v>0</v>
      </c>
      <c r="BC539" s="31">
        <v>0</v>
      </c>
      <c r="BD539" s="31">
        <v>1</v>
      </c>
      <c r="BE539" s="171" t="s">
        <v>1474</v>
      </c>
      <c r="BF539" s="171" t="s">
        <v>1475</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v>500</v>
      </c>
    </row>
    <row r="540" spans="3:78" ht="20.100000000000001" customHeight="1">
      <c r="C540" s="21">
        <v>59000102</v>
      </c>
      <c r="D540" s="30" t="s">
        <v>1471</v>
      </c>
      <c r="E540" s="30" t="s">
        <v>1472</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1.5</v>
      </c>
      <c r="Y540" s="19">
        <v>0</v>
      </c>
      <c r="Z540" s="21">
        <v>1000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1473</v>
      </c>
      <c r="AY540" s="32">
        <v>10003002</v>
      </c>
      <c r="AZ540" s="32">
        <v>21020101</v>
      </c>
      <c r="BA540" s="30" t="s">
        <v>206</v>
      </c>
      <c r="BB540" s="21">
        <v>0</v>
      </c>
      <c r="BC540" s="31">
        <v>0</v>
      </c>
      <c r="BD540" s="31">
        <v>1</v>
      </c>
      <c r="BE540" s="171" t="s">
        <v>1476</v>
      </c>
      <c r="BF540" s="171" t="s">
        <v>1477</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v>1000</v>
      </c>
    </row>
    <row r="541" spans="3:78" ht="20.100000000000001" customHeight="1">
      <c r="C541" s="21">
        <v>59000103</v>
      </c>
      <c r="D541" s="30" t="s">
        <v>1471</v>
      </c>
      <c r="E541" s="30" t="s">
        <v>1472</v>
      </c>
      <c r="F541" s="21">
        <v>1</v>
      </c>
      <c r="G541" s="21">
        <v>63001004</v>
      </c>
      <c r="H541" s="21">
        <v>0</v>
      </c>
      <c r="I541" s="31">
        <v>0</v>
      </c>
      <c r="J541" s="21">
        <v>1</v>
      </c>
      <c r="K541" s="21">
        <v>0</v>
      </c>
      <c r="L541" s="21">
        <v>0</v>
      </c>
      <c r="M541" s="21">
        <v>0</v>
      </c>
      <c r="N541" s="21">
        <v>0</v>
      </c>
      <c r="O541" s="21">
        <v>2</v>
      </c>
      <c r="P541" s="21">
        <v>1</v>
      </c>
      <c r="Q541" s="21">
        <v>0.1</v>
      </c>
      <c r="R541" s="21">
        <v>0</v>
      </c>
      <c r="S541" s="19">
        <v>0</v>
      </c>
      <c r="T541" s="21">
        <v>0</v>
      </c>
      <c r="U541" s="21">
        <v>1</v>
      </c>
      <c r="V541" s="21">
        <v>2</v>
      </c>
      <c r="W541" s="21">
        <v>0</v>
      </c>
      <c r="X541" s="21">
        <v>2</v>
      </c>
      <c r="Y541" s="19">
        <v>0</v>
      </c>
      <c r="Z541" s="21">
        <v>1500</v>
      </c>
      <c r="AA541" s="21">
        <v>0</v>
      </c>
      <c r="AB541" s="21">
        <v>0</v>
      </c>
      <c r="AC541" s="21">
        <v>0</v>
      </c>
      <c r="AD541" s="21">
        <v>1</v>
      </c>
      <c r="AE541" s="21">
        <v>0</v>
      </c>
      <c r="AF541" s="21">
        <v>12</v>
      </c>
      <c r="AG541" s="21">
        <v>1</v>
      </c>
      <c r="AH541" s="21">
        <v>3.5</v>
      </c>
      <c r="AI541" s="19">
        <v>1</v>
      </c>
      <c r="AJ541" s="19">
        <v>1</v>
      </c>
      <c r="AK541" s="19">
        <v>0</v>
      </c>
      <c r="AL541" s="19">
        <v>6</v>
      </c>
      <c r="AM541" s="21">
        <v>0</v>
      </c>
      <c r="AN541" s="21">
        <v>0</v>
      </c>
      <c r="AO541" s="21">
        <v>0</v>
      </c>
      <c r="AP541" s="21">
        <v>0.25</v>
      </c>
      <c r="AQ541" s="21">
        <v>3000</v>
      </c>
      <c r="AR541" s="21">
        <v>2</v>
      </c>
      <c r="AS541" s="21">
        <v>0</v>
      </c>
      <c r="AT541" s="19">
        <v>0</v>
      </c>
      <c r="AU541" s="21">
        <v>0</v>
      </c>
      <c r="AV541" s="21"/>
      <c r="AW541" s="30" t="s">
        <v>205</v>
      </c>
      <c r="AX541" s="21" t="s">
        <v>1473</v>
      </c>
      <c r="AY541" s="32">
        <v>10003002</v>
      </c>
      <c r="AZ541" s="32">
        <v>21020101</v>
      </c>
      <c r="BA541" s="30" t="s">
        <v>206</v>
      </c>
      <c r="BB541" s="21">
        <v>0</v>
      </c>
      <c r="BC541" s="31">
        <v>0</v>
      </c>
      <c r="BD541" s="31">
        <v>1</v>
      </c>
      <c r="BE541" s="171" t="s">
        <v>1478</v>
      </c>
      <c r="BF541" s="171" t="s">
        <v>1479</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v>1500</v>
      </c>
    </row>
    <row r="542" spans="3:78" ht="20.100000000000001" customHeight="1">
      <c r="C542" s="21">
        <v>59000201</v>
      </c>
      <c r="D542" s="30" t="s">
        <v>1480</v>
      </c>
      <c r="E542" s="30" t="s">
        <v>1481</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59000011</v>
      </c>
      <c r="AU542" s="21">
        <v>0</v>
      </c>
      <c r="AV542" s="21"/>
      <c r="AW542" s="30" t="s">
        <v>204</v>
      </c>
      <c r="AX542" s="21">
        <v>0</v>
      </c>
      <c r="AY542" s="32">
        <v>0</v>
      </c>
      <c r="AZ542" s="32">
        <v>0</v>
      </c>
      <c r="BA542" s="30" t="s">
        <v>206</v>
      </c>
      <c r="BB542" s="21">
        <v>0</v>
      </c>
      <c r="BC542" s="31">
        <v>0</v>
      </c>
      <c r="BD542" s="31">
        <v>1</v>
      </c>
      <c r="BE542" s="171" t="s">
        <v>1482</v>
      </c>
      <c r="BF542" s="171" t="s">
        <v>1483</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v>500</v>
      </c>
    </row>
    <row r="543" spans="3:78" ht="20.100000000000001" customHeight="1">
      <c r="C543" s="21">
        <v>59000202</v>
      </c>
      <c r="D543" s="30" t="s">
        <v>1480</v>
      </c>
      <c r="E543" s="30" t="s">
        <v>1481</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59000012</v>
      </c>
      <c r="AU543" s="21">
        <v>0</v>
      </c>
      <c r="AV543" s="21"/>
      <c r="AW543" s="30" t="s">
        <v>204</v>
      </c>
      <c r="AX543" s="21">
        <v>0</v>
      </c>
      <c r="AY543" s="32">
        <v>0</v>
      </c>
      <c r="AZ543" s="32">
        <v>0</v>
      </c>
      <c r="BA543" s="30" t="s">
        <v>206</v>
      </c>
      <c r="BB543" s="21">
        <v>0</v>
      </c>
      <c r="BC543" s="31">
        <v>0</v>
      </c>
      <c r="BD543" s="31">
        <v>1</v>
      </c>
      <c r="BE543" s="171" t="s">
        <v>1484</v>
      </c>
      <c r="BF543" s="171" t="s">
        <v>1485</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v>1000</v>
      </c>
    </row>
    <row r="544" spans="3:78" ht="20.100000000000001" customHeight="1">
      <c r="C544" s="21">
        <v>59000203</v>
      </c>
      <c r="D544" s="30" t="s">
        <v>1480</v>
      </c>
      <c r="E544" s="30" t="s">
        <v>1481</v>
      </c>
      <c r="F544" s="21">
        <v>1</v>
      </c>
      <c r="G544" s="21">
        <v>63001004</v>
      </c>
      <c r="H544" s="21">
        <v>0</v>
      </c>
      <c r="I544" s="31">
        <v>0</v>
      </c>
      <c r="J544" s="21">
        <v>1</v>
      </c>
      <c r="K544" s="21">
        <v>0</v>
      </c>
      <c r="L544" s="21">
        <v>0</v>
      </c>
      <c r="M544" s="21">
        <v>0</v>
      </c>
      <c r="N544" s="21">
        <v>0</v>
      </c>
      <c r="O544" s="21">
        <v>2</v>
      </c>
      <c r="P544" s="21">
        <v>10</v>
      </c>
      <c r="Q544" s="21">
        <v>0.1</v>
      </c>
      <c r="R544" s="21">
        <v>0</v>
      </c>
      <c r="S544" s="19">
        <v>0</v>
      </c>
      <c r="T544" s="21">
        <v>0</v>
      </c>
      <c r="U544" s="21">
        <v>1</v>
      </c>
      <c r="V544" s="21">
        <v>2</v>
      </c>
      <c r="W544" s="21">
        <v>0</v>
      </c>
      <c r="X544" s="21">
        <v>0</v>
      </c>
      <c r="Y544" s="19">
        <v>0</v>
      </c>
      <c r="Z544" s="21">
        <v>0</v>
      </c>
      <c r="AA544" s="21">
        <v>0</v>
      </c>
      <c r="AB544" s="21">
        <v>0</v>
      </c>
      <c r="AC544" s="21">
        <v>0</v>
      </c>
      <c r="AD544" s="21">
        <v>0</v>
      </c>
      <c r="AE544" s="21">
        <v>0</v>
      </c>
      <c r="AF544" s="21">
        <v>12</v>
      </c>
      <c r="AG544" s="21">
        <v>0</v>
      </c>
      <c r="AH544" s="21">
        <v>0</v>
      </c>
      <c r="AI544" s="19">
        <v>7</v>
      </c>
      <c r="AJ544" s="19">
        <v>0</v>
      </c>
      <c r="AK544" s="19">
        <v>0</v>
      </c>
      <c r="AL544" s="19">
        <v>3</v>
      </c>
      <c r="AM544" s="21">
        <v>0</v>
      </c>
      <c r="AN544" s="21">
        <v>0</v>
      </c>
      <c r="AO544" s="21">
        <v>0</v>
      </c>
      <c r="AP544" s="21">
        <v>0</v>
      </c>
      <c r="AQ544" s="21">
        <v>3000</v>
      </c>
      <c r="AR544" s="21">
        <v>0.5</v>
      </c>
      <c r="AS544" s="21">
        <v>0</v>
      </c>
      <c r="AT544" s="19">
        <v>59000013</v>
      </c>
      <c r="AU544" s="21">
        <v>0</v>
      </c>
      <c r="AV544" s="21"/>
      <c r="AW544" s="30" t="s">
        <v>204</v>
      </c>
      <c r="AX544" s="21">
        <v>0</v>
      </c>
      <c r="AY544" s="32">
        <v>0</v>
      </c>
      <c r="AZ544" s="32">
        <v>0</v>
      </c>
      <c r="BA544" s="30" t="s">
        <v>206</v>
      </c>
      <c r="BB544" s="21">
        <v>0</v>
      </c>
      <c r="BC544" s="31">
        <v>0</v>
      </c>
      <c r="BD544" s="31">
        <v>1</v>
      </c>
      <c r="BE544" s="171" t="s">
        <v>1486</v>
      </c>
      <c r="BF544" s="171" t="s">
        <v>1487</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v>1500</v>
      </c>
    </row>
    <row r="545" spans="3:78" ht="20.100000000000001" customHeight="1">
      <c r="C545" s="21">
        <v>59000301</v>
      </c>
      <c r="D545" s="30" t="s">
        <v>1488</v>
      </c>
      <c r="E545" s="30" t="s">
        <v>1489</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v>
      </c>
      <c r="Y545" s="19">
        <v>0</v>
      </c>
      <c r="Z545" s="21">
        <v>500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1473</v>
      </c>
      <c r="AY545" s="32">
        <v>10003002</v>
      </c>
      <c r="AZ545" s="32">
        <v>21020101</v>
      </c>
      <c r="BA545" s="30" t="s">
        <v>206</v>
      </c>
      <c r="BB545" s="21">
        <v>0</v>
      </c>
      <c r="BC545" s="31">
        <v>0</v>
      </c>
      <c r="BD545" s="31">
        <v>1</v>
      </c>
      <c r="BE545" s="171" t="s">
        <v>1490</v>
      </c>
      <c r="BF545" s="171" t="s">
        <v>1491</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v>500</v>
      </c>
    </row>
    <row r="546" spans="3:78" ht="20.100000000000001" customHeight="1">
      <c r="C546" s="21">
        <v>59000302</v>
      </c>
      <c r="D546" s="30" t="s">
        <v>1488</v>
      </c>
      <c r="E546" s="30" t="s">
        <v>1489</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1.5</v>
      </c>
      <c r="Y546" s="19">
        <v>0</v>
      </c>
      <c r="Z546" s="21">
        <v>1000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1473</v>
      </c>
      <c r="AY546" s="32">
        <v>10003002</v>
      </c>
      <c r="AZ546" s="32">
        <v>21020101</v>
      </c>
      <c r="BA546" s="30" t="s">
        <v>206</v>
      </c>
      <c r="BB546" s="21">
        <v>0</v>
      </c>
      <c r="BC546" s="31">
        <v>0</v>
      </c>
      <c r="BD546" s="31">
        <v>1</v>
      </c>
      <c r="BE546" s="171" t="s">
        <v>1492</v>
      </c>
      <c r="BF546" s="171" t="s">
        <v>1493</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v>1000</v>
      </c>
    </row>
    <row r="547" spans="3:78" ht="20.100000000000001" customHeight="1">
      <c r="C547" s="21">
        <v>59000303</v>
      </c>
      <c r="D547" s="30" t="s">
        <v>1488</v>
      </c>
      <c r="E547" s="30" t="s">
        <v>1489</v>
      </c>
      <c r="F547" s="21">
        <v>1</v>
      </c>
      <c r="G547" s="21">
        <v>63001004</v>
      </c>
      <c r="H547" s="21">
        <v>0</v>
      </c>
      <c r="I547" s="31">
        <v>0</v>
      </c>
      <c r="J547" s="21">
        <v>1</v>
      </c>
      <c r="K547" s="21">
        <v>0</v>
      </c>
      <c r="L547" s="21">
        <v>0</v>
      </c>
      <c r="M547" s="21">
        <v>0</v>
      </c>
      <c r="N547" s="21">
        <v>0</v>
      </c>
      <c r="O547" s="21">
        <v>2</v>
      </c>
      <c r="P547" s="21">
        <v>7</v>
      </c>
      <c r="Q547" s="21">
        <v>0.15</v>
      </c>
      <c r="R547" s="21">
        <v>0</v>
      </c>
      <c r="S547" s="19">
        <v>0</v>
      </c>
      <c r="T547" s="21">
        <v>0</v>
      </c>
      <c r="U547" s="21">
        <v>1</v>
      </c>
      <c r="V547" s="21">
        <v>2</v>
      </c>
      <c r="W547" s="21">
        <v>0</v>
      </c>
      <c r="X547" s="21">
        <v>2</v>
      </c>
      <c r="Y547" s="19">
        <v>0</v>
      </c>
      <c r="Z547" s="21">
        <v>1500</v>
      </c>
      <c r="AA547" s="21">
        <v>0</v>
      </c>
      <c r="AB547" s="21">
        <v>0</v>
      </c>
      <c r="AC547" s="21">
        <v>0</v>
      </c>
      <c r="AD547" s="21">
        <v>1</v>
      </c>
      <c r="AE547" s="21">
        <v>0</v>
      </c>
      <c r="AF547" s="21">
        <v>12</v>
      </c>
      <c r="AG547" s="21">
        <v>1</v>
      </c>
      <c r="AH547" s="21">
        <v>3.5</v>
      </c>
      <c r="AI547" s="19">
        <v>1</v>
      </c>
      <c r="AJ547" s="19">
        <v>1</v>
      </c>
      <c r="AK547" s="19">
        <v>0</v>
      </c>
      <c r="AL547" s="19">
        <v>6</v>
      </c>
      <c r="AM547" s="21">
        <v>0</v>
      </c>
      <c r="AN547" s="21">
        <v>0</v>
      </c>
      <c r="AO547" s="21">
        <v>0</v>
      </c>
      <c r="AP547" s="21">
        <v>0.25</v>
      </c>
      <c r="AQ547" s="21">
        <v>3000</v>
      </c>
      <c r="AR547" s="21">
        <v>2</v>
      </c>
      <c r="AS547" s="21">
        <v>0</v>
      </c>
      <c r="AT547" s="19">
        <v>0</v>
      </c>
      <c r="AU547" s="21">
        <v>0</v>
      </c>
      <c r="AV547" s="21"/>
      <c r="AW547" s="30" t="s">
        <v>205</v>
      </c>
      <c r="AX547" s="21" t="s">
        <v>1473</v>
      </c>
      <c r="AY547" s="32">
        <v>10003002</v>
      </c>
      <c r="AZ547" s="32">
        <v>21020101</v>
      </c>
      <c r="BA547" s="30" t="s">
        <v>206</v>
      </c>
      <c r="BB547" s="21">
        <v>0</v>
      </c>
      <c r="BC547" s="31">
        <v>0</v>
      </c>
      <c r="BD547" s="31">
        <v>1</v>
      </c>
      <c r="BE547" s="171" t="s">
        <v>1494</v>
      </c>
      <c r="BF547" s="171" t="s">
        <v>1495</v>
      </c>
      <c r="BG547" s="21">
        <v>0</v>
      </c>
      <c r="BH547" s="21">
        <v>0</v>
      </c>
      <c r="BI547" s="21">
        <v>0</v>
      </c>
      <c r="BJ547" s="21">
        <v>0</v>
      </c>
      <c r="BK547" s="21">
        <v>0</v>
      </c>
      <c r="BL547" s="21">
        <v>0</v>
      </c>
      <c r="BM547" s="25">
        <v>0</v>
      </c>
      <c r="BN547" s="19">
        <v>0</v>
      </c>
      <c r="BO547" s="19">
        <v>0</v>
      </c>
      <c r="BP547" s="19">
        <v>0</v>
      </c>
      <c r="BQ547" s="19">
        <v>0</v>
      </c>
      <c r="BR547" s="19">
        <v>0</v>
      </c>
      <c r="BS547" s="19">
        <v>0</v>
      </c>
      <c r="BT547" s="19">
        <v>0</v>
      </c>
      <c r="BU547" s="23">
        <v>0</v>
      </c>
      <c r="BV547" s="23"/>
      <c r="BW547" s="23"/>
      <c r="BX547" s="23"/>
      <c r="BY547" s="23"/>
      <c r="BZ547" s="23">
        <v>1500</v>
      </c>
    </row>
    <row r="548" spans="3:78" ht="20.100000000000001" customHeight="1">
      <c r="C548" s="21">
        <v>59000401</v>
      </c>
      <c r="D548" s="30" t="s">
        <v>1496</v>
      </c>
      <c r="E548" s="30" t="s">
        <v>1497</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v>
      </c>
      <c r="Y548" s="19">
        <v>0</v>
      </c>
      <c r="Z548" s="21">
        <v>500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1498</v>
      </c>
      <c r="BF548" s="171" t="s">
        <v>1499</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v>500</v>
      </c>
    </row>
    <row r="549" spans="3:78" ht="20.100000000000001" customHeight="1">
      <c r="C549" s="21">
        <v>59000402</v>
      </c>
      <c r="D549" s="30" t="s">
        <v>1496</v>
      </c>
      <c r="E549" s="30" t="s">
        <v>1497</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1.5</v>
      </c>
      <c r="Y549" s="19">
        <v>0</v>
      </c>
      <c r="Z549" s="21">
        <v>1000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1500</v>
      </c>
      <c r="BF549" s="171" t="s">
        <v>1501</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v>1000</v>
      </c>
    </row>
    <row r="550" spans="3:78" ht="20.100000000000001" customHeight="1">
      <c r="C550" s="21">
        <v>59000403</v>
      </c>
      <c r="D550" s="30" t="s">
        <v>1496</v>
      </c>
      <c r="E550" s="30" t="s">
        <v>1497</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2</v>
      </c>
      <c r="Y550" s="19">
        <v>0</v>
      </c>
      <c r="Z550" s="21">
        <v>1500</v>
      </c>
      <c r="AA550" s="21">
        <v>0</v>
      </c>
      <c r="AB550" s="21">
        <v>0</v>
      </c>
      <c r="AC550" s="21">
        <v>0</v>
      </c>
      <c r="AD550" s="21">
        <v>1</v>
      </c>
      <c r="AE550" s="21">
        <v>0</v>
      </c>
      <c r="AF550" s="21">
        <v>12</v>
      </c>
      <c r="AG550" s="21">
        <v>1</v>
      </c>
      <c r="AH550" s="21">
        <v>3.5</v>
      </c>
      <c r="AI550" s="19">
        <v>0</v>
      </c>
      <c r="AJ550" s="19">
        <v>0</v>
      </c>
      <c r="AK550" s="19">
        <v>1</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1502</v>
      </c>
      <c r="BF550" s="171" t="s">
        <v>1503</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v>1500</v>
      </c>
    </row>
    <row r="551" spans="3:78" ht="20.100000000000001" customHeight="1">
      <c r="C551" s="21">
        <v>59000501</v>
      </c>
      <c r="D551" s="30" t="s">
        <v>1504</v>
      </c>
      <c r="E551" s="30" t="s">
        <v>1505</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v>
      </c>
      <c r="Y551" s="19">
        <v>0</v>
      </c>
      <c r="Z551" s="21">
        <v>500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1506</v>
      </c>
      <c r="BF551" s="171" t="s">
        <v>1507</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v>500</v>
      </c>
    </row>
    <row r="552" spans="3:78" ht="20.100000000000001" customHeight="1">
      <c r="C552" s="21">
        <v>59000502</v>
      </c>
      <c r="D552" s="30" t="s">
        <v>1504</v>
      </c>
      <c r="E552" s="30" t="s">
        <v>1505</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1.5</v>
      </c>
      <c r="Y552" s="19">
        <v>0</v>
      </c>
      <c r="Z552" s="21">
        <v>1000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1508</v>
      </c>
      <c r="BF552" s="171" t="s">
        <v>1509</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v>1000</v>
      </c>
    </row>
    <row r="553" spans="3:78" ht="20.100000000000001" customHeight="1">
      <c r="C553" s="21">
        <v>59000503</v>
      </c>
      <c r="D553" s="30" t="s">
        <v>1504</v>
      </c>
      <c r="E553" s="30" t="s">
        <v>1505</v>
      </c>
      <c r="F553" s="21">
        <v>1</v>
      </c>
      <c r="G553" s="21">
        <v>62012201</v>
      </c>
      <c r="H553" s="21">
        <v>0</v>
      </c>
      <c r="I553" s="31">
        <v>0</v>
      </c>
      <c r="J553" s="21">
        <v>1</v>
      </c>
      <c r="K553" s="21">
        <v>0</v>
      </c>
      <c r="L553" s="21">
        <v>0</v>
      </c>
      <c r="M553" s="21">
        <v>0</v>
      </c>
      <c r="N553" s="21">
        <v>0</v>
      </c>
      <c r="O553" s="21">
        <v>2</v>
      </c>
      <c r="P553" s="21">
        <v>3</v>
      </c>
      <c r="Q553" s="21">
        <v>0.15</v>
      </c>
      <c r="R553" s="21">
        <v>0</v>
      </c>
      <c r="S553" s="19">
        <v>0</v>
      </c>
      <c r="T553" s="21">
        <v>0</v>
      </c>
      <c r="U553" s="21">
        <v>1</v>
      </c>
      <c r="V553" s="21">
        <v>2</v>
      </c>
      <c r="W553" s="21">
        <v>0</v>
      </c>
      <c r="X553" s="21">
        <v>2</v>
      </c>
      <c r="Y553" s="19">
        <v>0</v>
      </c>
      <c r="Z553" s="21">
        <v>1500</v>
      </c>
      <c r="AA553" s="21">
        <v>0</v>
      </c>
      <c r="AB553" s="21">
        <v>0</v>
      </c>
      <c r="AC553" s="21">
        <v>0</v>
      </c>
      <c r="AD553" s="21">
        <v>1</v>
      </c>
      <c r="AE553" s="21">
        <v>0</v>
      </c>
      <c r="AF553" s="21">
        <v>12</v>
      </c>
      <c r="AG553" s="21">
        <v>1</v>
      </c>
      <c r="AH553" s="21">
        <v>3.5</v>
      </c>
      <c r="AI553" s="19">
        <v>0</v>
      </c>
      <c r="AJ553" s="19">
        <v>0</v>
      </c>
      <c r="AK553" s="19">
        <v>0</v>
      </c>
      <c r="AL553" s="19">
        <v>4</v>
      </c>
      <c r="AM553" s="21">
        <v>0</v>
      </c>
      <c r="AN553" s="21">
        <v>0</v>
      </c>
      <c r="AO553" s="21">
        <v>0</v>
      </c>
      <c r="AP553" s="21">
        <v>0</v>
      </c>
      <c r="AQ553" s="21">
        <v>3000</v>
      </c>
      <c r="AR553" s="21">
        <v>0</v>
      </c>
      <c r="AS553" s="21">
        <v>0</v>
      </c>
      <c r="AT553" s="19">
        <v>0</v>
      </c>
      <c r="AU553" s="21">
        <v>0</v>
      </c>
      <c r="AV553" s="21"/>
      <c r="AW553" s="30" t="s">
        <v>205</v>
      </c>
      <c r="AX553" s="21" t="s">
        <v>540</v>
      </c>
      <c r="AY553" s="32">
        <v>10000009</v>
      </c>
      <c r="AZ553" s="32">
        <v>21100050</v>
      </c>
      <c r="BA553" s="30" t="s">
        <v>206</v>
      </c>
      <c r="BB553" s="21">
        <v>0</v>
      </c>
      <c r="BC553" s="31">
        <v>0</v>
      </c>
      <c r="BD553" s="31">
        <v>1</v>
      </c>
      <c r="BE553" s="171" t="s">
        <v>1510</v>
      </c>
      <c r="BF553" s="171" t="s">
        <v>1511</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v>1500</v>
      </c>
    </row>
    <row r="554" spans="3:78" ht="20.100000000000001" customHeight="1">
      <c r="C554" s="21">
        <v>59000601</v>
      </c>
      <c r="D554" s="30" t="s">
        <v>1512</v>
      </c>
      <c r="E554" s="30" t="s">
        <v>1513</v>
      </c>
      <c r="F554" s="21">
        <v>1</v>
      </c>
      <c r="G554" s="21">
        <v>63001004</v>
      </c>
      <c r="H554" s="21">
        <v>0</v>
      </c>
      <c r="I554" s="31">
        <v>0</v>
      </c>
      <c r="J554" s="21">
        <v>1</v>
      </c>
      <c r="K554" s="21">
        <v>0</v>
      </c>
      <c r="L554" s="21">
        <v>0</v>
      </c>
      <c r="M554" s="21">
        <v>0</v>
      </c>
      <c r="N554" s="21">
        <v>0</v>
      </c>
      <c r="O554" s="21">
        <v>2</v>
      </c>
      <c r="P554" s="21">
        <v>22</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59000021</v>
      </c>
      <c r="AV554" s="21"/>
      <c r="AW554" s="30" t="s">
        <v>205</v>
      </c>
      <c r="AX554" s="21">
        <v>0</v>
      </c>
      <c r="AY554" s="32">
        <v>0</v>
      </c>
      <c r="AZ554" s="32">
        <v>0</v>
      </c>
      <c r="BA554" s="30" t="s">
        <v>206</v>
      </c>
      <c r="BB554" s="21" t="s">
        <v>204</v>
      </c>
      <c r="BC554" s="31">
        <v>0</v>
      </c>
      <c r="BD554" s="31">
        <v>1</v>
      </c>
      <c r="BE554" s="171" t="s">
        <v>1514</v>
      </c>
      <c r="BF554" s="171" t="s">
        <v>1515</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v>500</v>
      </c>
    </row>
    <row r="555" spans="3:78" ht="20.100000000000001" customHeight="1">
      <c r="C555" s="21">
        <v>59000602</v>
      </c>
      <c r="D555" s="30" t="s">
        <v>1512</v>
      </c>
      <c r="E555" s="30" t="s">
        <v>1513</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59000022</v>
      </c>
      <c r="AV555" s="21"/>
      <c r="AW555" s="30" t="s">
        <v>205</v>
      </c>
      <c r="AX555" s="21">
        <v>0</v>
      </c>
      <c r="AY555" s="32">
        <v>0</v>
      </c>
      <c r="AZ555" s="32">
        <v>0</v>
      </c>
      <c r="BA555" s="30" t="s">
        <v>206</v>
      </c>
      <c r="BB555" s="21" t="s">
        <v>204</v>
      </c>
      <c r="BC555" s="31">
        <v>0</v>
      </c>
      <c r="BD555" s="31">
        <v>1</v>
      </c>
      <c r="BE555" s="171" t="s">
        <v>1516</v>
      </c>
      <c r="BF555" s="171" t="s">
        <v>1517</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v>1000</v>
      </c>
    </row>
    <row r="556" spans="3:78" ht="20.100000000000001" customHeight="1">
      <c r="C556" s="21">
        <v>59000603</v>
      </c>
      <c r="D556" s="30" t="s">
        <v>1512</v>
      </c>
      <c r="E556" s="30" t="s">
        <v>1513</v>
      </c>
      <c r="F556" s="21">
        <v>1</v>
      </c>
      <c r="G556" s="21">
        <v>63001004</v>
      </c>
      <c r="H556" s="21">
        <v>0</v>
      </c>
      <c r="I556" s="31">
        <v>0</v>
      </c>
      <c r="J556" s="21">
        <v>1</v>
      </c>
      <c r="K556" s="21">
        <v>0</v>
      </c>
      <c r="L556" s="21">
        <v>0</v>
      </c>
      <c r="M556" s="21">
        <v>0</v>
      </c>
      <c r="N556" s="21">
        <v>0</v>
      </c>
      <c r="O556" s="21">
        <v>2</v>
      </c>
      <c r="P556" s="21">
        <v>10</v>
      </c>
      <c r="Q556" s="21">
        <v>0.1</v>
      </c>
      <c r="R556" s="21">
        <v>0</v>
      </c>
      <c r="S556" s="19">
        <v>0</v>
      </c>
      <c r="T556" s="21">
        <v>0</v>
      </c>
      <c r="U556" s="21">
        <v>1</v>
      </c>
      <c r="V556" s="21">
        <v>2</v>
      </c>
      <c r="W556" s="21">
        <v>0</v>
      </c>
      <c r="X556" s="21">
        <v>0</v>
      </c>
      <c r="Y556" s="19">
        <v>0</v>
      </c>
      <c r="Z556" s="21">
        <v>0</v>
      </c>
      <c r="AA556" s="21">
        <v>0</v>
      </c>
      <c r="AB556" s="21">
        <v>0</v>
      </c>
      <c r="AC556" s="21">
        <v>0</v>
      </c>
      <c r="AD556" s="21">
        <v>1</v>
      </c>
      <c r="AE556" s="21">
        <v>0</v>
      </c>
      <c r="AF556" s="21">
        <v>12</v>
      </c>
      <c r="AG556" s="21">
        <v>1</v>
      </c>
      <c r="AH556" s="21">
        <v>1</v>
      </c>
      <c r="AI556" s="19">
        <v>2</v>
      </c>
      <c r="AJ556" s="19">
        <v>0</v>
      </c>
      <c r="AK556" s="19">
        <v>0</v>
      </c>
      <c r="AL556" s="19">
        <v>2</v>
      </c>
      <c r="AM556" s="21">
        <v>0</v>
      </c>
      <c r="AN556" s="21">
        <v>0</v>
      </c>
      <c r="AO556" s="21">
        <v>0</v>
      </c>
      <c r="AP556" s="21">
        <v>0</v>
      </c>
      <c r="AQ556" s="21">
        <v>10000</v>
      </c>
      <c r="AR556" s="21">
        <v>0</v>
      </c>
      <c r="AS556" s="21">
        <v>0</v>
      </c>
      <c r="AT556" s="19">
        <v>0</v>
      </c>
      <c r="AU556" s="21">
        <v>59000023</v>
      </c>
      <c r="AV556" s="21"/>
      <c r="AW556" s="30" t="s">
        <v>205</v>
      </c>
      <c r="AX556" s="21">
        <v>0</v>
      </c>
      <c r="AY556" s="32">
        <v>0</v>
      </c>
      <c r="AZ556" s="32">
        <v>0</v>
      </c>
      <c r="BA556" s="30" t="s">
        <v>206</v>
      </c>
      <c r="BB556" s="21" t="s">
        <v>204</v>
      </c>
      <c r="BC556" s="31">
        <v>0</v>
      </c>
      <c r="BD556" s="31">
        <v>1</v>
      </c>
      <c r="BE556" s="171" t="s">
        <v>1518</v>
      </c>
      <c r="BF556" s="171" t="s">
        <v>1519</v>
      </c>
      <c r="BG556" s="21">
        <v>0</v>
      </c>
      <c r="BH556" s="21">
        <v>0</v>
      </c>
      <c r="BI556" s="21">
        <v>0</v>
      </c>
      <c r="BJ556" s="21">
        <v>0</v>
      </c>
      <c r="BK556" s="21">
        <v>0</v>
      </c>
      <c r="BL556" s="21">
        <v>0</v>
      </c>
      <c r="BM556" s="25">
        <v>0</v>
      </c>
      <c r="BN556" s="19">
        <v>1</v>
      </c>
      <c r="BO556" s="19">
        <v>0</v>
      </c>
      <c r="BP556" s="19">
        <v>0</v>
      </c>
      <c r="BQ556" s="19">
        <v>0</v>
      </c>
      <c r="BR556" s="19">
        <v>0</v>
      </c>
      <c r="BS556" s="19">
        <v>0</v>
      </c>
      <c r="BT556" s="19">
        <v>0</v>
      </c>
      <c r="BU556" s="23">
        <v>0</v>
      </c>
      <c r="BV556" s="23"/>
      <c r="BW556" s="23"/>
      <c r="BX556" s="23"/>
      <c r="BY556" s="23"/>
      <c r="BZ556" s="23">
        <v>1500</v>
      </c>
    </row>
    <row r="557" spans="3:78" ht="20.100000000000001" customHeight="1">
      <c r="C557" s="21">
        <v>59000701</v>
      </c>
      <c r="D557" s="30" t="s">
        <v>1520</v>
      </c>
      <c r="E557" s="30" t="s">
        <v>1521</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1522</v>
      </c>
      <c r="BF557" s="171" t="s">
        <v>1523</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v>500</v>
      </c>
    </row>
    <row r="558" spans="3:78" ht="20.100000000000001" customHeight="1">
      <c r="C558" s="21">
        <v>59000702</v>
      </c>
      <c r="D558" s="30" t="s">
        <v>1520</v>
      </c>
      <c r="E558" s="30" t="s">
        <v>1521</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1524</v>
      </c>
      <c r="BF558" s="171" t="s">
        <v>1525</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v>1000</v>
      </c>
    </row>
    <row r="559" spans="3:78" ht="20.100000000000001" customHeight="1">
      <c r="C559" s="21">
        <v>59000703</v>
      </c>
      <c r="D559" s="30" t="s">
        <v>1520</v>
      </c>
      <c r="E559" s="30" t="s">
        <v>1521</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v>0</v>
      </c>
      <c r="AV559" s="21"/>
      <c r="AW559" s="30" t="s">
        <v>205</v>
      </c>
      <c r="AX559" s="21">
        <v>0</v>
      </c>
      <c r="AY559" s="32">
        <v>0</v>
      </c>
      <c r="AZ559" s="32">
        <v>0</v>
      </c>
      <c r="BA559" s="30" t="s">
        <v>206</v>
      </c>
      <c r="BB559" s="21" t="s">
        <v>204</v>
      </c>
      <c r="BC559" s="31">
        <v>0</v>
      </c>
      <c r="BD559" s="31">
        <v>1</v>
      </c>
      <c r="BE559" s="171" t="s">
        <v>1526</v>
      </c>
      <c r="BF559" s="171" t="s">
        <v>1527</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c r="BY559" s="23"/>
      <c r="BZ559" s="23">
        <v>1500</v>
      </c>
    </row>
    <row r="560" spans="3:78" ht="20.100000000000001" customHeight="1">
      <c r="C560" s="21">
        <v>59000801</v>
      </c>
      <c r="D560" s="30" t="s">
        <v>1528</v>
      </c>
      <c r="E560" s="30" t="s">
        <v>1529</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1530</v>
      </c>
      <c r="BF560" s="171" t="s">
        <v>1531</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1532</v>
      </c>
      <c r="BY560" s="23"/>
      <c r="BZ560" s="23">
        <v>500</v>
      </c>
    </row>
    <row r="561" spans="3:78" ht="20.100000000000001" customHeight="1">
      <c r="C561" s="21">
        <v>59000802</v>
      </c>
      <c r="D561" s="30" t="s">
        <v>1528</v>
      </c>
      <c r="E561" s="30" t="s">
        <v>1529</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1533</v>
      </c>
      <c r="BF561" s="171" t="s">
        <v>1534</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1535</v>
      </c>
      <c r="BY561" s="23"/>
      <c r="BZ561" s="23">
        <v>1000</v>
      </c>
    </row>
    <row r="562" spans="3:78" ht="20.100000000000001" customHeight="1">
      <c r="C562" s="21">
        <v>59000803</v>
      </c>
      <c r="D562" s="30" t="s">
        <v>1528</v>
      </c>
      <c r="E562" s="30" t="s">
        <v>1529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1536</v>
      </c>
      <c r="BF562" s="171" t="s">
        <v>1537</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1538</v>
      </c>
      <c r="BY562" s="23"/>
      <c r="BZ562" s="23">
        <v>1500</v>
      </c>
    </row>
    <row r="563" spans="3:78" ht="20.100000000000001" customHeight="1">
      <c r="C563" s="21">
        <v>59000901</v>
      </c>
      <c r="D563" s="30" t="s">
        <v>1539</v>
      </c>
      <c r="E563" s="30" t="s">
        <v>1540</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1541</v>
      </c>
      <c r="BF563" s="171" t="s">
        <v>1542</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1543</v>
      </c>
      <c r="BY563" s="23"/>
      <c r="BZ563" s="23">
        <v>500</v>
      </c>
    </row>
    <row r="564" spans="3:78" ht="20.100000000000001" customHeight="1">
      <c r="C564" s="21">
        <v>59000902</v>
      </c>
      <c r="D564" s="30" t="s">
        <v>1539</v>
      </c>
      <c r="E564" s="30" t="s">
        <v>1540</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1544</v>
      </c>
      <c r="BF564" s="171" t="s">
        <v>1545</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1546</v>
      </c>
      <c r="BY564" s="23"/>
      <c r="BZ564" s="23">
        <v>1000</v>
      </c>
    </row>
    <row r="565" spans="3:78" ht="20.100000000000001" customHeight="1">
      <c r="C565" s="21">
        <v>59000903</v>
      </c>
      <c r="D565" s="30" t="s">
        <v>1539</v>
      </c>
      <c r="E565" s="30" t="s">
        <v>1540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204</v>
      </c>
      <c r="BC565" s="31">
        <v>0</v>
      </c>
      <c r="BD565" s="31">
        <v>1</v>
      </c>
      <c r="BE565" s="171" t="s">
        <v>1547</v>
      </c>
      <c r="BF565" s="171" t="s">
        <v>1548</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t="s">
        <v>1549</v>
      </c>
      <c r="BY565" s="23"/>
      <c r="BZ565" s="23">
        <v>1500</v>
      </c>
    </row>
    <row r="566" spans="3:78" ht="20.100000000000001" customHeight="1">
      <c r="C566" s="21">
        <v>59100101</v>
      </c>
      <c r="D566" s="30" t="s">
        <v>1550</v>
      </c>
      <c r="E566" s="30" t="s">
        <v>1551</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1552</v>
      </c>
      <c r="BC566" s="31">
        <v>0</v>
      </c>
      <c r="BD566" s="31">
        <v>1</v>
      </c>
      <c r="BE566" s="171" t="s">
        <v>1553</v>
      </c>
      <c r="BF566" s="171" t="s">
        <v>1554</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v>500</v>
      </c>
    </row>
    <row r="567" spans="3:78" ht="20.100000000000001" customHeight="1">
      <c r="C567" s="21">
        <v>59100102</v>
      </c>
      <c r="D567" s="30" t="s">
        <v>1550</v>
      </c>
      <c r="E567" s="30" t="s">
        <v>1551</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1555</v>
      </c>
      <c r="BC567" s="31">
        <v>0</v>
      </c>
      <c r="BD567" s="31">
        <v>1</v>
      </c>
      <c r="BE567" s="171" t="s">
        <v>1556</v>
      </c>
      <c r="BF567" s="171" t="s">
        <v>1557</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v>1000</v>
      </c>
    </row>
    <row r="568" spans="3:78" ht="20.100000000000001" customHeight="1">
      <c r="C568" s="21">
        <v>59100103</v>
      </c>
      <c r="D568" s="30" t="s">
        <v>1550</v>
      </c>
      <c r="E568" s="30" t="s">
        <v>1551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21" t="s">
        <v>1558</v>
      </c>
      <c r="BC568" s="31">
        <v>0</v>
      </c>
      <c r="BD568" s="31">
        <v>1</v>
      </c>
      <c r="BE568" s="171" t="s">
        <v>1559</v>
      </c>
      <c r="BF568" s="171" t="s">
        <v>1560</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v>1500</v>
      </c>
    </row>
    <row r="569" spans="3:78" ht="20.100000000000001" customHeight="1">
      <c r="C569" s="21">
        <v>59100201</v>
      </c>
      <c r="D569" s="30" t="s">
        <v>1561</v>
      </c>
      <c r="E569" s="30" t="s">
        <v>1562</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36" t="s">
        <v>1563</v>
      </c>
      <c r="BC569" s="31">
        <v>0</v>
      </c>
      <c r="BD569" s="31">
        <v>1</v>
      </c>
      <c r="BE569" s="171" t="s">
        <v>1564</v>
      </c>
      <c r="BF569" s="171" t="s">
        <v>1565</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v>500</v>
      </c>
    </row>
    <row r="570" spans="3:78" ht="20.100000000000001" customHeight="1">
      <c r="C570" s="21">
        <v>59100202</v>
      </c>
      <c r="D570" s="30" t="s">
        <v>1561</v>
      </c>
      <c r="E570" s="30" t="s">
        <v>1562</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36" t="s">
        <v>1566</v>
      </c>
      <c r="BC570" s="31">
        <v>0</v>
      </c>
      <c r="BD570" s="31">
        <v>1</v>
      </c>
      <c r="BE570" s="171" t="s">
        <v>1567</v>
      </c>
      <c r="BF570" s="171" t="s">
        <v>1568</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v>1000</v>
      </c>
    </row>
    <row r="571" spans="3:78" ht="20.100000000000001" customHeight="1">
      <c r="C571" s="21">
        <v>59100203</v>
      </c>
      <c r="D571" s="30" t="s">
        <v>1561</v>
      </c>
      <c r="E571" s="30" t="s">
        <v>1562</v>
      </c>
      <c r="F571" s="21">
        <v>1</v>
      </c>
      <c r="G571" s="21">
        <v>60011301</v>
      </c>
      <c r="H571" s="21">
        <v>0</v>
      </c>
      <c r="I571" s="31">
        <v>0</v>
      </c>
      <c r="J571" s="21">
        <v>1</v>
      </c>
      <c r="K571" s="21">
        <v>0</v>
      </c>
      <c r="L571" s="21">
        <v>0</v>
      </c>
      <c r="M571" s="21">
        <v>0</v>
      </c>
      <c r="N571" s="21">
        <v>0</v>
      </c>
      <c r="O571" s="21">
        <v>5</v>
      </c>
      <c r="P571" s="21">
        <v>0</v>
      </c>
      <c r="Q571" s="21">
        <v>0</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0</v>
      </c>
      <c r="AU571" s="21" t="s">
        <v>204</v>
      </c>
      <c r="AV571" s="21"/>
      <c r="AW571" s="30" t="s">
        <v>205</v>
      </c>
      <c r="AX571" s="21">
        <v>0</v>
      </c>
      <c r="AY571" s="32">
        <v>0</v>
      </c>
      <c r="AZ571" s="32">
        <v>0</v>
      </c>
      <c r="BA571" s="30" t="s">
        <v>206</v>
      </c>
      <c r="BB571" s="336" t="s">
        <v>1569</v>
      </c>
      <c r="BC571" s="31">
        <v>0</v>
      </c>
      <c r="BD571" s="31">
        <v>1</v>
      </c>
      <c r="BE571" s="171" t="s">
        <v>1570</v>
      </c>
      <c r="BF571" s="171" t="s">
        <v>1571</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v>1500</v>
      </c>
    </row>
    <row r="572" spans="3:78" ht="20.100000000000001" customHeight="1">
      <c r="C572" s="21">
        <v>59100301</v>
      </c>
      <c r="D572" s="30" t="s">
        <v>1572</v>
      </c>
      <c r="E572" s="30" t="s">
        <v>1573</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59000031</v>
      </c>
      <c r="AU572" s="21" t="s">
        <v>204</v>
      </c>
      <c r="AV572" s="21"/>
      <c r="AW572" s="30" t="s">
        <v>205</v>
      </c>
      <c r="AX572" s="21">
        <v>0</v>
      </c>
      <c r="AY572" s="32">
        <v>0</v>
      </c>
      <c r="AZ572" s="32">
        <v>0</v>
      </c>
      <c r="BA572" s="30" t="s">
        <v>206</v>
      </c>
      <c r="BB572" s="21">
        <v>0</v>
      </c>
      <c r="BC572" s="31">
        <v>0</v>
      </c>
      <c r="BD572" s="31">
        <v>1</v>
      </c>
      <c r="BE572" s="171" t="s">
        <v>1574</v>
      </c>
      <c r="BF572" s="171" t="s">
        <v>1575</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v>500</v>
      </c>
    </row>
    <row r="573" spans="3:78" ht="20.100000000000001" customHeight="1">
      <c r="C573" s="21">
        <v>59100302</v>
      </c>
      <c r="D573" s="30" t="s">
        <v>1572</v>
      </c>
      <c r="E573" s="30" t="s">
        <v>1573</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59000032</v>
      </c>
      <c r="AU573" s="21" t="s">
        <v>204</v>
      </c>
      <c r="AV573" s="21"/>
      <c r="AW573" s="30" t="s">
        <v>205</v>
      </c>
      <c r="AX573" s="21">
        <v>0</v>
      </c>
      <c r="AY573" s="32">
        <v>0</v>
      </c>
      <c r="AZ573" s="32">
        <v>0</v>
      </c>
      <c r="BA573" s="30" t="s">
        <v>206</v>
      </c>
      <c r="BB573" s="21">
        <v>0</v>
      </c>
      <c r="BC573" s="31">
        <v>0</v>
      </c>
      <c r="BD573" s="31">
        <v>1</v>
      </c>
      <c r="BE573" s="171" t="s">
        <v>1576</v>
      </c>
      <c r="BF573" s="171" t="s">
        <v>1577</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v>1000</v>
      </c>
    </row>
    <row r="574" spans="3:78" ht="20.100000000000001" customHeight="1">
      <c r="C574" s="21">
        <v>59100303</v>
      </c>
      <c r="D574" s="30" t="s">
        <v>1572</v>
      </c>
      <c r="E574" s="30" t="s">
        <v>1573</v>
      </c>
      <c r="F574" s="21">
        <v>1</v>
      </c>
      <c r="G574" s="21">
        <v>60011301</v>
      </c>
      <c r="H574" s="21">
        <v>0</v>
      </c>
      <c r="I574" s="31">
        <v>0</v>
      </c>
      <c r="J574" s="21">
        <v>1</v>
      </c>
      <c r="K574" s="21">
        <v>0</v>
      </c>
      <c r="L574" s="21">
        <v>0</v>
      </c>
      <c r="M574" s="21">
        <v>0</v>
      </c>
      <c r="N574" s="21">
        <v>0</v>
      </c>
      <c r="O574" s="21">
        <v>2</v>
      </c>
      <c r="P574" s="21">
        <v>3</v>
      </c>
      <c r="Q574" s="21">
        <v>0.1</v>
      </c>
      <c r="R574" s="21">
        <v>0</v>
      </c>
      <c r="S574" s="19">
        <v>0</v>
      </c>
      <c r="T574" s="21">
        <v>0</v>
      </c>
      <c r="U574" s="21">
        <v>1</v>
      </c>
      <c r="V574" s="21">
        <v>2</v>
      </c>
      <c r="W574" s="21">
        <v>0</v>
      </c>
      <c r="X574" s="21">
        <v>0</v>
      </c>
      <c r="Y574" s="19">
        <v>0</v>
      </c>
      <c r="Z574" s="21">
        <v>0</v>
      </c>
      <c r="AA574" s="21">
        <v>0</v>
      </c>
      <c r="AB574" s="21">
        <v>0</v>
      </c>
      <c r="AC574" s="21">
        <v>0</v>
      </c>
      <c r="AD574" s="21">
        <v>0</v>
      </c>
      <c r="AE574" s="21">
        <v>0</v>
      </c>
      <c r="AF574" s="21">
        <v>12</v>
      </c>
      <c r="AG574" s="21">
        <v>2</v>
      </c>
      <c r="AH574" s="21" t="s">
        <v>219</v>
      </c>
      <c r="AI574" s="19">
        <v>2</v>
      </c>
      <c r="AJ574" s="19">
        <v>2</v>
      </c>
      <c r="AK574" s="19">
        <v>0</v>
      </c>
      <c r="AL574" s="19">
        <v>1.5</v>
      </c>
      <c r="AM574" s="21">
        <v>0</v>
      </c>
      <c r="AN574" s="21">
        <v>0</v>
      </c>
      <c r="AO574" s="21">
        <v>0</v>
      </c>
      <c r="AP574" s="21">
        <v>0</v>
      </c>
      <c r="AQ574" s="21">
        <v>3000</v>
      </c>
      <c r="AR574" s="21">
        <v>0</v>
      </c>
      <c r="AS574" s="21">
        <v>0</v>
      </c>
      <c r="AT574" s="19">
        <v>59000033</v>
      </c>
      <c r="AU574" s="21" t="s">
        <v>204</v>
      </c>
      <c r="AV574" s="21"/>
      <c r="AW574" s="30" t="s">
        <v>205</v>
      </c>
      <c r="AX574" s="21">
        <v>0</v>
      </c>
      <c r="AY574" s="32">
        <v>0</v>
      </c>
      <c r="AZ574" s="32">
        <v>0</v>
      </c>
      <c r="BA574" s="30" t="s">
        <v>206</v>
      </c>
      <c r="BB574" s="21">
        <v>0</v>
      </c>
      <c r="BC574" s="31">
        <v>0</v>
      </c>
      <c r="BD574" s="31">
        <v>1</v>
      </c>
      <c r="BE574" s="171" t="s">
        <v>1578</v>
      </c>
      <c r="BF574" s="171" t="s">
        <v>1579</v>
      </c>
      <c r="BG574" s="21">
        <v>0</v>
      </c>
      <c r="BH574" s="21">
        <v>0</v>
      </c>
      <c r="BI574" s="21">
        <v>0</v>
      </c>
      <c r="BJ574" s="21">
        <v>0</v>
      </c>
      <c r="BK574" s="21">
        <v>0</v>
      </c>
      <c r="BL574" s="21">
        <v>0</v>
      </c>
      <c r="BM574" s="25">
        <v>0</v>
      </c>
      <c r="BN574" s="19">
        <v>0</v>
      </c>
      <c r="BO574" s="19">
        <v>0</v>
      </c>
      <c r="BP574" s="19">
        <v>0</v>
      </c>
      <c r="BQ574" s="19">
        <v>0</v>
      </c>
      <c r="BR574" s="19">
        <v>0</v>
      </c>
      <c r="BS574" s="19">
        <v>0</v>
      </c>
      <c r="BT574" s="19">
        <v>0</v>
      </c>
      <c r="BU574" s="23">
        <v>0</v>
      </c>
      <c r="BV574" s="23"/>
      <c r="BW574" s="23"/>
      <c r="BX574" s="23"/>
      <c r="BY574" s="23"/>
      <c r="BZ574" s="23">
        <v>1500</v>
      </c>
    </row>
    <row r="575" spans="3:78" ht="20.100000000000001" customHeight="1">
      <c r="C575" s="21">
        <v>59100401</v>
      </c>
      <c r="D575" s="30" t="s">
        <v>1580</v>
      </c>
      <c r="E575" s="179" t="s">
        <v>1581</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59000041</v>
      </c>
      <c r="AU575" s="180" t="s">
        <v>204</v>
      </c>
      <c r="AV575" s="180"/>
      <c r="AW575" s="21">
        <v>0</v>
      </c>
      <c r="AX575" s="21" t="s">
        <v>1582</v>
      </c>
      <c r="AY575" s="180">
        <v>0</v>
      </c>
      <c r="AZ575" s="180">
        <v>0</v>
      </c>
      <c r="BA575" s="179" t="s">
        <v>206</v>
      </c>
      <c r="BB575" s="179" t="s">
        <v>204</v>
      </c>
      <c r="BC575" s="180">
        <v>0</v>
      </c>
      <c r="BD575" s="31">
        <v>1</v>
      </c>
      <c r="BE575" s="171" t="s">
        <v>1583</v>
      </c>
      <c r="BF575" s="181" t="s">
        <v>1584</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v>500</v>
      </c>
    </row>
    <row r="576" spans="3:78" ht="20.100000000000001" customHeight="1">
      <c r="C576" s="21">
        <v>59100402</v>
      </c>
      <c r="D576" s="30" t="s">
        <v>1580</v>
      </c>
      <c r="E576" s="179" t="s">
        <v>1581</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59000042</v>
      </c>
      <c r="AU576" s="180" t="s">
        <v>204</v>
      </c>
      <c r="AV576" s="180"/>
      <c r="AW576" s="21">
        <v>0</v>
      </c>
      <c r="AX576" s="21" t="s">
        <v>1582</v>
      </c>
      <c r="AY576" s="180">
        <v>0</v>
      </c>
      <c r="AZ576" s="180">
        <v>0</v>
      </c>
      <c r="BA576" s="179" t="s">
        <v>206</v>
      </c>
      <c r="BB576" s="179" t="s">
        <v>204</v>
      </c>
      <c r="BC576" s="180">
        <v>0</v>
      </c>
      <c r="BD576" s="31">
        <v>1</v>
      </c>
      <c r="BE576" s="171" t="s">
        <v>1585</v>
      </c>
      <c r="BF576" s="181" t="s">
        <v>1586</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v>1000</v>
      </c>
    </row>
    <row r="577" spans="3:78" ht="20.100000000000001" customHeight="1">
      <c r="C577" s="21">
        <v>59100403</v>
      </c>
      <c r="D577" s="30" t="s">
        <v>1580</v>
      </c>
      <c r="E577" s="179" t="s">
        <v>1581</v>
      </c>
      <c r="F577" s="180">
        <v>1</v>
      </c>
      <c r="G577" s="180">
        <v>63001004</v>
      </c>
      <c r="H577" s="180">
        <v>0</v>
      </c>
      <c r="I577" s="180">
        <v>0</v>
      </c>
      <c r="J577" s="32">
        <v>1</v>
      </c>
      <c r="K577" s="32">
        <v>0</v>
      </c>
      <c r="L577" s="21">
        <v>0</v>
      </c>
      <c r="M577" s="180">
        <v>0</v>
      </c>
      <c r="N577" s="180">
        <v>0</v>
      </c>
      <c r="O577" s="180">
        <v>2</v>
      </c>
      <c r="P577" s="21">
        <v>3</v>
      </c>
      <c r="Q577" s="21">
        <v>0.1</v>
      </c>
      <c r="R577" s="180">
        <v>0</v>
      </c>
      <c r="S577" s="19">
        <v>0</v>
      </c>
      <c r="T577" s="180">
        <v>0</v>
      </c>
      <c r="U577" s="180">
        <v>1</v>
      </c>
      <c r="V577" s="180">
        <v>2</v>
      </c>
      <c r="W577" s="180">
        <v>0</v>
      </c>
      <c r="X577" s="180">
        <v>0</v>
      </c>
      <c r="Y577" s="19">
        <v>0</v>
      </c>
      <c r="Z577" s="180">
        <v>0</v>
      </c>
      <c r="AA577" s="180">
        <v>0</v>
      </c>
      <c r="AB577" s="180">
        <v>0</v>
      </c>
      <c r="AC577" s="180">
        <v>0</v>
      </c>
      <c r="AD577" s="21">
        <v>0</v>
      </c>
      <c r="AE577" s="180">
        <v>0</v>
      </c>
      <c r="AF577" s="21">
        <v>12</v>
      </c>
      <c r="AG577" s="180">
        <v>0</v>
      </c>
      <c r="AH577" s="180">
        <v>0</v>
      </c>
      <c r="AI577" s="180">
        <v>0</v>
      </c>
      <c r="AJ577" s="180">
        <v>0</v>
      </c>
      <c r="AK577" s="19">
        <v>0</v>
      </c>
      <c r="AL577" s="180">
        <v>0</v>
      </c>
      <c r="AM577" s="180">
        <v>0</v>
      </c>
      <c r="AN577" s="180">
        <v>0</v>
      </c>
      <c r="AO577" s="180">
        <v>0</v>
      </c>
      <c r="AP577" s="21">
        <v>0</v>
      </c>
      <c r="AQ577" s="180">
        <v>1000</v>
      </c>
      <c r="AR577" s="180">
        <v>0</v>
      </c>
      <c r="AS577" s="180">
        <v>0</v>
      </c>
      <c r="AT577" s="19">
        <v>59000043</v>
      </c>
      <c r="AU577" s="180" t="s">
        <v>204</v>
      </c>
      <c r="AV577" s="180"/>
      <c r="AW577" s="21">
        <v>0</v>
      </c>
      <c r="AX577" s="21" t="s">
        <v>1582</v>
      </c>
      <c r="AY577" s="180">
        <v>0</v>
      </c>
      <c r="AZ577" s="180">
        <v>0</v>
      </c>
      <c r="BA577" s="179" t="s">
        <v>206</v>
      </c>
      <c r="BB577" s="179" t="s">
        <v>204</v>
      </c>
      <c r="BC577" s="180">
        <v>0</v>
      </c>
      <c r="BD577" s="31">
        <v>1</v>
      </c>
      <c r="BE577" s="171" t="s">
        <v>1587</v>
      </c>
      <c r="BF577" s="181" t="s">
        <v>1588</v>
      </c>
      <c r="BG577" s="180">
        <v>0</v>
      </c>
      <c r="BH577" s="21">
        <v>0</v>
      </c>
      <c r="BI577" s="180">
        <v>0</v>
      </c>
      <c r="BJ577" s="180">
        <v>0</v>
      </c>
      <c r="BK577" s="180">
        <v>0</v>
      </c>
      <c r="BL577" s="180">
        <v>0</v>
      </c>
      <c r="BM577" s="25">
        <v>0</v>
      </c>
      <c r="BN577" s="19">
        <v>1</v>
      </c>
      <c r="BO577" s="19">
        <v>0</v>
      </c>
      <c r="BP577" s="19">
        <v>0</v>
      </c>
      <c r="BQ577" s="19">
        <v>0</v>
      </c>
      <c r="BR577" s="19">
        <v>0</v>
      </c>
      <c r="BS577" s="19">
        <v>0</v>
      </c>
      <c r="BT577" s="19">
        <v>0</v>
      </c>
      <c r="BU577" s="23">
        <v>0</v>
      </c>
      <c r="BV577" s="23"/>
      <c r="BW577" s="23"/>
      <c r="BX577" s="23"/>
      <c r="BY577" s="23"/>
      <c r="BZ577" s="23">
        <v>1500</v>
      </c>
    </row>
    <row r="578" spans="3:78" ht="20.100000000000001" customHeight="1">
      <c r="C578" s="21">
        <v>59100501</v>
      </c>
      <c r="D578" s="30" t="s">
        <v>1589</v>
      </c>
      <c r="E578" s="30" t="s">
        <v>1590</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1591</v>
      </c>
      <c r="BC578" s="31">
        <v>0</v>
      </c>
      <c r="BD578" s="31">
        <v>1</v>
      </c>
      <c r="BE578" s="171" t="s">
        <v>1592</v>
      </c>
      <c r="BF578" s="171" t="s">
        <v>1593</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v>500</v>
      </c>
    </row>
    <row r="579" spans="3:78" ht="20.100000000000001" customHeight="1">
      <c r="C579" s="21">
        <v>59100502</v>
      </c>
      <c r="D579" s="30" t="s">
        <v>1589</v>
      </c>
      <c r="E579" s="30" t="s">
        <v>1590</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1594</v>
      </c>
      <c r="BC579" s="31">
        <v>0</v>
      </c>
      <c r="BD579" s="31">
        <v>1</v>
      </c>
      <c r="BE579" s="171" t="s">
        <v>1595</v>
      </c>
      <c r="BF579" s="171" t="s">
        <v>1596</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v>1000</v>
      </c>
    </row>
    <row r="580" spans="3:78" ht="20.100000000000001" customHeight="1">
      <c r="C580" s="21">
        <v>59100503</v>
      </c>
      <c r="D580" s="30" t="s">
        <v>1589</v>
      </c>
      <c r="E580" s="30" t="s">
        <v>1590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1597</v>
      </c>
      <c r="BC580" s="31">
        <v>0</v>
      </c>
      <c r="BD580" s="31">
        <v>1</v>
      </c>
      <c r="BE580" s="171" t="s">
        <v>1598</v>
      </c>
      <c r="BF580" s="171" t="s">
        <v>1599</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v>1500</v>
      </c>
    </row>
    <row r="581" spans="3:78" ht="20.100000000000001" customHeight="1">
      <c r="C581" s="21">
        <v>59100601</v>
      </c>
      <c r="D581" s="30" t="s">
        <v>1600</v>
      </c>
      <c r="E581" s="30" t="s">
        <v>1601</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1602</v>
      </c>
      <c r="BC581" s="31">
        <v>0</v>
      </c>
      <c r="BD581" s="31">
        <v>1</v>
      </c>
      <c r="BE581" s="171" t="s">
        <v>1603</v>
      </c>
      <c r="BF581" s="171" t="s">
        <v>1604</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v>500</v>
      </c>
    </row>
    <row r="582" spans="3:78" ht="20.100000000000001" customHeight="1">
      <c r="C582" s="21">
        <v>59100602</v>
      </c>
      <c r="D582" s="30" t="s">
        <v>1600</v>
      </c>
      <c r="E582" s="30" t="s">
        <v>1601</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1605</v>
      </c>
      <c r="BC582" s="31">
        <v>0</v>
      </c>
      <c r="BD582" s="31">
        <v>1</v>
      </c>
      <c r="BE582" s="171" t="s">
        <v>1606</v>
      </c>
      <c r="BF582" s="171" t="s">
        <v>1607</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v>1000</v>
      </c>
    </row>
    <row r="583" spans="3:78" ht="20.100000000000001" customHeight="1">
      <c r="C583" s="21">
        <v>59100603</v>
      </c>
      <c r="D583" s="30" t="s">
        <v>1600</v>
      </c>
      <c r="E583" s="30" t="s">
        <v>1601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1608</v>
      </c>
      <c r="BC583" s="31">
        <v>0</v>
      </c>
      <c r="BD583" s="31">
        <v>1</v>
      </c>
      <c r="BE583" s="171" t="s">
        <v>1609</v>
      </c>
      <c r="BF583" s="171" t="s">
        <v>1610</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v>1500</v>
      </c>
    </row>
    <row r="584" spans="3:78" ht="20.100000000000001" customHeight="1">
      <c r="C584" s="21">
        <v>59100701</v>
      </c>
      <c r="D584" s="30" t="s">
        <v>1611</v>
      </c>
      <c r="E584" s="30" t="s">
        <v>1612</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1613</v>
      </c>
      <c r="BC584" s="31">
        <v>0</v>
      </c>
      <c r="BD584" s="31">
        <v>1</v>
      </c>
      <c r="BE584" s="171" t="s">
        <v>1614</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v>500</v>
      </c>
    </row>
    <row r="585" spans="3:78" ht="20.100000000000001" customHeight="1">
      <c r="C585" s="21">
        <v>59100702</v>
      </c>
      <c r="D585" s="30" t="s">
        <v>1611</v>
      </c>
      <c r="E585" s="30" t="s">
        <v>1612</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1616</v>
      </c>
      <c r="BC585" s="31">
        <v>0</v>
      </c>
      <c r="BD585" s="31">
        <v>1</v>
      </c>
      <c r="BE585" s="171" t="s">
        <v>1617</v>
      </c>
      <c r="BF585" s="171" t="s">
        <v>1618</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v>1000</v>
      </c>
    </row>
    <row r="586" spans="3:78" ht="20.100000000000001" customHeight="1">
      <c r="C586" s="21">
        <v>59100703</v>
      </c>
      <c r="D586" s="30" t="s">
        <v>1611</v>
      </c>
      <c r="E586" s="30" t="s">
        <v>1612</v>
      </c>
      <c r="F586" s="21">
        <v>1</v>
      </c>
      <c r="G586" s="21">
        <v>60011301</v>
      </c>
      <c r="H586" s="21">
        <v>0</v>
      </c>
      <c r="I586" s="31">
        <v>0</v>
      </c>
      <c r="J586" s="21">
        <v>1</v>
      </c>
      <c r="K586" s="21">
        <v>0</v>
      </c>
      <c r="L586" s="21">
        <v>0</v>
      </c>
      <c r="M586" s="21">
        <v>0</v>
      </c>
      <c r="N586" s="21">
        <v>0</v>
      </c>
      <c r="O586" s="21">
        <v>5</v>
      </c>
      <c r="P586" s="21">
        <v>0</v>
      </c>
      <c r="Q586" s="21">
        <v>0</v>
      </c>
      <c r="R586" s="21">
        <v>0</v>
      </c>
      <c r="S586" s="19">
        <v>0</v>
      </c>
      <c r="T586" s="21">
        <v>0</v>
      </c>
      <c r="U586" s="21">
        <v>1</v>
      </c>
      <c r="V586" s="21">
        <v>2</v>
      </c>
      <c r="W586" s="21">
        <v>0</v>
      </c>
      <c r="X586" s="21">
        <v>0</v>
      </c>
      <c r="Y586" s="19">
        <v>0</v>
      </c>
      <c r="Z586" s="21">
        <v>0</v>
      </c>
      <c r="AA586" s="21">
        <v>0</v>
      </c>
      <c r="AB586" s="21">
        <v>0</v>
      </c>
      <c r="AC586" s="21">
        <v>0</v>
      </c>
      <c r="AD586" s="21">
        <v>0</v>
      </c>
      <c r="AE586" s="21">
        <v>0</v>
      </c>
      <c r="AF586" s="21">
        <v>12</v>
      </c>
      <c r="AG586" s="21">
        <v>2</v>
      </c>
      <c r="AH586" s="21" t="s">
        <v>219</v>
      </c>
      <c r="AI586" s="19">
        <v>2</v>
      </c>
      <c r="AJ586" s="19">
        <v>2</v>
      </c>
      <c r="AK586" s="19">
        <v>0</v>
      </c>
      <c r="AL586" s="19">
        <v>1.5</v>
      </c>
      <c r="AM586" s="21">
        <v>0</v>
      </c>
      <c r="AN586" s="21">
        <v>0</v>
      </c>
      <c r="AO586" s="21">
        <v>0</v>
      </c>
      <c r="AP586" s="21">
        <v>0</v>
      </c>
      <c r="AQ586" s="21">
        <v>3000</v>
      </c>
      <c r="AR586" s="21">
        <v>0</v>
      </c>
      <c r="AS586" s="21">
        <v>0</v>
      </c>
      <c r="AT586" s="19">
        <v>0</v>
      </c>
      <c r="AU586" s="21" t="s">
        <v>204</v>
      </c>
      <c r="AV586" s="21"/>
      <c r="AW586" s="30" t="s">
        <v>205</v>
      </c>
      <c r="AX586" s="21">
        <v>0</v>
      </c>
      <c r="AY586" s="32">
        <v>0</v>
      </c>
      <c r="AZ586" s="32">
        <v>0</v>
      </c>
      <c r="BA586" s="30" t="s">
        <v>206</v>
      </c>
      <c r="BB586" s="21" t="s">
        <v>1619</v>
      </c>
      <c r="BC586" s="31">
        <v>0</v>
      </c>
      <c r="BD586" s="31">
        <v>1</v>
      </c>
      <c r="BE586" s="171" t="s">
        <v>1620</v>
      </c>
      <c r="BF586" s="171" t="s">
        <v>1621</v>
      </c>
      <c r="BG586" s="21">
        <v>0</v>
      </c>
      <c r="BH586" s="21">
        <v>0</v>
      </c>
      <c r="BI586" s="21">
        <v>0</v>
      </c>
      <c r="BJ586" s="21">
        <v>0</v>
      </c>
      <c r="BK586" s="21">
        <v>0</v>
      </c>
      <c r="BL586" s="21">
        <v>0</v>
      </c>
      <c r="BM586" s="25">
        <v>0</v>
      </c>
      <c r="BN586" s="19">
        <v>0</v>
      </c>
      <c r="BO586" s="19">
        <v>0</v>
      </c>
      <c r="BP586" s="19">
        <v>0</v>
      </c>
      <c r="BQ586" s="19">
        <v>0</v>
      </c>
      <c r="BR586" s="19">
        <v>0</v>
      </c>
      <c r="BS586" s="19">
        <v>0</v>
      </c>
      <c r="BT586" s="19">
        <v>0</v>
      </c>
      <c r="BU586" s="23">
        <v>0</v>
      </c>
      <c r="BV586" s="23"/>
      <c r="BW586" s="23"/>
      <c r="BX586" s="23"/>
      <c r="BY586" s="23"/>
      <c r="BZ586" s="23">
        <v>1500</v>
      </c>
    </row>
    <row r="587" spans="3:78" ht="19.5" customHeight="1">
      <c r="C587" s="32">
        <v>600000011</v>
      </c>
      <c r="D587" s="35" t="s">
        <v>1622</v>
      </c>
      <c r="E587" s="35" t="s">
        <v>1623</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1362</v>
      </c>
      <c r="BF587" s="60" t="s">
        <v>1363</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32">
        <v>600000021</v>
      </c>
      <c r="D588" s="35" t="s">
        <v>1624</v>
      </c>
      <c r="E588" s="35" t="s">
        <v>1625</v>
      </c>
      <c r="F588" s="32">
        <v>1</v>
      </c>
      <c r="G588" s="32">
        <v>60010500</v>
      </c>
      <c r="H588" s="32">
        <v>60010502</v>
      </c>
      <c r="I588" s="31">
        <v>0</v>
      </c>
      <c r="J588" s="32">
        <v>27</v>
      </c>
      <c r="K588" s="32">
        <v>3</v>
      </c>
      <c r="L588" s="21">
        <v>0</v>
      </c>
      <c r="M588" s="32">
        <v>0</v>
      </c>
      <c r="N588" s="32">
        <v>0</v>
      </c>
      <c r="O588" s="32">
        <v>1</v>
      </c>
      <c r="P588" s="32">
        <v>0</v>
      </c>
      <c r="Q588" s="32">
        <v>0</v>
      </c>
      <c r="R588" s="32">
        <v>0</v>
      </c>
      <c r="S588" s="19">
        <v>0</v>
      </c>
      <c r="T588" s="31">
        <v>0</v>
      </c>
      <c r="U588" s="21">
        <v>1</v>
      </c>
      <c r="V588" s="32">
        <v>2</v>
      </c>
      <c r="W588" s="32">
        <v>0</v>
      </c>
      <c r="X588" s="32">
        <v>0</v>
      </c>
      <c r="Y588" s="19">
        <v>0</v>
      </c>
      <c r="Z588" s="32">
        <v>0</v>
      </c>
      <c r="AA588" s="32">
        <v>0</v>
      </c>
      <c r="AB588" s="32">
        <v>0</v>
      </c>
      <c r="AC588" s="32">
        <v>0</v>
      </c>
      <c r="AD588" s="32">
        <v>1</v>
      </c>
      <c r="AE588" s="32">
        <v>0</v>
      </c>
      <c r="AF588" s="32">
        <v>18</v>
      </c>
      <c r="AG588" s="32">
        <v>0</v>
      </c>
      <c r="AH588" s="32">
        <v>0</v>
      </c>
      <c r="AI588" s="19">
        <v>2</v>
      </c>
      <c r="AJ588" s="19">
        <v>0</v>
      </c>
      <c r="AK588" s="19">
        <v>0</v>
      </c>
      <c r="AL588" s="19">
        <v>0</v>
      </c>
      <c r="AM588" s="32">
        <v>0</v>
      </c>
      <c r="AN588" s="32">
        <v>0</v>
      </c>
      <c r="AO588" s="32">
        <v>0</v>
      </c>
      <c r="AP588" s="32">
        <v>0</v>
      </c>
      <c r="AQ588" s="32">
        <v>1000</v>
      </c>
      <c r="AR588" s="32">
        <v>0</v>
      </c>
      <c r="AS588" s="32">
        <v>0</v>
      </c>
      <c r="AT588" s="19">
        <v>90000005</v>
      </c>
      <c r="AU588" s="32" t="s">
        <v>204</v>
      </c>
      <c r="AV588" s="32"/>
      <c r="AW588" s="35" t="s">
        <v>205</v>
      </c>
      <c r="AX588" s="32" t="s">
        <v>354</v>
      </c>
      <c r="AY588" s="32">
        <v>0</v>
      </c>
      <c r="AZ588" s="32">
        <v>40000003</v>
      </c>
      <c r="BA588" s="35" t="s">
        <v>206</v>
      </c>
      <c r="BB588" s="35" t="s">
        <v>204</v>
      </c>
      <c r="BC588" s="31">
        <v>0</v>
      </c>
      <c r="BD588" s="31">
        <v>0</v>
      </c>
      <c r="BE588" s="60" t="s">
        <v>1362</v>
      </c>
      <c r="BF588" s="60" t="s">
        <v>1363</v>
      </c>
      <c r="BG588" s="32">
        <v>0</v>
      </c>
      <c r="BH588" s="21">
        <v>0</v>
      </c>
      <c r="BI588" s="32">
        <v>0</v>
      </c>
      <c r="BJ588" s="32">
        <v>0</v>
      </c>
      <c r="BK588" s="32">
        <v>0</v>
      </c>
      <c r="BL588" s="32">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600000111</v>
      </c>
      <c r="D589" s="30" t="s">
        <v>217</v>
      </c>
      <c r="E589" s="30" t="s">
        <v>218</v>
      </c>
      <c r="F589" s="21">
        <v>1</v>
      </c>
      <c r="G589" s="21">
        <v>60010400</v>
      </c>
      <c r="H589" s="21">
        <v>60010403</v>
      </c>
      <c r="I589" s="31">
        <v>0</v>
      </c>
      <c r="J589" s="21">
        <v>17</v>
      </c>
      <c r="K589" s="21">
        <v>3</v>
      </c>
      <c r="L589" s="21">
        <v>0</v>
      </c>
      <c r="M589" s="21">
        <v>0</v>
      </c>
      <c r="N589" s="21">
        <v>0</v>
      </c>
      <c r="O589" s="21">
        <v>1</v>
      </c>
      <c r="P589" s="21">
        <v>0</v>
      </c>
      <c r="Q589" s="21">
        <v>0</v>
      </c>
      <c r="R589" s="21">
        <v>0</v>
      </c>
      <c r="S589" s="19">
        <v>0</v>
      </c>
      <c r="T589" s="21">
        <v>0</v>
      </c>
      <c r="U589" s="21">
        <v>1</v>
      </c>
      <c r="V589" s="21">
        <v>2</v>
      </c>
      <c r="W589" s="21">
        <v>0</v>
      </c>
      <c r="X589" s="21">
        <v>0</v>
      </c>
      <c r="Y589" s="19">
        <v>0</v>
      </c>
      <c r="Z589" s="21">
        <v>0</v>
      </c>
      <c r="AA589" s="21">
        <v>1</v>
      </c>
      <c r="AB589" s="21">
        <v>0</v>
      </c>
      <c r="AC589" s="21">
        <v>0</v>
      </c>
      <c r="AD589" s="21">
        <v>1</v>
      </c>
      <c r="AE589" s="21">
        <v>0</v>
      </c>
      <c r="AF589" s="21">
        <v>9</v>
      </c>
      <c r="AG589" s="21">
        <v>2</v>
      </c>
      <c r="AH589" s="21" t="s">
        <v>219</v>
      </c>
      <c r="AI589" s="19">
        <v>2</v>
      </c>
      <c r="AJ589" s="19">
        <v>2</v>
      </c>
      <c r="AK589" s="19">
        <v>0</v>
      </c>
      <c r="AL589" s="19">
        <v>1.5</v>
      </c>
      <c r="AM589" s="21">
        <v>0</v>
      </c>
      <c r="AN589" s="21">
        <v>0</v>
      </c>
      <c r="AO589" s="21">
        <v>0</v>
      </c>
      <c r="AP589" s="21">
        <v>0.5</v>
      </c>
      <c r="AQ589" s="21">
        <v>150</v>
      </c>
      <c r="AR589" s="21">
        <v>0.1</v>
      </c>
      <c r="AS589" s="21">
        <v>60</v>
      </c>
      <c r="AT589" s="19">
        <v>0</v>
      </c>
      <c r="AU589" s="21" t="s">
        <v>204</v>
      </c>
      <c r="AV589" s="21"/>
      <c r="AW589" s="30" t="s">
        <v>220</v>
      </c>
      <c r="AX589" s="21" t="s">
        <v>221</v>
      </c>
      <c r="AY589" s="32">
        <v>0</v>
      </c>
      <c r="AZ589" s="32">
        <v>60000003</v>
      </c>
      <c r="BA589" s="30" t="s">
        <v>222</v>
      </c>
      <c r="BB589" s="21">
        <v>0</v>
      </c>
      <c r="BC589" s="31">
        <v>0</v>
      </c>
      <c r="BD589" s="31">
        <v>0</v>
      </c>
      <c r="BE589" s="33" t="s">
        <v>223</v>
      </c>
      <c r="BF589" s="33" t="s">
        <v>224</v>
      </c>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60000101</v>
      </c>
      <c r="D590" s="30" t="s">
        <v>235</v>
      </c>
      <c r="E590" s="30" t="s">
        <v>236</v>
      </c>
      <c r="F590" s="21">
        <v>1</v>
      </c>
      <c r="G590" s="21">
        <v>60010300</v>
      </c>
      <c r="H590" s="21">
        <v>60010302</v>
      </c>
      <c r="I590" s="31">
        <v>2</v>
      </c>
      <c r="J590" s="21">
        <v>1</v>
      </c>
      <c r="K590" s="21">
        <v>3</v>
      </c>
      <c r="L590" s="21">
        <v>0</v>
      </c>
      <c r="M590" s="21">
        <v>0</v>
      </c>
      <c r="N590" s="21">
        <v>0</v>
      </c>
      <c r="O590" s="21">
        <v>1</v>
      </c>
      <c r="P590" s="21">
        <v>0</v>
      </c>
      <c r="Q590" s="21">
        <v>0</v>
      </c>
      <c r="R590" s="21">
        <v>0</v>
      </c>
      <c r="S590" s="19">
        <v>0</v>
      </c>
      <c r="T590" s="21">
        <v>60000102</v>
      </c>
      <c r="U590" s="21">
        <v>0</v>
      </c>
      <c r="V590" s="21">
        <v>2</v>
      </c>
      <c r="W590" s="21">
        <v>0</v>
      </c>
      <c r="X590" s="21">
        <v>1.5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0.4</v>
      </c>
      <c r="AQ590" s="21">
        <v>1500</v>
      </c>
      <c r="AR590" s="21">
        <v>0.4</v>
      </c>
      <c r="AS590" s="21">
        <v>0</v>
      </c>
      <c r="AT590" s="19">
        <v>0</v>
      </c>
      <c r="AU590" s="21" t="s">
        <v>204</v>
      </c>
      <c r="AV590" s="21"/>
      <c r="AW590" s="30" t="s">
        <v>238</v>
      </c>
      <c r="AX590" s="21" t="s">
        <v>239</v>
      </c>
      <c r="AY590" s="32">
        <v>10000001</v>
      </c>
      <c r="AZ590" s="32">
        <v>20100010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60000102</v>
      </c>
      <c r="D591" s="30" t="s">
        <v>240</v>
      </c>
      <c r="E591" s="30" t="s">
        <v>241</v>
      </c>
      <c r="F591" s="21">
        <v>1</v>
      </c>
      <c r="G591" s="21">
        <v>60010300</v>
      </c>
      <c r="H591" s="21">
        <v>60010303</v>
      </c>
      <c r="I591" s="31">
        <v>2</v>
      </c>
      <c r="J591" s="21">
        <v>1</v>
      </c>
      <c r="K591" s="21">
        <v>3</v>
      </c>
      <c r="L591" s="21">
        <v>0</v>
      </c>
      <c r="M591" s="21">
        <v>0</v>
      </c>
      <c r="N591" s="21">
        <v>0</v>
      </c>
      <c r="O591" s="21">
        <v>1</v>
      </c>
      <c r="P591" s="21">
        <v>0</v>
      </c>
      <c r="Q591" s="21">
        <v>0</v>
      </c>
      <c r="R591" s="21">
        <v>0</v>
      </c>
      <c r="S591" s="19">
        <v>0</v>
      </c>
      <c r="T591" s="21">
        <v>60000103</v>
      </c>
      <c r="U591" s="21">
        <v>0</v>
      </c>
      <c r="V591" s="21">
        <v>2</v>
      </c>
      <c r="W591" s="21">
        <v>0</v>
      </c>
      <c r="X591" s="21">
        <v>1.75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0.7</v>
      </c>
      <c r="AQ591" s="21">
        <v>1500</v>
      </c>
      <c r="AR591" s="21">
        <v>0.7</v>
      </c>
      <c r="AS591" s="21">
        <v>0</v>
      </c>
      <c r="AT591" s="19">
        <v>0</v>
      </c>
      <c r="AU591" s="21" t="s">
        <v>204</v>
      </c>
      <c r="AV591" s="21"/>
      <c r="AW591" s="30" t="s">
        <v>242</v>
      </c>
      <c r="AX591" s="21" t="s">
        <v>239</v>
      </c>
      <c r="AY591" s="32">
        <v>10000001</v>
      </c>
      <c r="AZ591" s="32">
        <v>20100020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60000103</v>
      </c>
      <c r="D592" s="30" t="s">
        <v>243</v>
      </c>
      <c r="E592" s="30" t="s">
        <v>244</v>
      </c>
      <c r="F592" s="21">
        <v>1</v>
      </c>
      <c r="G592" s="21">
        <v>60010300</v>
      </c>
      <c r="H592" s="21">
        <v>60010301</v>
      </c>
      <c r="I592" s="31">
        <v>2</v>
      </c>
      <c r="J592" s="21">
        <v>1</v>
      </c>
      <c r="K592" s="21">
        <v>3</v>
      </c>
      <c r="L592" s="21">
        <v>0</v>
      </c>
      <c r="M592" s="21">
        <v>0</v>
      </c>
      <c r="N592" s="21">
        <v>0</v>
      </c>
      <c r="O592" s="21">
        <v>1</v>
      </c>
      <c r="P592" s="21">
        <v>0</v>
      </c>
      <c r="Q592" s="21">
        <v>0</v>
      </c>
      <c r="R592" s="21">
        <v>0</v>
      </c>
      <c r="S592" s="19">
        <v>0</v>
      </c>
      <c r="T592" s="21">
        <v>60000101</v>
      </c>
      <c r="U592" s="21">
        <v>0</v>
      </c>
      <c r="V592" s="21">
        <v>2</v>
      </c>
      <c r="W592" s="21">
        <v>0</v>
      </c>
      <c r="X592" s="21">
        <v>2.25</v>
      </c>
      <c r="Y592" s="19">
        <v>0</v>
      </c>
      <c r="Z592" s="32">
        <v>0</v>
      </c>
      <c r="AA592" s="21">
        <v>0</v>
      </c>
      <c r="AB592" s="21">
        <v>0</v>
      </c>
      <c r="AC592" s="21">
        <v>0</v>
      </c>
      <c r="AD592" s="21">
        <v>1</v>
      </c>
      <c r="AE592" s="21">
        <v>0</v>
      </c>
      <c r="AF592" s="21">
        <v>0</v>
      </c>
      <c r="AG592" s="21">
        <v>2</v>
      </c>
      <c r="AH592" s="21" t="s">
        <v>237</v>
      </c>
      <c r="AI592" s="19">
        <v>2</v>
      </c>
      <c r="AJ592" s="19">
        <v>0</v>
      </c>
      <c r="AK592" s="19">
        <v>1</v>
      </c>
      <c r="AL592" s="19">
        <v>3</v>
      </c>
      <c r="AM592" s="21">
        <v>0</v>
      </c>
      <c r="AN592" s="21">
        <v>0</v>
      </c>
      <c r="AO592" s="21">
        <v>0</v>
      </c>
      <c r="AP592" s="21">
        <v>0.5</v>
      </c>
      <c r="AQ592" s="21">
        <v>1500</v>
      </c>
      <c r="AR592" s="21">
        <v>0.5</v>
      </c>
      <c r="AS592" s="21">
        <v>0</v>
      </c>
      <c r="AT592" s="19">
        <v>0</v>
      </c>
      <c r="AU592" s="21" t="s">
        <v>204</v>
      </c>
      <c r="AV592" s="21"/>
      <c r="AW592" s="30" t="s">
        <v>245</v>
      </c>
      <c r="AX592" s="21" t="s">
        <v>239</v>
      </c>
      <c r="AY592" s="32">
        <v>10000001</v>
      </c>
      <c r="AZ592" s="32">
        <v>20100030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60000201</v>
      </c>
      <c r="D593" s="30" t="s">
        <v>246</v>
      </c>
      <c r="E593" s="30" t="s">
        <v>247</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60000202</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0.4</v>
      </c>
      <c r="AQ593" s="21">
        <v>1000</v>
      </c>
      <c r="AR593" s="21">
        <v>0.3</v>
      </c>
      <c r="AS593" s="21">
        <v>0</v>
      </c>
      <c r="AT593" s="19">
        <v>0</v>
      </c>
      <c r="AU593" s="21" t="s">
        <v>204</v>
      </c>
      <c r="AV593" s="21"/>
      <c r="AW593" s="30" t="s">
        <v>248</v>
      </c>
      <c r="AX593" s="21" t="s">
        <v>239</v>
      </c>
      <c r="AY593" s="32">
        <v>10001006</v>
      </c>
      <c r="AZ593" s="32">
        <v>20100110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60000202</v>
      </c>
      <c r="D594" s="30" t="s">
        <v>249</v>
      </c>
      <c r="E594" s="30" t="s">
        <v>241</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60000203</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0.5</v>
      </c>
      <c r="AQ594" s="21">
        <v>1000</v>
      </c>
      <c r="AR594" s="21">
        <v>0.4</v>
      </c>
      <c r="AS594" s="21">
        <v>0</v>
      </c>
      <c r="AT594" s="19">
        <v>0</v>
      </c>
      <c r="AU594" s="21" t="s">
        <v>204</v>
      </c>
      <c r="AV594" s="21"/>
      <c r="AW594" s="30" t="s">
        <v>250</v>
      </c>
      <c r="AX594" s="21" t="s">
        <v>239</v>
      </c>
      <c r="AY594" s="32">
        <v>10001006</v>
      </c>
      <c r="AZ594" s="32">
        <v>20100120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20.100000000000001" customHeight="1">
      <c r="C595" s="21">
        <v>60000203</v>
      </c>
      <c r="D595" s="30" t="s">
        <v>246</v>
      </c>
      <c r="E595" s="30" t="s">
        <v>247</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60000202</v>
      </c>
      <c r="U595" s="21">
        <v>0</v>
      </c>
      <c r="V595" s="21">
        <v>2</v>
      </c>
      <c r="W595" s="21">
        <v>0</v>
      </c>
      <c r="X595" s="21">
        <v>1.45</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0.4</v>
      </c>
      <c r="AQ595" s="21">
        <v>1000</v>
      </c>
      <c r="AR595" s="21">
        <v>0.3</v>
      </c>
      <c r="AS595" s="21">
        <v>0</v>
      </c>
      <c r="AT595" s="19">
        <v>0</v>
      </c>
      <c r="AU595" s="21" t="s">
        <v>204</v>
      </c>
      <c r="AV595" s="21"/>
      <c r="AW595" s="30" t="s">
        <v>248</v>
      </c>
      <c r="AX595" s="21" t="s">
        <v>239</v>
      </c>
      <c r="AY595" s="32">
        <v>10001006</v>
      </c>
      <c r="AZ595" s="32">
        <v>20100110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19.5" customHeight="1">
      <c r="C596" s="21">
        <v>60000204</v>
      </c>
      <c r="D596" s="30" t="s">
        <v>1626</v>
      </c>
      <c r="E596" s="30" t="s">
        <v>1627</v>
      </c>
      <c r="F596" s="21">
        <v>1</v>
      </c>
      <c r="G596" s="21">
        <v>60030002</v>
      </c>
      <c r="H596" s="21">
        <v>0</v>
      </c>
      <c r="I596" s="31">
        <v>1</v>
      </c>
      <c r="J596" s="21">
        <v>1</v>
      </c>
      <c r="K596" s="21">
        <v>3</v>
      </c>
      <c r="L596" s="21">
        <v>0</v>
      </c>
      <c r="M596" s="21">
        <v>0</v>
      </c>
      <c r="N596" s="21">
        <v>0</v>
      </c>
      <c r="O596" s="21">
        <v>1</v>
      </c>
      <c r="P596" s="21">
        <v>0</v>
      </c>
      <c r="Q596" s="21">
        <v>0</v>
      </c>
      <c r="R596" s="21">
        <v>0</v>
      </c>
      <c r="S596" s="19">
        <v>0</v>
      </c>
      <c r="T596" s="21">
        <v>60000201</v>
      </c>
      <c r="U596" s="21">
        <v>0</v>
      </c>
      <c r="V596" s="21">
        <v>2</v>
      </c>
      <c r="W596" s="21">
        <v>0</v>
      </c>
      <c r="X596" s="21">
        <v>1.2</v>
      </c>
      <c r="Y596" s="19">
        <v>0</v>
      </c>
      <c r="Z596" s="32">
        <v>0</v>
      </c>
      <c r="AA596" s="21">
        <v>0</v>
      </c>
      <c r="AB596" s="21">
        <v>0</v>
      </c>
      <c r="AC596" s="21">
        <v>0</v>
      </c>
      <c r="AD596" s="21">
        <v>1</v>
      </c>
      <c r="AE596" s="21">
        <v>0</v>
      </c>
      <c r="AF596" s="21">
        <v>0</v>
      </c>
      <c r="AG596" s="21">
        <v>0</v>
      </c>
      <c r="AH596" s="21" t="s">
        <v>204</v>
      </c>
      <c r="AI596" s="19">
        <v>7</v>
      </c>
      <c r="AJ596" s="19">
        <v>0</v>
      </c>
      <c r="AK596" s="19">
        <v>0</v>
      </c>
      <c r="AL596" s="19">
        <v>3</v>
      </c>
      <c r="AM596" s="21">
        <v>0</v>
      </c>
      <c r="AN596" s="21">
        <v>0</v>
      </c>
      <c r="AO596" s="21">
        <v>0</v>
      </c>
      <c r="AP596" s="21">
        <v>0.8</v>
      </c>
      <c r="AQ596" s="21">
        <v>1000</v>
      </c>
      <c r="AR596" s="21">
        <v>0.8</v>
      </c>
      <c r="AS596" s="21">
        <v>0</v>
      </c>
      <c r="AT596" s="19">
        <v>0</v>
      </c>
      <c r="AU596" s="21" t="s">
        <v>204</v>
      </c>
      <c r="AV596" s="21"/>
      <c r="AW596" s="30" t="s">
        <v>252</v>
      </c>
      <c r="AX596" s="21" t="s">
        <v>239</v>
      </c>
      <c r="AY596" s="32">
        <v>10001006</v>
      </c>
      <c r="AZ596" s="32">
        <v>20100130</v>
      </c>
      <c r="BA596" s="30" t="s">
        <v>206</v>
      </c>
      <c r="BB596" s="21">
        <v>0</v>
      </c>
      <c r="BC596" s="31">
        <v>0</v>
      </c>
      <c r="BD596" s="31">
        <v>0</v>
      </c>
      <c r="BE596" s="33"/>
      <c r="BF596" s="33"/>
      <c r="BG596" s="21">
        <v>0</v>
      </c>
      <c r="BH596" s="21">
        <v>0</v>
      </c>
      <c r="BI596" s="21">
        <v>0</v>
      </c>
      <c r="BJ596" s="21">
        <v>0</v>
      </c>
      <c r="BK596" s="21">
        <v>0</v>
      </c>
      <c r="BL596" s="21">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60000301</v>
      </c>
      <c r="D597" s="35" t="s">
        <v>253</v>
      </c>
      <c r="E597" s="35" t="s">
        <v>254</v>
      </c>
      <c r="F597" s="32">
        <v>1</v>
      </c>
      <c r="G597" s="32">
        <v>60010500</v>
      </c>
      <c r="H597" s="32">
        <v>60000302</v>
      </c>
      <c r="I597" s="31">
        <v>3</v>
      </c>
      <c r="J597" s="32">
        <v>1</v>
      </c>
      <c r="K597" s="32">
        <v>3</v>
      </c>
      <c r="L597" s="21">
        <v>0</v>
      </c>
      <c r="M597" s="32">
        <v>0</v>
      </c>
      <c r="N597" s="32">
        <v>0</v>
      </c>
      <c r="O597" s="32">
        <v>1</v>
      </c>
      <c r="P597" s="32">
        <v>0</v>
      </c>
      <c r="Q597" s="32">
        <v>0</v>
      </c>
      <c r="R597" s="32">
        <v>0</v>
      </c>
      <c r="S597" s="19">
        <v>0</v>
      </c>
      <c r="T597" s="32">
        <v>60000302</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238</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60000302</v>
      </c>
      <c r="D598" s="35" t="s">
        <v>253</v>
      </c>
      <c r="E598" s="35" t="s">
        <v>254</v>
      </c>
      <c r="F598" s="32">
        <v>1</v>
      </c>
      <c r="G598" s="32">
        <v>60010500</v>
      </c>
      <c r="H598" s="32">
        <v>0</v>
      </c>
      <c r="I598" s="31">
        <v>3</v>
      </c>
      <c r="J598" s="32">
        <v>1</v>
      </c>
      <c r="K598" s="32">
        <v>3</v>
      </c>
      <c r="L598" s="21">
        <v>0</v>
      </c>
      <c r="M598" s="32">
        <v>0</v>
      </c>
      <c r="N598" s="32">
        <v>0</v>
      </c>
      <c r="O598" s="32">
        <v>1</v>
      </c>
      <c r="P598" s="32">
        <v>0</v>
      </c>
      <c r="Q598" s="32">
        <v>0</v>
      </c>
      <c r="R598" s="32">
        <v>0</v>
      </c>
      <c r="S598" s="19">
        <v>0</v>
      </c>
      <c r="T598" s="31">
        <v>0</v>
      </c>
      <c r="U598" s="21">
        <v>0</v>
      </c>
      <c r="V598" s="32">
        <v>1</v>
      </c>
      <c r="W598" s="32">
        <v>0</v>
      </c>
      <c r="X598" s="32">
        <v>1</v>
      </c>
      <c r="Y598" s="19">
        <v>0</v>
      </c>
      <c r="Z598" s="32">
        <v>0</v>
      </c>
      <c r="AA598" s="32">
        <v>0</v>
      </c>
      <c r="AB598" s="32">
        <v>0</v>
      </c>
      <c r="AC598" s="32">
        <v>0</v>
      </c>
      <c r="AD598" s="32">
        <v>1</v>
      </c>
      <c r="AE598" s="32">
        <v>0</v>
      </c>
      <c r="AF598" s="32">
        <v>1</v>
      </c>
      <c r="AG598" s="32">
        <v>0</v>
      </c>
      <c r="AH598" s="32">
        <v>0</v>
      </c>
      <c r="AI598" s="19">
        <v>7</v>
      </c>
      <c r="AJ598" s="19">
        <v>0</v>
      </c>
      <c r="AK598" s="19">
        <v>0</v>
      </c>
      <c r="AL598" s="19">
        <v>6</v>
      </c>
      <c r="AM598" s="32">
        <v>0</v>
      </c>
      <c r="AN598" s="32">
        <v>0</v>
      </c>
      <c r="AO598" s="32">
        <v>0</v>
      </c>
      <c r="AP598" s="32">
        <v>0.3</v>
      </c>
      <c r="AQ598" s="21">
        <v>2000</v>
      </c>
      <c r="AR598" s="32">
        <v>0.2</v>
      </c>
      <c r="AS598" s="32">
        <v>20</v>
      </c>
      <c r="AT598" s="19">
        <v>0</v>
      </c>
      <c r="AU598" s="32" t="s">
        <v>204</v>
      </c>
      <c r="AV598" s="32"/>
      <c r="AW598" s="30" t="s">
        <v>242</v>
      </c>
      <c r="AX598" s="32" t="s">
        <v>255</v>
      </c>
      <c r="AY598" s="32">
        <v>10000011</v>
      </c>
      <c r="AZ598" s="32">
        <v>20100210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60000401</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0</v>
      </c>
      <c r="AJ599" s="19">
        <v>0</v>
      </c>
      <c r="AK599" s="19">
        <v>0</v>
      </c>
      <c r="AL599" s="19">
        <v>6</v>
      </c>
      <c r="AM599" s="32">
        <v>0</v>
      </c>
      <c r="AN599" s="32">
        <v>0</v>
      </c>
      <c r="AO599" s="32">
        <v>0</v>
      </c>
      <c r="AP599" s="32">
        <v>0.3</v>
      </c>
      <c r="AQ599" s="21">
        <v>2000</v>
      </c>
      <c r="AR599" s="32">
        <v>0.2</v>
      </c>
      <c r="AS599" s="32">
        <v>20</v>
      </c>
      <c r="AT599" s="19">
        <v>0</v>
      </c>
      <c r="AU599" s="32" t="s">
        <v>204</v>
      </c>
      <c r="AV599" s="32"/>
      <c r="AW599" s="30" t="s">
        <v>248</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60000402</v>
      </c>
      <c r="D600" s="35" t="s">
        <v>253</v>
      </c>
      <c r="E600" s="35" t="s">
        <v>254</v>
      </c>
      <c r="F600" s="32">
        <v>1</v>
      </c>
      <c r="G600" s="32">
        <v>60010500</v>
      </c>
      <c r="H600" s="32">
        <v>0</v>
      </c>
      <c r="I600" s="31">
        <v>4</v>
      </c>
      <c r="J600" s="32">
        <v>1</v>
      </c>
      <c r="K600" s="32">
        <v>3</v>
      </c>
      <c r="L600" s="21">
        <v>0</v>
      </c>
      <c r="M600" s="32">
        <v>0</v>
      </c>
      <c r="N600" s="32">
        <v>0</v>
      </c>
      <c r="O600" s="32">
        <v>1</v>
      </c>
      <c r="P600" s="32">
        <v>0</v>
      </c>
      <c r="Q600" s="32">
        <v>0</v>
      </c>
      <c r="R600" s="32">
        <v>0</v>
      </c>
      <c r="S600" s="19">
        <v>0</v>
      </c>
      <c r="T600" s="31">
        <v>0</v>
      </c>
      <c r="U600" s="21">
        <v>0</v>
      </c>
      <c r="V600" s="32">
        <v>1</v>
      </c>
      <c r="W600" s="32">
        <v>0</v>
      </c>
      <c r="X600" s="32">
        <v>0.8</v>
      </c>
      <c r="Y600" s="19">
        <v>0</v>
      </c>
      <c r="Z600" s="32">
        <v>0</v>
      </c>
      <c r="AA600" s="32">
        <v>0</v>
      </c>
      <c r="AB600" s="32">
        <v>0</v>
      </c>
      <c r="AC600" s="32">
        <v>0</v>
      </c>
      <c r="AD600" s="32">
        <v>1</v>
      </c>
      <c r="AE600" s="32">
        <v>0</v>
      </c>
      <c r="AF600" s="32">
        <v>1</v>
      </c>
      <c r="AG600" s="32">
        <v>0</v>
      </c>
      <c r="AH600" s="32">
        <v>1.5</v>
      </c>
      <c r="AI600" s="19">
        <v>7</v>
      </c>
      <c r="AJ600" s="19">
        <v>0</v>
      </c>
      <c r="AK600" s="19">
        <v>0</v>
      </c>
      <c r="AL600" s="19">
        <v>6</v>
      </c>
      <c r="AM600" s="32">
        <v>0</v>
      </c>
      <c r="AN600" s="32">
        <v>0</v>
      </c>
      <c r="AO600" s="32">
        <v>0</v>
      </c>
      <c r="AP600" s="32">
        <v>0.3</v>
      </c>
      <c r="AQ600" s="21">
        <v>2000</v>
      </c>
      <c r="AR600" s="32">
        <v>0.2</v>
      </c>
      <c r="AS600" s="32">
        <v>20</v>
      </c>
      <c r="AT600" s="19">
        <v>0</v>
      </c>
      <c r="AU600" s="32" t="s">
        <v>204</v>
      </c>
      <c r="AV600" s="32"/>
      <c r="AW600" s="30" t="s">
        <v>250</v>
      </c>
      <c r="AX600" s="32" t="s">
        <v>255</v>
      </c>
      <c r="AY600" s="32">
        <v>10001006</v>
      </c>
      <c r="AZ600" s="32">
        <v>20100310</v>
      </c>
      <c r="BA600" s="35" t="s">
        <v>256</v>
      </c>
      <c r="BB600" s="35" t="s">
        <v>204</v>
      </c>
      <c r="BC600" s="31">
        <v>0</v>
      </c>
      <c r="BD600" s="31">
        <v>0</v>
      </c>
      <c r="BE600" s="33"/>
      <c r="BF600" s="33"/>
      <c r="BG600" s="32">
        <v>0</v>
      </c>
      <c r="BH600" s="21">
        <v>0</v>
      </c>
      <c r="BI600" s="32">
        <v>0</v>
      </c>
      <c r="BJ600" s="32">
        <v>0</v>
      </c>
      <c r="BK600" s="32">
        <v>0</v>
      </c>
      <c r="BL600" s="32">
        <v>0</v>
      </c>
      <c r="BM600" s="25">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60000501</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2">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238</v>
      </c>
      <c r="AX601" s="32" t="s">
        <v>255</v>
      </c>
      <c r="AY601" s="32">
        <v>12000010</v>
      </c>
      <c r="AZ601" s="26">
        <v>20100410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60000502</v>
      </c>
      <c r="D602" s="35" t="s">
        <v>257</v>
      </c>
      <c r="E602" s="35" t="s">
        <v>258</v>
      </c>
      <c r="F602" s="32">
        <v>1</v>
      </c>
      <c r="G602" s="32">
        <v>60010500</v>
      </c>
      <c r="H602" s="32">
        <v>0</v>
      </c>
      <c r="I602" s="31">
        <v>0</v>
      </c>
      <c r="J602" s="32">
        <v>1</v>
      </c>
      <c r="K602" s="32">
        <v>3</v>
      </c>
      <c r="L602" s="21">
        <v>0</v>
      </c>
      <c r="M602" s="32">
        <v>0</v>
      </c>
      <c r="N602" s="32">
        <v>0</v>
      </c>
      <c r="O602" s="32">
        <v>1</v>
      </c>
      <c r="P602" s="32">
        <v>0</v>
      </c>
      <c r="Q602" s="32">
        <v>0</v>
      </c>
      <c r="R602" s="32">
        <v>0</v>
      </c>
      <c r="S602" s="19">
        <v>0</v>
      </c>
      <c r="T602" s="31">
        <v>0</v>
      </c>
      <c r="U602" s="21">
        <v>0</v>
      </c>
      <c r="V602" s="32">
        <v>1</v>
      </c>
      <c r="W602" s="32">
        <v>0</v>
      </c>
      <c r="X602" s="32">
        <v>1.1000000000000001</v>
      </c>
      <c r="Y602" s="19">
        <v>0</v>
      </c>
      <c r="Z602" s="32">
        <v>0</v>
      </c>
      <c r="AA602" s="32">
        <v>0</v>
      </c>
      <c r="AB602" s="32">
        <v>0</v>
      </c>
      <c r="AC602" s="32">
        <v>0</v>
      </c>
      <c r="AD602" s="32">
        <v>1</v>
      </c>
      <c r="AE602" s="32">
        <v>0</v>
      </c>
      <c r="AF602" s="32">
        <v>1</v>
      </c>
      <c r="AG602" s="32">
        <v>0</v>
      </c>
      <c r="AH602" s="32">
        <v>0</v>
      </c>
      <c r="AI602" s="19">
        <v>7</v>
      </c>
      <c r="AJ602" s="19">
        <v>0</v>
      </c>
      <c r="AK602" s="19">
        <v>0</v>
      </c>
      <c r="AL602" s="19">
        <v>9</v>
      </c>
      <c r="AM602" s="32">
        <v>0</v>
      </c>
      <c r="AN602" s="32">
        <v>0</v>
      </c>
      <c r="AO602" s="34">
        <v>0</v>
      </c>
      <c r="AP602" s="21">
        <v>0.1</v>
      </c>
      <c r="AQ602" s="32">
        <v>3000</v>
      </c>
      <c r="AR602" s="32">
        <v>0.2</v>
      </c>
      <c r="AS602" s="32">
        <v>30</v>
      </c>
      <c r="AT602" s="19">
        <v>0</v>
      </c>
      <c r="AU602" s="32" t="s">
        <v>204</v>
      </c>
      <c r="AV602" s="32"/>
      <c r="AW602" s="30" t="s">
        <v>242</v>
      </c>
      <c r="AX602" s="32" t="s">
        <v>255</v>
      </c>
      <c r="AY602" s="32">
        <v>12000010</v>
      </c>
      <c r="AZ602" s="26">
        <v>20100420</v>
      </c>
      <c r="BA602" s="35" t="s">
        <v>256</v>
      </c>
      <c r="BB602" s="35" t="s">
        <v>204</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ht="20.100000000000001" customHeight="1">
      <c r="C603" s="32">
        <v>60000505</v>
      </c>
      <c r="D603" s="35" t="s">
        <v>1628</v>
      </c>
      <c r="E603" s="35" t="s">
        <v>1629</v>
      </c>
      <c r="F603" s="32">
        <v>1</v>
      </c>
      <c r="G603" s="32">
        <v>60010500</v>
      </c>
      <c r="H603" s="32">
        <v>0</v>
      </c>
      <c r="I603" s="31">
        <v>0</v>
      </c>
      <c r="J603" s="32">
        <v>1</v>
      </c>
      <c r="K603" s="32">
        <v>3</v>
      </c>
      <c r="L603" s="21">
        <v>0</v>
      </c>
      <c r="M603" s="32">
        <v>0</v>
      </c>
      <c r="N603" s="32">
        <v>0</v>
      </c>
      <c r="O603" s="32">
        <v>1</v>
      </c>
      <c r="P603" s="32">
        <v>0</v>
      </c>
      <c r="Q603" s="32">
        <v>0</v>
      </c>
      <c r="R603" s="32">
        <v>0</v>
      </c>
      <c r="S603" s="19">
        <v>0</v>
      </c>
      <c r="T603" s="32">
        <v>0</v>
      </c>
      <c r="U603" s="21">
        <v>0</v>
      </c>
      <c r="V603" s="32">
        <v>1</v>
      </c>
      <c r="W603" s="32">
        <v>0</v>
      </c>
      <c r="X603" s="32">
        <v>1.1000000000000001</v>
      </c>
      <c r="Y603" s="19">
        <v>0</v>
      </c>
      <c r="Z603" s="32">
        <v>0</v>
      </c>
      <c r="AA603" s="32">
        <v>0</v>
      </c>
      <c r="AB603" s="32">
        <v>0</v>
      </c>
      <c r="AC603" s="32">
        <v>0</v>
      </c>
      <c r="AD603" s="32">
        <v>1</v>
      </c>
      <c r="AE603" s="32">
        <v>0</v>
      </c>
      <c r="AF603" s="32">
        <v>1</v>
      </c>
      <c r="AG603" s="32">
        <v>1</v>
      </c>
      <c r="AH603" s="32">
        <v>3</v>
      </c>
      <c r="AI603" s="19">
        <v>10</v>
      </c>
      <c r="AJ603" s="19">
        <v>0</v>
      </c>
      <c r="AK603" s="19">
        <v>0</v>
      </c>
      <c r="AL603" s="19">
        <v>9</v>
      </c>
      <c r="AM603" s="32">
        <v>0</v>
      </c>
      <c r="AN603" s="32">
        <v>0</v>
      </c>
      <c r="AO603" s="34">
        <v>0</v>
      </c>
      <c r="AP603" s="21">
        <v>0.1</v>
      </c>
      <c r="AQ603" s="32">
        <v>3000</v>
      </c>
      <c r="AR603" s="32">
        <v>0.2</v>
      </c>
      <c r="AS603" s="32">
        <v>30</v>
      </c>
      <c r="AT603" s="19">
        <v>0</v>
      </c>
      <c r="AU603" s="32" t="s">
        <v>204</v>
      </c>
      <c r="AV603" s="32"/>
      <c r="AW603" s="30" t="s">
        <v>238</v>
      </c>
      <c r="AX603" s="32" t="s">
        <v>255</v>
      </c>
      <c r="AY603" s="32">
        <v>12000010</v>
      </c>
      <c r="AZ603" s="26">
        <v>20100410</v>
      </c>
      <c r="BA603" s="35" t="s">
        <v>256</v>
      </c>
      <c r="BB603" s="35" t="s">
        <v>867</v>
      </c>
      <c r="BC603" s="31">
        <v>0</v>
      </c>
      <c r="BD603" s="31">
        <v>0</v>
      </c>
      <c r="BE603" s="33"/>
      <c r="BF603" s="33"/>
      <c r="BG603" s="32">
        <v>0</v>
      </c>
      <c r="BH603" s="32">
        <v>0</v>
      </c>
      <c r="BI603" s="32">
        <v>0</v>
      </c>
      <c r="BJ603" s="32">
        <v>0</v>
      </c>
      <c r="BK603" s="32">
        <v>0</v>
      </c>
      <c r="BL603" s="32">
        <v>0</v>
      </c>
      <c r="BM603" s="32">
        <v>0</v>
      </c>
      <c r="BN603" s="19">
        <v>0</v>
      </c>
      <c r="BO603" s="19">
        <v>0</v>
      </c>
      <c r="BP603" s="19">
        <v>0</v>
      </c>
      <c r="BQ603" s="19">
        <v>0</v>
      </c>
      <c r="BR603" s="19">
        <v>0</v>
      </c>
      <c r="BS603" s="19">
        <v>0</v>
      </c>
      <c r="BT603" s="19">
        <v>0</v>
      </c>
      <c r="BU603" s="23">
        <v>0</v>
      </c>
      <c r="BV603" s="23"/>
      <c r="BW603" s="23"/>
      <c r="BX603" s="23"/>
      <c r="BY603" s="23"/>
      <c r="BZ603" s="23"/>
    </row>
    <row r="604" spans="3:78" s="1" customFormat="1" ht="20.100000000000001" customHeight="1">
      <c r="C604" s="74">
        <v>60000601</v>
      </c>
      <c r="D604" s="88" t="s">
        <v>1630</v>
      </c>
      <c r="E604" s="88" t="s">
        <v>1631</v>
      </c>
      <c r="F604" s="74">
        <v>1</v>
      </c>
      <c r="G604" s="74">
        <v>60010500</v>
      </c>
      <c r="H604" s="74">
        <v>60000602</v>
      </c>
      <c r="I604" s="75">
        <v>3</v>
      </c>
      <c r="J604" s="74">
        <v>1</v>
      </c>
      <c r="K604" s="74">
        <v>3</v>
      </c>
      <c r="L604" s="72">
        <v>0</v>
      </c>
      <c r="M604" s="74">
        <v>0</v>
      </c>
      <c r="N604" s="74">
        <v>0</v>
      </c>
      <c r="O604" s="74">
        <v>1</v>
      </c>
      <c r="P604" s="74">
        <v>0</v>
      </c>
      <c r="Q604" s="74">
        <v>0</v>
      </c>
      <c r="R604" s="74">
        <v>0</v>
      </c>
      <c r="S604" s="73">
        <v>0</v>
      </c>
      <c r="T604" s="74">
        <v>60000302</v>
      </c>
      <c r="U604" s="72">
        <v>0</v>
      </c>
      <c r="V604" s="74">
        <v>1</v>
      </c>
      <c r="W604" s="74">
        <v>0</v>
      </c>
      <c r="X604" s="74">
        <v>1</v>
      </c>
      <c r="Y604" s="19">
        <v>0</v>
      </c>
      <c r="Z604" s="74">
        <v>0</v>
      </c>
      <c r="AA604" s="74">
        <v>0</v>
      </c>
      <c r="AB604" s="74">
        <v>0</v>
      </c>
      <c r="AC604" s="74">
        <v>0</v>
      </c>
      <c r="AD604" s="74">
        <v>1</v>
      </c>
      <c r="AE604" s="74">
        <v>0</v>
      </c>
      <c r="AF604" s="74">
        <v>1</v>
      </c>
      <c r="AG604" s="74">
        <v>0</v>
      </c>
      <c r="AH604" s="74">
        <v>0</v>
      </c>
      <c r="AI604" s="73">
        <v>7</v>
      </c>
      <c r="AJ604" s="73">
        <v>0</v>
      </c>
      <c r="AK604" s="73">
        <v>0</v>
      </c>
      <c r="AL604" s="73">
        <v>6</v>
      </c>
      <c r="AM604" s="74">
        <v>0</v>
      </c>
      <c r="AN604" s="74">
        <v>0</v>
      </c>
      <c r="AO604" s="74">
        <v>0</v>
      </c>
      <c r="AP604" s="74">
        <v>0.3</v>
      </c>
      <c r="AQ604" s="72">
        <v>2000</v>
      </c>
      <c r="AR604" s="74">
        <v>0.2</v>
      </c>
      <c r="AS604" s="74">
        <v>20</v>
      </c>
      <c r="AT604" s="73">
        <v>0</v>
      </c>
      <c r="AU604" s="74" t="s">
        <v>204</v>
      </c>
      <c r="AV604" s="74"/>
      <c r="AW604" s="71" t="s">
        <v>238</v>
      </c>
      <c r="AX604" s="74" t="s">
        <v>255</v>
      </c>
      <c r="AY604" s="74">
        <v>10004003</v>
      </c>
      <c r="AZ604" s="26">
        <v>20100510</v>
      </c>
      <c r="BA604" s="88" t="s">
        <v>256</v>
      </c>
      <c r="BB604" s="88" t="s">
        <v>204</v>
      </c>
      <c r="BC604" s="75">
        <v>0</v>
      </c>
      <c r="BD604" s="75">
        <v>0</v>
      </c>
      <c r="BE604" s="76"/>
      <c r="BF604" s="76"/>
      <c r="BG604" s="74">
        <v>0</v>
      </c>
      <c r="BH604" s="72">
        <v>0</v>
      </c>
      <c r="BI604" s="74">
        <v>0</v>
      </c>
      <c r="BJ604" s="74">
        <v>0</v>
      </c>
      <c r="BK604" s="74">
        <v>0</v>
      </c>
      <c r="BL604" s="74">
        <v>0</v>
      </c>
      <c r="BM604" s="90">
        <v>0</v>
      </c>
      <c r="BN604" s="73">
        <v>0</v>
      </c>
      <c r="BO604" s="73">
        <v>0</v>
      </c>
      <c r="BP604" s="73">
        <v>0</v>
      </c>
      <c r="BQ604" s="73">
        <v>0</v>
      </c>
      <c r="BR604" s="73">
        <v>0</v>
      </c>
      <c r="BS604" s="73">
        <v>0</v>
      </c>
      <c r="BT604" s="73">
        <v>0</v>
      </c>
      <c r="BU604" s="73">
        <v>0</v>
      </c>
      <c r="BV604" s="23"/>
      <c r="BW604" s="23"/>
      <c r="BX604" s="23"/>
      <c r="BY604" s="23"/>
      <c r="BZ604" s="23"/>
    </row>
    <row r="605" spans="3:78" ht="20.100000000000001" customHeight="1">
      <c r="C605" s="32">
        <v>60000602</v>
      </c>
      <c r="D605" s="35" t="s">
        <v>1630</v>
      </c>
      <c r="E605" s="35" t="s">
        <v>1631</v>
      </c>
      <c r="F605" s="32">
        <v>1</v>
      </c>
      <c r="G605" s="32">
        <v>60010500</v>
      </c>
      <c r="H605" s="32">
        <v>0</v>
      </c>
      <c r="I605" s="31">
        <v>3</v>
      </c>
      <c r="J605" s="32">
        <v>1</v>
      </c>
      <c r="K605" s="32">
        <v>3</v>
      </c>
      <c r="L605" s="21">
        <v>0</v>
      </c>
      <c r="M605" s="32">
        <v>0</v>
      </c>
      <c r="N605" s="32">
        <v>0</v>
      </c>
      <c r="O605" s="32">
        <v>1</v>
      </c>
      <c r="P605" s="32">
        <v>0</v>
      </c>
      <c r="Q605" s="32">
        <v>0</v>
      </c>
      <c r="R605" s="32">
        <v>0</v>
      </c>
      <c r="S605" s="19">
        <v>0</v>
      </c>
      <c r="T605" s="31">
        <v>0</v>
      </c>
      <c r="U605" s="21">
        <v>0</v>
      </c>
      <c r="V605" s="32">
        <v>1</v>
      </c>
      <c r="W605" s="32">
        <v>0</v>
      </c>
      <c r="X605" s="32">
        <v>1</v>
      </c>
      <c r="Y605" s="19">
        <v>0</v>
      </c>
      <c r="Z605" s="32">
        <v>0</v>
      </c>
      <c r="AA605" s="32">
        <v>0</v>
      </c>
      <c r="AB605" s="32">
        <v>0</v>
      </c>
      <c r="AC605" s="32">
        <v>0</v>
      </c>
      <c r="AD605" s="32">
        <v>1</v>
      </c>
      <c r="AE605" s="32">
        <v>0</v>
      </c>
      <c r="AF605" s="32">
        <v>1</v>
      </c>
      <c r="AG605" s="32">
        <v>0</v>
      </c>
      <c r="AH605" s="32">
        <v>0</v>
      </c>
      <c r="AI605" s="19">
        <v>7</v>
      </c>
      <c r="AJ605" s="19">
        <v>0</v>
      </c>
      <c r="AK605" s="19">
        <v>0</v>
      </c>
      <c r="AL605" s="19">
        <v>6</v>
      </c>
      <c r="AM605" s="32">
        <v>0</v>
      </c>
      <c r="AN605" s="32">
        <v>0</v>
      </c>
      <c r="AO605" s="32">
        <v>0</v>
      </c>
      <c r="AP605" s="32">
        <v>0.3</v>
      </c>
      <c r="AQ605" s="21">
        <v>2000</v>
      </c>
      <c r="AR605" s="32">
        <v>0.2</v>
      </c>
      <c r="AS605" s="32">
        <v>20</v>
      </c>
      <c r="AT605" s="19">
        <v>0</v>
      </c>
      <c r="AU605" s="32" t="s">
        <v>204</v>
      </c>
      <c r="AV605" s="32"/>
      <c r="AW605" s="30" t="s">
        <v>242</v>
      </c>
      <c r="AX605" s="32" t="s">
        <v>255</v>
      </c>
      <c r="AY605" s="32">
        <v>10004003</v>
      </c>
      <c r="AZ605" s="26">
        <v>20100510</v>
      </c>
      <c r="BA605" s="35" t="s">
        <v>256</v>
      </c>
      <c r="BB605" s="35" t="s">
        <v>204</v>
      </c>
      <c r="BC605" s="31">
        <v>0</v>
      </c>
      <c r="BD605" s="31">
        <v>0</v>
      </c>
      <c r="BE605" s="33"/>
      <c r="BF605" s="33"/>
      <c r="BG605" s="32">
        <v>0</v>
      </c>
      <c r="BH605" s="21">
        <v>0</v>
      </c>
      <c r="BI605" s="32">
        <v>0</v>
      </c>
      <c r="BJ605" s="32">
        <v>0</v>
      </c>
      <c r="BK605" s="32">
        <v>0</v>
      </c>
      <c r="BL605" s="32">
        <v>0</v>
      </c>
      <c r="BM605" s="25">
        <v>0</v>
      </c>
      <c r="BN605" s="19">
        <v>0</v>
      </c>
      <c r="BO605" s="19">
        <v>0</v>
      </c>
      <c r="BP605" s="19">
        <v>0</v>
      </c>
      <c r="BQ605" s="19">
        <v>0</v>
      </c>
      <c r="BR605" s="19">
        <v>0</v>
      </c>
      <c r="BS605" s="19">
        <v>0</v>
      </c>
      <c r="BT605" s="19">
        <v>0</v>
      </c>
      <c r="BU605" s="23">
        <v>0</v>
      </c>
      <c r="BV605" s="23"/>
      <c r="BW605" s="23"/>
      <c r="BX605" s="23"/>
      <c r="BY605" s="23"/>
      <c r="BZ605" s="23"/>
    </row>
    <row r="606" spans="3:78" s="1" customFormat="1" ht="20.100000000000001" customHeight="1">
      <c r="C606" s="74">
        <v>60000701</v>
      </c>
      <c r="D606" s="88" t="s">
        <v>1630</v>
      </c>
      <c r="E606" s="88" t="s">
        <v>1631</v>
      </c>
      <c r="F606" s="74">
        <v>1</v>
      </c>
      <c r="G606" s="74">
        <v>60010500</v>
      </c>
      <c r="H606" s="74">
        <v>0</v>
      </c>
      <c r="I606" s="75">
        <v>4</v>
      </c>
      <c r="J606" s="74">
        <v>1</v>
      </c>
      <c r="K606" s="74">
        <v>3</v>
      </c>
      <c r="L606" s="72">
        <v>0</v>
      </c>
      <c r="M606" s="74">
        <v>0</v>
      </c>
      <c r="N606" s="74">
        <v>0</v>
      </c>
      <c r="O606" s="74">
        <v>1</v>
      </c>
      <c r="P606" s="74">
        <v>0</v>
      </c>
      <c r="Q606" s="74">
        <v>0</v>
      </c>
      <c r="R606" s="74">
        <v>0</v>
      </c>
      <c r="S606" s="73">
        <v>0</v>
      </c>
      <c r="T606" s="75">
        <v>0</v>
      </c>
      <c r="U606" s="72">
        <v>0</v>
      </c>
      <c r="V606" s="74">
        <v>1</v>
      </c>
      <c r="W606" s="74">
        <v>0</v>
      </c>
      <c r="X606" s="74">
        <v>0.75</v>
      </c>
      <c r="Y606" s="19">
        <v>0</v>
      </c>
      <c r="Z606" s="74">
        <v>0</v>
      </c>
      <c r="AA606" s="74">
        <v>0</v>
      </c>
      <c r="AB606" s="74">
        <v>0</v>
      </c>
      <c r="AC606" s="74">
        <v>0</v>
      </c>
      <c r="AD606" s="74">
        <v>1</v>
      </c>
      <c r="AE606" s="74">
        <v>0</v>
      </c>
      <c r="AF606" s="74">
        <v>1</v>
      </c>
      <c r="AG606" s="74">
        <v>0</v>
      </c>
      <c r="AH606" s="74">
        <v>1.5</v>
      </c>
      <c r="AI606" s="73">
        <v>11</v>
      </c>
      <c r="AJ606" s="73">
        <v>0</v>
      </c>
      <c r="AK606" s="73">
        <v>0</v>
      </c>
      <c r="AL606" s="73">
        <v>6</v>
      </c>
      <c r="AM606" s="74">
        <v>0</v>
      </c>
      <c r="AN606" s="74">
        <v>0</v>
      </c>
      <c r="AO606" s="74">
        <v>0</v>
      </c>
      <c r="AP606" s="74">
        <v>0.3</v>
      </c>
      <c r="AQ606" s="72">
        <v>2000</v>
      </c>
      <c r="AR606" s="74">
        <v>0.2</v>
      </c>
      <c r="AS606" s="74">
        <v>20</v>
      </c>
      <c r="AT606" s="73">
        <v>0</v>
      </c>
      <c r="AU606" s="74" t="s">
        <v>204</v>
      </c>
      <c r="AV606" s="74"/>
      <c r="AW606" s="71" t="s">
        <v>248</v>
      </c>
      <c r="AX606" s="74" t="s">
        <v>255</v>
      </c>
      <c r="AY606" s="74">
        <v>10001007</v>
      </c>
      <c r="AZ606" s="26">
        <v>20100610</v>
      </c>
      <c r="BA606" s="88" t="s">
        <v>256</v>
      </c>
      <c r="BB606" s="35" t="s">
        <v>1632</v>
      </c>
      <c r="BC606" s="75">
        <v>0</v>
      </c>
      <c r="BD606" s="75">
        <v>0</v>
      </c>
      <c r="BE606" s="76"/>
      <c r="BF606" s="76"/>
      <c r="BG606" s="74">
        <v>0</v>
      </c>
      <c r="BH606" s="72">
        <v>0</v>
      </c>
      <c r="BI606" s="74">
        <v>0</v>
      </c>
      <c r="BJ606" s="74">
        <v>0</v>
      </c>
      <c r="BK606" s="74">
        <v>0</v>
      </c>
      <c r="BL606" s="74">
        <v>0</v>
      </c>
      <c r="BM606" s="90">
        <v>0</v>
      </c>
      <c r="BN606" s="73">
        <v>0</v>
      </c>
      <c r="BO606" s="73">
        <v>0</v>
      </c>
      <c r="BP606" s="73">
        <v>0</v>
      </c>
      <c r="BQ606" s="73">
        <v>0</v>
      </c>
      <c r="BR606" s="73">
        <v>0</v>
      </c>
      <c r="BS606" s="73">
        <v>0</v>
      </c>
      <c r="BT606" s="73">
        <v>0</v>
      </c>
      <c r="BU606" s="73">
        <v>0</v>
      </c>
      <c r="BV606" s="23"/>
      <c r="BW606" s="23"/>
      <c r="BX606" s="23"/>
      <c r="BY606" s="23"/>
      <c r="BZ606" s="23"/>
    </row>
    <row r="607" spans="3:78" ht="20.100000000000001" customHeight="1">
      <c r="C607" s="32">
        <v>60000702</v>
      </c>
      <c r="D607" s="35" t="s">
        <v>1630</v>
      </c>
      <c r="E607" s="35" t="s">
        <v>1631</v>
      </c>
      <c r="F607" s="32">
        <v>1</v>
      </c>
      <c r="G607" s="32">
        <v>60010500</v>
      </c>
      <c r="H607" s="32">
        <v>0</v>
      </c>
      <c r="I607" s="31">
        <v>4</v>
      </c>
      <c r="J607" s="32">
        <v>1</v>
      </c>
      <c r="K607" s="32">
        <v>3</v>
      </c>
      <c r="L607" s="21">
        <v>0</v>
      </c>
      <c r="M607" s="32">
        <v>0</v>
      </c>
      <c r="N607" s="32">
        <v>0</v>
      </c>
      <c r="O607" s="32">
        <v>1</v>
      </c>
      <c r="P607" s="32">
        <v>0</v>
      </c>
      <c r="Q607" s="32">
        <v>0</v>
      </c>
      <c r="R607" s="32">
        <v>0</v>
      </c>
      <c r="S607" s="19">
        <v>0</v>
      </c>
      <c r="T607" s="31">
        <v>0</v>
      </c>
      <c r="U607" s="21">
        <v>0</v>
      </c>
      <c r="V607" s="32">
        <v>1</v>
      </c>
      <c r="W607" s="32">
        <v>0</v>
      </c>
      <c r="X607" s="32">
        <v>0.75</v>
      </c>
      <c r="Y607" s="19">
        <v>0</v>
      </c>
      <c r="Z607" s="32">
        <v>0</v>
      </c>
      <c r="AA607" s="32">
        <v>0</v>
      </c>
      <c r="AB607" s="32">
        <v>0</v>
      </c>
      <c r="AC607" s="32">
        <v>0</v>
      </c>
      <c r="AD607" s="32">
        <v>1</v>
      </c>
      <c r="AE607" s="32">
        <v>0</v>
      </c>
      <c r="AF607" s="32">
        <v>1</v>
      </c>
      <c r="AG607" s="32">
        <v>0</v>
      </c>
      <c r="AH607" s="32">
        <v>1.5</v>
      </c>
      <c r="AI607" s="19">
        <v>7</v>
      </c>
      <c r="AJ607" s="19">
        <v>0</v>
      </c>
      <c r="AK607" s="19">
        <v>0</v>
      </c>
      <c r="AL607" s="19">
        <v>6</v>
      </c>
      <c r="AM607" s="32">
        <v>0</v>
      </c>
      <c r="AN607" s="32">
        <v>0</v>
      </c>
      <c r="AO607" s="32">
        <v>0</v>
      </c>
      <c r="AP607" s="32">
        <v>0.3</v>
      </c>
      <c r="AQ607" s="21">
        <v>2000</v>
      </c>
      <c r="AR607" s="32">
        <v>0.2</v>
      </c>
      <c r="AS607" s="32">
        <v>20</v>
      </c>
      <c r="AT607" s="19">
        <v>0</v>
      </c>
      <c r="AU607" s="32" t="s">
        <v>204</v>
      </c>
      <c r="AV607" s="32"/>
      <c r="AW607" s="30" t="s">
        <v>250</v>
      </c>
      <c r="AX607" s="32" t="s">
        <v>255</v>
      </c>
      <c r="AY607" s="32">
        <v>10001007</v>
      </c>
      <c r="AZ607" s="26">
        <v>20100610</v>
      </c>
      <c r="BA607" s="35" t="s">
        <v>256</v>
      </c>
      <c r="BB607" s="35" t="s">
        <v>204</v>
      </c>
      <c r="BC607" s="31">
        <v>0</v>
      </c>
      <c r="BD607" s="31">
        <v>0</v>
      </c>
      <c r="BE607" s="33"/>
      <c r="BF607" s="33"/>
      <c r="BG607" s="32">
        <v>0</v>
      </c>
      <c r="BH607" s="21">
        <v>0</v>
      </c>
      <c r="BI607" s="32">
        <v>0</v>
      </c>
      <c r="BJ607" s="32">
        <v>0</v>
      </c>
      <c r="BK607" s="32">
        <v>0</v>
      </c>
      <c r="BL607" s="32">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60000801</v>
      </c>
      <c r="D608" s="30" t="s">
        <v>235</v>
      </c>
      <c r="E608" s="30" t="s">
        <v>236</v>
      </c>
      <c r="F608" s="21">
        <v>1</v>
      </c>
      <c r="G608" s="21">
        <v>60010300</v>
      </c>
      <c r="H608" s="21">
        <v>60000802</v>
      </c>
      <c r="I608" s="31">
        <v>2</v>
      </c>
      <c r="J608" s="21">
        <v>1</v>
      </c>
      <c r="K608" s="21">
        <v>3</v>
      </c>
      <c r="L608" s="21">
        <v>0</v>
      </c>
      <c r="M608" s="21">
        <v>0</v>
      </c>
      <c r="N608" s="21">
        <v>0</v>
      </c>
      <c r="O608" s="21">
        <v>1</v>
      </c>
      <c r="P608" s="21">
        <v>0</v>
      </c>
      <c r="Q608" s="21">
        <v>0</v>
      </c>
      <c r="R608" s="21">
        <v>0</v>
      </c>
      <c r="S608" s="19">
        <v>0</v>
      </c>
      <c r="T608" s="21">
        <v>60000102</v>
      </c>
      <c r="U608" s="21">
        <v>0</v>
      </c>
      <c r="V608" s="21">
        <v>2</v>
      </c>
      <c r="W608" s="21">
        <v>0</v>
      </c>
      <c r="X608" s="21">
        <v>1.5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0.4</v>
      </c>
      <c r="AQ608" s="21">
        <v>1500</v>
      </c>
      <c r="AR608" s="21">
        <v>0.4</v>
      </c>
      <c r="AS608" s="21">
        <v>0</v>
      </c>
      <c r="AT608" s="19">
        <v>90001082</v>
      </c>
      <c r="AU608" s="21">
        <v>0</v>
      </c>
      <c r="AV608" s="21"/>
      <c r="AW608" s="30" t="s">
        <v>238</v>
      </c>
      <c r="AX608" s="21" t="s">
        <v>239</v>
      </c>
      <c r="AY608" s="32">
        <v>10000001</v>
      </c>
      <c r="AZ608" s="32">
        <v>20100010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60000802</v>
      </c>
      <c r="D609" s="30" t="s">
        <v>240</v>
      </c>
      <c r="E609" s="30" t="s">
        <v>241</v>
      </c>
      <c r="F609" s="21">
        <v>1</v>
      </c>
      <c r="G609" s="21">
        <v>60010300</v>
      </c>
      <c r="H609" s="21">
        <v>60000803</v>
      </c>
      <c r="I609" s="31">
        <v>2</v>
      </c>
      <c r="J609" s="21">
        <v>1</v>
      </c>
      <c r="K609" s="21">
        <v>3</v>
      </c>
      <c r="L609" s="21">
        <v>0</v>
      </c>
      <c r="M609" s="21">
        <v>0</v>
      </c>
      <c r="N609" s="21">
        <v>0</v>
      </c>
      <c r="O609" s="21">
        <v>1</v>
      </c>
      <c r="P609" s="21">
        <v>0</v>
      </c>
      <c r="Q609" s="21">
        <v>0</v>
      </c>
      <c r="R609" s="21">
        <v>0</v>
      </c>
      <c r="S609" s="19">
        <v>0</v>
      </c>
      <c r="T609" s="21">
        <v>60000103</v>
      </c>
      <c r="U609" s="21">
        <v>0</v>
      </c>
      <c r="V609" s="21">
        <v>2</v>
      </c>
      <c r="W609" s="21">
        <v>0</v>
      </c>
      <c r="X609" s="21">
        <v>1.75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0.7</v>
      </c>
      <c r="AQ609" s="21">
        <v>1500</v>
      </c>
      <c r="AR609" s="21">
        <v>0.7</v>
      </c>
      <c r="AS609" s="21">
        <v>0</v>
      </c>
      <c r="AT609" s="19">
        <v>90001082</v>
      </c>
      <c r="AU609" s="21">
        <v>0</v>
      </c>
      <c r="AV609" s="21"/>
      <c r="AW609" s="30" t="s">
        <v>242</v>
      </c>
      <c r="AX609" s="21" t="s">
        <v>239</v>
      </c>
      <c r="AY609" s="32">
        <v>10000001</v>
      </c>
      <c r="AZ609" s="32">
        <v>20100020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60000803</v>
      </c>
      <c r="D610" s="30" t="s">
        <v>243</v>
      </c>
      <c r="E610" s="30" t="s">
        <v>244</v>
      </c>
      <c r="F610" s="21">
        <v>1</v>
      </c>
      <c r="G610" s="21">
        <v>60010300</v>
      </c>
      <c r="H610" s="21">
        <v>60000801</v>
      </c>
      <c r="I610" s="31">
        <v>2</v>
      </c>
      <c r="J610" s="21">
        <v>1</v>
      </c>
      <c r="K610" s="21">
        <v>3</v>
      </c>
      <c r="L610" s="21">
        <v>0</v>
      </c>
      <c r="M610" s="21">
        <v>0</v>
      </c>
      <c r="N610" s="21">
        <v>0</v>
      </c>
      <c r="O610" s="21">
        <v>1</v>
      </c>
      <c r="P610" s="21">
        <v>0</v>
      </c>
      <c r="Q610" s="21">
        <v>0</v>
      </c>
      <c r="R610" s="21">
        <v>0</v>
      </c>
      <c r="S610" s="19">
        <v>0</v>
      </c>
      <c r="T610" s="21">
        <v>60000101</v>
      </c>
      <c r="U610" s="21">
        <v>0</v>
      </c>
      <c r="V610" s="21">
        <v>2</v>
      </c>
      <c r="W610" s="21">
        <v>0</v>
      </c>
      <c r="X610" s="21">
        <v>2.25</v>
      </c>
      <c r="Y610" s="19">
        <v>0</v>
      </c>
      <c r="Z610" s="32">
        <v>0</v>
      </c>
      <c r="AA610" s="21">
        <v>0</v>
      </c>
      <c r="AB610" s="21">
        <v>0</v>
      </c>
      <c r="AC610" s="21">
        <v>0</v>
      </c>
      <c r="AD610" s="21">
        <v>1</v>
      </c>
      <c r="AE610" s="21">
        <v>0</v>
      </c>
      <c r="AF610" s="21">
        <v>0</v>
      </c>
      <c r="AG610" s="21">
        <v>2</v>
      </c>
      <c r="AH610" s="21" t="s">
        <v>237</v>
      </c>
      <c r="AI610" s="19">
        <v>2</v>
      </c>
      <c r="AJ610" s="19">
        <v>0</v>
      </c>
      <c r="AK610" s="19">
        <v>1</v>
      </c>
      <c r="AL610" s="19">
        <v>3</v>
      </c>
      <c r="AM610" s="21">
        <v>0</v>
      </c>
      <c r="AN610" s="21">
        <v>0</v>
      </c>
      <c r="AO610" s="21">
        <v>0</v>
      </c>
      <c r="AP610" s="21">
        <v>0.5</v>
      </c>
      <c r="AQ610" s="21">
        <v>1500</v>
      </c>
      <c r="AR610" s="21">
        <v>0.5</v>
      </c>
      <c r="AS610" s="21">
        <v>0</v>
      </c>
      <c r="AT610" s="19">
        <v>90001082</v>
      </c>
      <c r="AU610" s="21">
        <v>0</v>
      </c>
      <c r="AV610" s="21"/>
      <c r="AW610" s="30" t="s">
        <v>245</v>
      </c>
      <c r="AX610" s="21" t="s">
        <v>239</v>
      </c>
      <c r="AY610" s="32">
        <v>10000001</v>
      </c>
      <c r="AZ610" s="32">
        <v>20100030</v>
      </c>
      <c r="BA610" s="30" t="s">
        <v>206</v>
      </c>
      <c r="BB610" s="21">
        <v>0</v>
      </c>
      <c r="BC610" s="31">
        <v>0</v>
      </c>
      <c r="BD610" s="31">
        <v>0</v>
      </c>
      <c r="BE610" s="33"/>
      <c r="BF610" s="33"/>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61011101</v>
      </c>
      <c r="D611" s="30" t="s">
        <v>604</v>
      </c>
      <c r="E611" s="30" t="s">
        <v>1168</v>
      </c>
      <c r="F611" s="21">
        <v>0</v>
      </c>
      <c r="G611" s="21">
        <v>61011101</v>
      </c>
      <c r="H611" s="21">
        <v>61011102</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90001015</v>
      </c>
      <c r="AV611" s="21"/>
      <c r="AW611" s="30" t="s">
        <v>293</v>
      </c>
      <c r="AX611" s="21" t="s">
        <v>551</v>
      </c>
      <c r="AY611" s="32">
        <v>10000007</v>
      </c>
      <c r="AZ611" s="32">
        <v>21000110</v>
      </c>
      <c r="BA611" s="30" t="s">
        <v>206</v>
      </c>
      <c r="BB611" s="21">
        <v>0</v>
      </c>
      <c r="BC611" s="31">
        <v>0</v>
      </c>
      <c r="BD611" s="31">
        <v>0</v>
      </c>
      <c r="BE611" s="171" t="str">
        <f>"立即对目标范围内的怪物造成"&amp;X611*100&amp;"%攻击伤害+"&amp;Z611&amp;"点固定伤害,并对目标造成易伤效果,使其受到伤害提升20%,持续3秒"</f>
        <v>立即对目标范围内的怪物造成200%攻击伤害+750点固定伤害,并对目标造成易伤效果,使其受到伤害提升20%,持续3秒</v>
      </c>
      <c r="BF611" s="171" t="s">
        <v>1633</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61011102</v>
      </c>
      <c r="D612" s="30" t="s">
        <v>604</v>
      </c>
      <c r="E612" s="30" t="s">
        <v>1168</v>
      </c>
      <c r="F612" s="21">
        <v>1</v>
      </c>
      <c r="G612" s="21">
        <v>61011101</v>
      </c>
      <c r="H612" s="21">
        <v>61011103</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2.5</v>
      </c>
      <c r="Y612" s="19">
        <v>0</v>
      </c>
      <c r="Z612" s="32">
        <v>750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90001015</v>
      </c>
      <c r="AV612" s="21"/>
      <c r="AW612" s="30" t="s">
        <v>293</v>
      </c>
      <c r="AX612" s="21" t="s">
        <v>551</v>
      </c>
      <c r="AY612" s="32">
        <v>10000007</v>
      </c>
      <c r="AZ612" s="32">
        <v>21000110</v>
      </c>
      <c r="BA612" s="30" t="s">
        <v>206</v>
      </c>
      <c r="BB612" s="21">
        <v>0</v>
      </c>
      <c r="BC612" s="31">
        <v>0</v>
      </c>
      <c r="BD612" s="31">
        <v>0</v>
      </c>
      <c r="BE612" s="171" t="str">
        <f t="shared" ref="BE612:BE616" si="20">"立即对目标范围内的怪物造成"&amp;X612*100&amp;"%攻击伤害+"&amp;Z612&amp;"点固定伤害,并对目标造成易伤效果,使其受到伤害提升20%,持续3秒"</f>
        <v>立即对目标范围内的怪物造成250%攻击伤害+750点固定伤害,并对目标造成易伤效果,使其受到伤害提升20%,持续3秒</v>
      </c>
      <c r="BF612" s="171" t="s">
        <v>1634</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61011103</v>
      </c>
      <c r="D613" s="30" t="s">
        <v>604</v>
      </c>
      <c r="E613" s="30" t="s">
        <v>1168</v>
      </c>
      <c r="F613" s="21">
        <v>2</v>
      </c>
      <c r="G613" s="21">
        <v>61011101</v>
      </c>
      <c r="H613" s="21">
        <v>61011104</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2.75</v>
      </c>
      <c r="Y613" s="19">
        <v>0</v>
      </c>
      <c r="Z613" s="32">
        <v>1500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90001015</v>
      </c>
      <c r="AV613" s="21"/>
      <c r="AW613" s="30" t="s">
        <v>293</v>
      </c>
      <c r="AX613" s="21" t="s">
        <v>551</v>
      </c>
      <c r="AY613" s="32">
        <v>10000007</v>
      </c>
      <c r="AZ613" s="32">
        <v>21000110</v>
      </c>
      <c r="BA613" s="30" t="s">
        <v>206</v>
      </c>
      <c r="BB613" s="21">
        <v>0</v>
      </c>
      <c r="BC613" s="31">
        <v>0</v>
      </c>
      <c r="BD613" s="31">
        <v>0</v>
      </c>
      <c r="BE613" s="171" t="str">
        <f t="shared" si="20"/>
        <v>立即对目标范围内的怪物造成275%攻击伤害+1500点固定伤害,并对目标造成易伤效果,使其受到伤害提升20%,持续3秒</v>
      </c>
      <c r="BF613" s="171" t="s">
        <v>1635</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61011104</v>
      </c>
      <c r="D614" s="30" t="s">
        <v>604</v>
      </c>
      <c r="E614" s="30" t="s">
        <v>1168</v>
      </c>
      <c r="F614" s="21">
        <v>3</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v>
      </c>
      <c r="Y614" s="19">
        <v>0</v>
      </c>
      <c r="Z614" s="32">
        <v>2250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90001015</v>
      </c>
      <c r="AV614" s="21"/>
      <c r="AW614" s="30" t="s">
        <v>293</v>
      </c>
      <c r="AX614" s="21" t="s">
        <v>551</v>
      </c>
      <c r="AY614" s="32">
        <v>10000007</v>
      </c>
      <c r="AZ614" s="32">
        <v>21000110</v>
      </c>
      <c r="BA614" s="30" t="s">
        <v>206</v>
      </c>
      <c r="BB614" s="21">
        <v>0</v>
      </c>
      <c r="BC614" s="31">
        <v>0</v>
      </c>
      <c r="BD614" s="31">
        <v>0</v>
      </c>
      <c r="BE614" s="171" t="str">
        <f t="shared" si="20"/>
        <v>立即对目标范围内的怪物造成300%攻击伤害+2250点固定伤害,并对目标造成易伤效果,使其受到伤害提升20%,持续3秒</v>
      </c>
      <c r="BF614" s="171" t="s">
        <v>1636</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61011105</v>
      </c>
      <c r="D615" s="30" t="s">
        <v>604</v>
      </c>
      <c r="E615" s="30" t="s">
        <v>1168</v>
      </c>
      <c r="F615" s="21">
        <v>4</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3.25</v>
      </c>
      <c r="Y615" s="19">
        <v>0</v>
      </c>
      <c r="Z615" s="32">
        <v>3250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90001015</v>
      </c>
      <c r="AV615" s="21"/>
      <c r="AW615" s="30" t="s">
        <v>293</v>
      </c>
      <c r="AX615" s="21" t="s">
        <v>551</v>
      </c>
      <c r="AY615" s="32">
        <v>10000007</v>
      </c>
      <c r="AZ615" s="32">
        <v>21000110</v>
      </c>
      <c r="BA615" s="30" t="s">
        <v>206</v>
      </c>
      <c r="BB615" s="21">
        <v>0</v>
      </c>
      <c r="BC615" s="31">
        <v>0</v>
      </c>
      <c r="BD615" s="31">
        <v>0</v>
      </c>
      <c r="BE615" s="171" t="str">
        <f t="shared" si="20"/>
        <v>立即对目标范围内的怪物造成325%攻击伤害+3250点固定伤害,并对目标造成易伤效果,使其受到伤害提升20%,持续3秒</v>
      </c>
      <c r="BF615" s="171" t="s">
        <v>1637</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61011106</v>
      </c>
      <c r="D616" s="30" t="s">
        <v>604</v>
      </c>
      <c r="E616" s="30" t="s">
        <v>1168</v>
      </c>
      <c r="F616" s="21">
        <v>5</v>
      </c>
      <c r="G616" s="21">
        <v>61011101</v>
      </c>
      <c r="H616" s="21">
        <v>0</v>
      </c>
      <c r="I616" s="31">
        <v>1</v>
      </c>
      <c r="J616" s="21">
        <v>1</v>
      </c>
      <c r="K616" s="21">
        <v>3</v>
      </c>
      <c r="L616" s="21">
        <v>0</v>
      </c>
      <c r="M616" s="21">
        <v>0</v>
      </c>
      <c r="N616" s="21">
        <v>0</v>
      </c>
      <c r="O616" s="21">
        <v>1</v>
      </c>
      <c r="P616" s="21">
        <v>0</v>
      </c>
      <c r="Q616" s="21">
        <v>0</v>
      </c>
      <c r="R616" s="21">
        <v>0</v>
      </c>
      <c r="S616" s="19">
        <v>0</v>
      </c>
      <c r="T616" s="21">
        <v>0</v>
      </c>
      <c r="U616" s="21">
        <v>1</v>
      </c>
      <c r="V616" s="21">
        <v>2</v>
      </c>
      <c r="W616" s="32">
        <v>0</v>
      </c>
      <c r="X616" s="21">
        <v>3.5</v>
      </c>
      <c r="Y616" s="19">
        <v>0</v>
      </c>
      <c r="Z616" s="32">
        <v>4250</v>
      </c>
      <c r="AA616" s="21">
        <v>0</v>
      </c>
      <c r="AB616" s="21">
        <v>0</v>
      </c>
      <c r="AC616" s="21">
        <v>0</v>
      </c>
      <c r="AD616" s="21">
        <v>0</v>
      </c>
      <c r="AE616" s="21">
        <v>0</v>
      </c>
      <c r="AF616" s="21">
        <v>8</v>
      </c>
      <c r="AG616" s="21">
        <v>2</v>
      </c>
      <c r="AH616" s="21" t="s">
        <v>219</v>
      </c>
      <c r="AI616" s="19">
        <v>2</v>
      </c>
      <c r="AJ616" s="19">
        <v>2</v>
      </c>
      <c r="AK616" s="19">
        <v>0</v>
      </c>
      <c r="AL616" s="19">
        <v>1.5</v>
      </c>
      <c r="AM616" s="21">
        <v>0</v>
      </c>
      <c r="AN616" s="21">
        <v>0</v>
      </c>
      <c r="AO616" s="21">
        <v>0</v>
      </c>
      <c r="AP616" s="21">
        <v>0.5</v>
      </c>
      <c r="AQ616" s="21">
        <v>2000</v>
      </c>
      <c r="AR616" s="21">
        <v>0.5</v>
      </c>
      <c r="AS616" s="21">
        <v>0</v>
      </c>
      <c r="AT616" s="19">
        <v>0</v>
      </c>
      <c r="AU616" s="21">
        <v>90001015</v>
      </c>
      <c r="AV616" s="21"/>
      <c r="AW616" s="30" t="s">
        <v>293</v>
      </c>
      <c r="AX616" s="21" t="s">
        <v>551</v>
      </c>
      <c r="AY616" s="32">
        <v>10000007</v>
      </c>
      <c r="AZ616" s="32">
        <v>21000110</v>
      </c>
      <c r="BA616" s="30" t="s">
        <v>206</v>
      </c>
      <c r="BB616" s="21">
        <v>0</v>
      </c>
      <c r="BC616" s="31">
        <v>0</v>
      </c>
      <c r="BD616" s="31">
        <v>0</v>
      </c>
      <c r="BE616" s="171" t="str">
        <f t="shared" si="20"/>
        <v>立即对目标范围内的怪物造成350%攻击伤害+4250点固定伤害,并对目标造成易伤效果,使其受到伤害提升20%,持续3秒</v>
      </c>
      <c r="BF616" s="171" t="s">
        <v>1638</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61011201</v>
      </c>
      <c r="D617" s="30" t="s">
        <v>538</v>
      </c>
      <c r="E617" s="30" t="s">
        <v>261</v>
      </c>
      <c r="F617" s="21">
        <v>0</v>
      </c>
      <c r="G617" s="21">
        <v>61011201</v>
      </c>
      <c r="H617" s="21">
        <v>61011202</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v>90001021</v>
      </c>
      <c r="AV617" s="21"/>
      <c r="AW617" s="30" t="s">
        <v>623</v>
      </c>
      <c r="AX617" s="21" t="s">
        <v>1639</v>
      </c>
      <c r="AY617" s="32">
        <v>10000007</v>
      </c>
      <c r="AZ617" s="32">
        <v>21000020</v>
      </c>
      <c r="BA617" s="30" t="s">
        <v>206</v>
      </c>
      <c r="BB617" s="21">
        <v>0</v>
      </c>
      <c r="BC617" s="31">
        <v>0</v>
      </c>
      <c r="BD617" s="31">
        <v>0</v>
      </c>
      <c r="BE617" s="171" t="str">
        <f>"立即对周围内的怪物造成"&amp;X617*100&amp;"%攻击伤害+"&amp;Z617&amp;"点固定伤害,并使目标眩晕1秒"</f>
        <v>立即对周围内的怪物造成160%攻击伤害+750点固定伤害,并使目标眩晕1秒</v>
      </c>
      <c r="BF617" s="171" t="s">
        <v>1640</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61011202</v>
      </c>
      <c r="D618" s="30" t="s">
        <v>538</v>
      </c>
      <c r="E618" s="30" t="s">
        <v>261</v>
      </c>
      <c r="F618" s="21">
        <v>1</v>
      </c>
      <c r="G618" s="21">
        <v>61011201</v>
      </c>
      <c r="H618" s="21">
        <v>61011203</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1.6</v>
      </c>
      <c r="Y618" s="19">
        <v>0</v>
      </c>
      <c r="Z618" s="32">
        <v>750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1641</v>
      </c>
      <c r="AV618" s="21"/>
      <c r="AW618" s="30" t="s">
        <v>623</v>
      </c>
      <c r="AX618" s="21" t="s">
        <v>1639</v>
      </c>
      <c r="AY618" s="32">
        <v>10000007</v>
      </c>
      <c r="AZ618" s="32">
        <v>21000020</v>
      </c>
      <c r="BA618" s="30" t="s">
        <v>206</v>
      </c>
      <c r="BB618" s="21">
        <v>0</v>
      </c>
      <c r="BC618" s="31">
        <v>0</v>
      </c>
      <c r="BD618" s="31">
        <v>0</v>
      </c>
      <c r="BE618" s="171" t="str">
        <f t="shared" ref="BE618:BE622" si="21">"立即对周围内的怪物造成"&amp;X618*100&amp;"%攻击伤害+"&amp;Z618&amp;"点固定伤害,并使目标眩晕1秒"</f>
        <v>立即对周围内的怪物造成160%攻击伤害+750点固定伤害,并使目标眩晕1秒</v>
      </c>
      <c r="BF618" s="171" t="s">
        <v>1640</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100000000000001" customHeight="1">
      <c r="C619" s="21">
        <v>61011203</v>
      </c>
      <c r="D619" s="30" t="s">
        <v>538</v>
      </c>
      <c r="E619" s="30" t="s">
        <v>261</v>
      </c>
      <c r="F619" s="21">
        <v>2</v>
      </c>
      <c r="G619" s="21">
        <v>61011201</v>
      </c>
      <c r="H619" s="21">
        <v>61011204</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1.8</v>
      </c>
      <c r="Y619" s="19">
        <v>0</v>
      </c>
      <c r="Z619" s="32">
        <v>1500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1641</v>
      </c>
      <c r="AV619" s="21"/>
      <c r="AW619" s="30" t="s">
        <v>623</v>
      </c>
      <c r="AX619" s="21" t="s">
        <v>1639</v>
      </c>
      <c r="AY619" s="32">
        <v>10000007</v>
      </c>
      <c r="AZ619" s="32">
        <v>21000020</v>
      </c>
      <c r="BA619" s="30" t="s">
        <v>206</v>
      </c>
      <c r="BB619" s="21">
        <v>0</v>
      </c>
      <c r="BC619" s="31">
        <v>0</v>
      </c>
      <c r="BD619" s="31">
        <v>0</v>
      </c>
      <c r="BE619" s="171" t="str">
        <f t="shared" si="21"/>
        <v>立即对周围内的怪物造成180%攻击伤害+1500点固定伤害,并使目标眩晕1秒</v>
      </c>
      <c r="BF619" s="171" t="s">
        <v>1642</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25" customHeight="1">
      <c r="C620" s="21">
        <v>61011204</v>
      </c>
      <c r="D620" s="30" t="s">
        <v>538</v>
      </c>
      <c r="E620" s="30" t="s">
        <v>261</v>
      </c>
      <c r="F620" s="21">
        <v>3</v>
      </c>
      <c r="G620" s="21">
        <v>61011201</v>
      </c>
      <c r="H620" s="21">
        <v>61011205</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v>
      </c>
      <c r="Y620" s="19">
        <v>0</v>
      </c>
      <c r="Z620" s="32">
        <v>2250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1641</v>
      </c>
      <c r="AV620" s="21"/>
      <c r="AW620" s="30" t="s">
        <v>623</v>
      </c>
      <c r="AX620" s="21" t="s">
        <v>1639</v>
      </c>
      <c r="AY620" s="32">
        <v>10000007</v>
      </c>
      <c r="AZ620" s="32">
        <v>21000020</v>
      </c>
      <c r="BA620" s="30" t="s">
        <v>206</v>
      </c>
      <c r="BB620" s="21">
        <v>0</v>
      </c>
      <c r="BC620" s="31">
        <v>0</v>
      </c>
      <c r="BD620" s="31">
        <v>0</v>
      </c>
      <c r="BE620" s="171" t="str">
        <f t="shared" si="21"/>
        <v>立即对周围内的怪物造成200%攻击伤害+2250点固定伤害,并使目标眩晕1秒</v>
      </c>
      <c r="BF620" s="171" t="s">
        <v>1643</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61011205</v>
      </c>
      <c r="D621" s="30" t="s">
        <v>538</v>
      </c>
      <c r="E621" s="30" t="s">
        <v>261</v>
      </c>
      <c r="F621" s="21">
        <v>4</v>
      </c>
      <c r="G621" s="21">
        <v>61011201</v>
      </c>
      <c r="H621" s="21">
        <v>61011206</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2.2000000000000002</v>
      </c>
      <c r="Y621" s="19">
        <v>0</v>
      </c>
      <c r="Z621" s="32">
        <v>3250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1641</v>
      </c>
      <c r="AV621" s="21"/>
      <c r="AW621" s="30" t="s">
        <v>623</v>
      </c>
      <c r="AX621" s="21" t="s">
        <v>1639</v>
      </c>
      <c r="AY621" s="32">
        <v>10000007</v>
      </c>
      <c r="AZ621" s="32">
        <v>21000020</v>
      </c>
      <c r="BA621" s="30" t="s">
        <v>206</v>
      </c>
      <c r="BB621" s="21">
        <v>0</v>
      </c>
      <c r="BC621" s="31">
        <v>0</v>
      </c>
      <c r="BD621" s="31">
        <v>0</v>
      </c>
      <c r="BE621" s="171" t="str">
        <f t="shared" si="21"/>
        <v>立即对周围内的怪物造成220%攻击伤害+3250点固定伤害,并使目标眩晕1秒</v>
      </c>
      <c r="BF621" s="171" t="s">
        <v>1644</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61011206</v>
      </c>
      <c r="D622" s="30" t="s">
        <v>538</v>
      </c>
      <c r="E622" s="30" t="s">
        <v>261</v>
      </c>
      <c r="F622" s="21">
        <v>5</v>
      </c>
      <c r="G622" s="21">
        <v>61011201</v>
      </c>
      <c r="H622" s="21">
        <v>0</v>
      </c>
      <c r="I622" s="31">
        <v>1</v>
      </c>
      <c r="J622" s="21">
        <v>3</v>
      </c>
      <c r="K622" s="21">
        <v>5</v>
      </c>
      <c r="L622" s="21">
        <v>0</v>
      </c>
      <c r="M622" s="21">
        <v>0</v>
      </c>
      <c r="N622" s="21">
        <v>0</v>
      </c>
      <c r="O622" s="21">
        <v>1</v>
      </c>
      <c r="P622" s="21">
        <v>0</v>
      </c>
      <c r="Q622" s="21">
        <v>0</v>
      </c>
      <c r="R622" s="21">
        <v>0</v>
      </c>
      <c r="S622" s="19">
        <v>0</v>
      </c>
      <c r="T622" s="21">
        <v>0</v>
      </c>
      <c r="U622" s="21">
        <v>1</v>
      </c>
      <c r="V622" s="21">
        <v>2</v>
      </c>
      <c r="W622" s="21">
        <v>0</v>
      </c>
      <c r="X622" s="21">
        <v>2.4</v>
      </c>
      <c r="Y622" s="19">
        <v>0</v>
      </c>
      <c r="Z622" s="32">
        <v>4250</v>
      </c>
      <c r="AA622" s="21">
        <v>1</v>
      </c>
      <c r="AB622" s="21">
        <v>0</v>
      </c>
      <c r="AC622" s="21">
        <v>0</v>
      </c>
      <c r="AD622" s="21">
        <v>0</v>
      </c>
      <c r="AE622" s="21">
        <v>0</v>
      </c>
      <c r="AF622" s="21">
        <v>7</v>
      </c>
      <c r="AG622" s="21">
        <v>1</v>
      </c>
      <c r="AH622" s="21">
        <v>4</v>
      </c>
      <c r="AI622" s="19">
        <v>2</v>
      </c>
      <c r="AJ622" s="19">
        <v>0</v>
      </c>
      <c r="AK622" s="19">
        <v>0</v>
      </c>
      <c r="AL622" s="19">
        <v>0</v>
      </c>
      <c r="AM622" s="21">
        <v>0</v>
      </c>
      <c r="AN622" s="21">
        <v>0</v>
      </c>
      <c r="AO622" s="21">
        <v>0</v>
      </c>
      <c r="AP622" s="21">
        <v>0.25</v>
      </c>
      <c r="AQ622" s="21">
        <v>2000</v>
      </c>
      <c r="AR622" s="21">
        <v>0.2</v>
      </c>
      <c r="AS622" s="21">
        <v>0</v>
      </c>
      <c r="AT622" s="19">
        <v>0</v>
      </c>
      <c r="AU622" s="21" t="s">
        <v>1641</v>
      </c>
      <c r="AV622" s="21"/>
      <c r="AW622" s="30" t="s">
        <v>623</v>
      </c>
      <c r="AX622" s="21" t="s">
        <v>1639</v>
      </c>
      <c r="AY622" s="32">
        <v>10000007</v>
      </c>
      <c r="AZ622" s="32">
        <v>21000020</v>
      </c>
      <c r="BA622" s="30" t="s">
        <v>206</v>
      </c>
      <c r="BB622" s="21">
        <v>0</v>
      </c>
      <c r="BC622" s="31">
        <v>0</v>
      </c>
      <c r="BD622" s="31">
        <v>0</v>
      </c>
      <c r="BE622" s="171" t="str">
        <f t="shared" si="21"/>
        <v>立即对周围内的怪物造成240%攻击伤害+4250点固定伤害,并使目标眩晕1秒</v>
      </c>
      <c r="BF622" s="171" t="s">
        <v>1645</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61011301</v>
      </c>
      <c r="D623" s="30" t="s">
        <v>1376</v>
      </c>
      <c r="E623" s="30" t="s">
        <v>1646</v>
      </c>
      <c r="F623" s="21">
        <v>0</v>
      </c>
      <c r="G623" s="21">
        <v>61011301</v>
      </c>
      <c r="H623" s="21">
        <v>61011302</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1647</v>
      </c>
      <c r="AY623" s="32">
        <v>10000015</v>
      </c>
      <c r="AZ623" s="32">
        <v>21000030</v>
      </c>
      <c r="BA623" s="30" t="s">
        <v>1378</v>
      </c>
      <c r="BB623" s="21">
        <v>0</v>
      </c>
      <c r="BC623" s="31">
        <v>0</v>
      </c>
      <c r="BD623" s="31">
        <v>0</v>
      </c>
      <c r="BE623" s="171" t="str">
        <f>"立即跳跃至目标区域并对其怪物造成"&amp;X623*100&amp;"%攻击伤害+"&amp;Z623&amp;"点固定伤害,并使目标眩晕1秒"</f>
        <v>立即跳跃至目标区域并对其怪物造成200%攻击伤害+750点固定伤害,并使目标眩晕1秒</v>
      </c>
      <c r="BF623" s="171" t="s">
        <v>1648</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61011302</v>
      </c>
      <c r="D624" s="30" t="s">
        <v>1376</v>
      </c>
      <c r="E624" s="30" t="s">
        <v>1646</v>
      </c>
      <c r="F624" s="21">
        <v>1</v>
      </c>
      <c r="G624" s="21">
        <v>61011301</v>
      </c>
      <c r="H624" s="21">
        <v>61011303</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v>
      </c>
      <c r="Y624" s="19">
        <v>0</v>
      </c>
      <c r="Z624" s="32">
        <v>750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1647</v>
      </c>
      <c r="AY624" s="32">
        <v>10000015</v>
      </c>
      <c r="AZ624" s="32">
        <v>21000030</v>
      </c>
      <c r="BA624" s="30" t="s">
        <v>1378</v>
      </c>
      <c r="BB624" s="21">
        <v>0</v>
      </c>
      <c r="BC624" s="31">
        <v>0</v>
      </c>
      <c r="BD624" s="31">
        <v>0</v>
      </c>
      <c r="BE624" s="171" t="str">
        <f t="shared" ref="BE624:BE628" si="22">"立即跳跃至目标区域并对其怪物造成"&amp;X624*100&amp;"%攻击伤害+"&amp;Z624&amp;"点固定伤害,并使目标眩晕1秒"</f>
        <v>立即跳跃至目标区域并对其怪物造成200%攻击伤害+750点固定伤害,并使目标眩晕1秒</v>
      </c>
      <c r="BF624" s="171" t="s">
        <v>1648</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61011303</v>
      </c>
      <c r="D625" s="30" t="s">
        <v>1376</v>
      </c>
      <c r="E625" s="30" t="s">
        <v>1646</v>
      </c>
      <c r="F625" s="21">
        <v>2</v>
      </c>
      <c r="G625" s="21">
        <v>61011301</v>
      </c>
      <c r="H625" s="21">
        <v>61011304</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2.25</v>
      </c>
      <c r="Y625" s="19">
        <v>0</v>
      </c>
      <c r="Z625" s="32">
        <v>1500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1647</v>
      </c>
      <c r="AY625" s="32">
        <v>10000015</v>
      </c>
      <c r="AZ625" s="32">
        <v>21000030</v>
      </c>
      <c r="BA625" s="30" t="s">
        <v>1378</v>
      </c>
      <c r="BB625" s="21">
        <v>0</v>
      </c>
      <c r="BC625" s="31">
        <v>0</v>
      </c>
      <c r="BD625" s="31">
        <v>0</v>
      </c>
      <c r="BE625" s="171" t="str">
        <f t="shared" si="22"/>
        <v>立即跳跃至目标区域并对其怪物造成225%攻击伤害+1500点固定伤害,并使目标眩晕1秒</v>
      </c>
      <c r="BF625" s="171" t="s">
        <v>1649</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61011304</v>
      </c>
      <c r="D626" s="30" t="s">
        <v>1376</v>
      </c>
      <c r="E626" s="30" t="s">
        <v>1646</v>
      </c>
      <c r="F626" s="21">
        <v>3</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2.5</v>
      </c>
      <c r="Y626" s="19">
        <v>0</v>
      </c>
      <c r="Z626" s="32">
        <v>2250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1647</v>
      </c>
      <c r="AY626" s="32">
        <v>10000015</v>
      </c>
      <c r="AZ626" s="32">
        <v>21000030</v>
      </c>
      <c r="BA626" s="30" t="s">
        <v>1378</v>
      </c>
      <c r="BB626" s="21">
        <v>0</v>
      </c>
      <c r="BC626" s="31">
        <v>0</v>
      </c>
      <c r="BD626" s="31">
        <v>0</v>
      </c>
      <c r="BE626" s="171" t="str">
        <f t="shared" si="22"/>
        <v>立即跳跃至目标区域并对其怪物造成250%攻击伤害+2250点固定伤害,并使目标眩晕1秒</v>
      </c>
      <c r="BF626" s="171" t="s">
        <v>1650</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61011305</v>
      </c>
      <c r="D627" s="30" t="s">
        <v>1376</v>
      </c>
      <c r="E627" s="30" t="s">
        <v>1646</v>
      </c>
      <c r="F627" s="21">
        <v>4</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2.75</v>
      </c>
      <c r="Y627" s="19">
        <v>0</v>
      </c>
      <c r="Z627" s="32">
        <v>3250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1647</v>
      </c>
      <c r="AY627" s="32">
        <v>10000015</v>
      </c>
      <c r="AZ627" s="32">
        <v>21000030</v>
      </c>
      <c r="BA627" s="30" t="s">
        <v>1378</v>
      </c>
      <c r="BB627" s="21">
        <v>0</v>
      </c>
      <c r="BC627" s="31">
        <v>0</v>
      </c>
      <c r="BD627" s="31">
        <v>0</v>
      </c>
      <c r="BE627" s="171" t="str">
        <f t="shared" si="22"/>
        <v>立即跳跃至目标区域并对其怪物造成275%攻击伤害+3250点固定伤害,并使目标眩晕1秒</v>
      </c>
      <c r="BF627" s="171" t="s">
        <v>1651</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61011306</v>
      </c>
      <c r="D628" s="30" t="s">
        <v>1376</v>
      </c>
      <c r="E628" s="30" t="s">
        <v>1646</v>
      </c>
      <c r="F628" s="21">
        <v>5</v>
      </c>
      <c r="G628" s="21">
        <v>61011301</v>
      </c>
      <c r="H628" s="21">
        <v>0</v>
      </c>
      <c r="I628" s="31">
        <v>1</v>
      </c>
      <c r="J628" s="21">
        <v>5</v>
      </c>
      <c r="K628" s="182">
        <v>3</v>
      </c>
      <c r="L628" s="21">
        <v>0</v>
      </c>
      <c r="M628" s="21">
        <v>0</v>
      </c>
      <c r="N628" s="21">
        <v>0</v>
      </c>
      <c r="O628" s="21">
        <v>1</v>
      </c>
      <c r="P628" s="21">
        <v>0</v>
      </c>
      <c r="Q628" s="21">
        <v>0</v>
      </c>
      <c r="R628" s="21">
        <v>0</v>
      </c>
      <c r="S628" s="19">
        <v>0</v>
      </c>
      <c r="T628" s="21">
        <v>0</v>
      </c>
      <c r="U628" s="21">
        <v>1</v>
      </c>
      <c r="V628" s="21">
        <v>2</v>
      </c>
      <c r="W628" s="21">
        <v>0</v>
      </c>
      <c r="X628" s="21">
        <v>3</v>
      </c>
      <c r="Y628" s="19">
        <v>0</v>
      </c>
      <c r="Z628" s="32">
        <v>4250</v>
      </c>
      <c r="AA628" s="21">
        <v>1</v>
      </c>
      <c r="AB628" s="21">
        <v>0</v>
      </c>
      <c r="AC628" s="21">
        <v>0</v>
      </c>
      <c r="AD628" s="21">
        <v>0</v>
      </c>
      <c r="AE628" s="21">
        <v>0</v>
      </c>
      <c r="AF628" s="21">
        <v>9</v>
      </c>
      <c r="AG628" s="21">
        <v>1</v>
      </c>
      <c r="AH628" s="21" t="s">
        <v>867</v>
      </c>
      <c r="AI628" s="19">
        <v>2</v>
      </c>
      <c r="AJ628" s="19">
        <v>1</v>
      </c>
      <c r="AK628" s="19">
        <v>0</v>
      </c>
      <c r="AL628" s="19">
        <v>6</v>
      </c>
      <c r="AM628" s="21">
        <v>0</v>
      </c>
      <c r="AN628" s="21">
        <v>0</v>
      </c>
      <c r="AO628" s="21">
        <v>0</v>
      </c>
      <c r="AP628" s="21">
        <v>0.5</v>
      </c>
      <c r="AQ628" s="21">
        <v>2000</v>
      </c>
      <c r="AR628" s="21">
        <v>0.4</v>
      </c>
      <c r="AS628" s="21">
        <v>0</v>
      </c>
      <c r="AT628" s="19">
        <v>0</v>
      </c>
      <c r="AU628" s="21">
        <v>90001037</v>
      </c>
      <c r="AV628" s="21"/>
      <c r="AW628" s="30" t="s">
        <v>768</v>
      </c>
      <c r="AX628" s="21" t="s">
        <v>1647</v>
      </c>
      <c r="AY628" s="32">
        <v>10000015</v>
      </c>
      <c r="AZ628" s="32">
        <v>21000030</v>
      </c>
      <c r="BA628" s="30" t="s">
        <v>1378</v>
      </c>
      <c r="BB628" s="21">
        <v>0</v>
      </c>
      <c r="BC628" s="31">
        <v>0</v>
      </c>
      <c r="BD628" s="31">
        <v>0</v>
      </c>
      <c r="BE628" s="171" t="str">
        <f t="shared" si="22"/>
        <v>立即跳跃至目标区域并对其怪物造成300%攻击伤害+4250点固定伤害,并使目标眩晕1秒</v>
      </c>
      <c r="BF628" s="171" t="s">
        <v>1652</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61012101</v>
      </c>
      <c r="D629" s="30" t="s">
        <v>1653</v>
      </c>
      <c r="E629" s="30" t="s">
        <v>1654</v>
      </c>
      <c r="F629" s="21">
        <v>0</v>
      </c>
      <c r="G629" s="21">
        <v>61012101</v>
      </c>
      <c r="H629" s="21">
        <v>61012102</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1655</v>
      </c>
      <c r="AI629" s="19">
        <v>2</v>
      </c>
      <c r="AJ629" s="19">
        <v>2</v>
      </c>
      <c r="AK629" s="19">
        <v>0</v>
      </c>
      <c r="AL629" s="19">
        <v>1.5</v>
      </c>
      <c r="AM629" s="21">
        <v>0</v>
      </c>
      <c r="AN629" s="21">
        <v>0</v>
      </c>
      <c r="AO629" s="21">
        <v>0</v>
      </c>
      <c r="AP629" s="21">
        <v>0.5</v>
      </c>
      <c r="AQ629" s="21">
        <v>2000</v>
      </c>
      <c r="AR629" s="21">
        <v>0.5</v>
      </c>
      <c r="AS629" s="21">
        <v>0</v>
      </c>
      <c r="AT629" s="19">
        <v>0</v>
      </c>
      <c r="AU629" s="337" t="s">
        <v>5756</v>
      </c>
      <c r="AV629" s="21"/>
      <c r="AW629" s="30" t="s">
        <v>293</v>
      </c>
      <c r="AX629" s="21" t="s">
        <v>1656</v>
      </c>
      <c r="AY629" s="32">
        <v>10001007</v>
      </c>
      <c r="AZ629" s="32">
        <v>21000010</v>
      </c>
      <c r="BA629" s="30" t="s">
        <v>206</v>
      </c>
      <c r="BB629" s="21">
        <v>0</v>
      </c>
      <c r="BC629" s="31">
        <v>0</v>
      </c>
      <c r="BD629" s="31">
        <v>0</v>
      </c>
      <c r="BE629" s="171" t="str">
        <f>"立即对目标范围内的怪物造成"&amp;X629*100&amp;"%攻击伤害+"&amp;Z629&amp;"点固定伤害,并使目标速度降低50%和受到伤害增加30%,持续3秒"</f>
        <v>立即对目标范围内的怪物造成225%攻击伤害+750点固定伤害,并使目标速度降低50%和受到伤害增加30%,持续3秒</v>
      </c>
      <c r="BF629" s="171" t="s">
        <v>5757</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61012102</v>
      </c>
      <c r="D630" s="30" t="s">
        <v>1653</v>
      </c>
      <c r="E630" s="30" t="s">
        <v>1654</v>
      </c>
      <c r="F630" s="21">
        <v>1</v>
      </c>
      <c r="G630" s="21">
        <v>61012101</v>
      </c>
      <c r="H630" s="21">
        <v>61012103</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2.25</v>
      </c>
      <c r="Y630" s="19">
        <v>0</v>
      </c>
      <c r="Z630" s="32">
        <v>750</v>
      </c>
      <c r="AA630" s="21">
        <v>0</v>
      </c>
      <c r="AB630" s="21">
        <v>0</v>
      </c>
      <c r="AC630" s="21">
        <v>0</v>
      </c>
      <c r="AD630" s="21">
        <v>0</v>
      </c>
      <c r="AE630" s="21">
        <v>0</v>
      </c>
      <c r="AF630" s="21">
        <v>9</v>
      </c>
      <c r="AG630" s="21">
        <v>2</v>
      </c>
      <c r="AH630" s="21" t="s">
        <v>1655</v>
      </c>
      <c r="AI630" s="19">
        <v>2</v>
      </c>
      <c r="AJ630" s="19">
        <v>2</v>
      </c>
      <c r="AK630" s="19">
        <v>0</v>
      </c>
      <c r="AL630" s="19">
        <v>1.5</v>
      </c>
      <c r="AM630" s="21">
        <v>0</v>
      </c>
      <c r="AN630" s="21">
        <v>0</v>
      </c>
      <c r="AO630" s="21">
        <v>0</v>
      </c>
      <c r="AP630" s="21">
        <v>0.5</v>
      </c>
      <c r="AQ630" s="21">
        <v>2000</v>
      </c>
      <c r="AR630" s="21">
        <v>0.5</v>
      </c>
      <c r="AS630" s="21">
        <v>0</v>
      </c>
      <c r="AT630" s="19">
        <v>0</v>
      </c>
      <c r="AU630" s="337" t="s">
        <v>5756</v>
      </c>
      <c r="AV630" s="21"/>
      <c r="AW630" s="30" t="s">
        <v>293</v>
      </c>
      <c r="AX630" s="21" t="s">
        <v>1656</v>
      </c>
      <c r="AY630" s="32">
        <v>10001007</v>
      </c>
      <c r="AZ630" s="32">
        <v>21000010</v>
      </c>
      <c r="BA630" s="30" t="s">
        <v>206</v>
      </c>
      <c r="BB630" s="21">
        <v>0</v>
      </c>
      <c r="BC630" s="31">
        <v>0</v>
      </c>
      <c r="BD630" s="31">
        <v>0</v>
      </c>
      <c r="BE630" s="171" t="str">
        <f t="shared" ref="BE630:BE634" si="23">"立即对目标范围内的怪物造成"&amp;X630*100&amp;"%攻击伤害+"&amp;Z630&amp;"点固定伤害,并使目标速度降低50%和受到伤害增加30%,持续3秒"</f>
        <v>立即对目标范围内的怪物造成225%攻击伤害+750点固定伤害,并使目标速度降低50%和受到伤害增加30%,持续3秒</v>
      </c>
      <c r="BF630" s="171" t="s">
        <v>5757</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61012103</v>
      </c>
      <c r="D631" s="30" t="s">
        <v>1653</v>
      </c>
      <c r="E631" s="30" t="s">
        <v>1654</v>
      </c>
      <c r="F631" s="21">
        <v>2</v>
      </c>
      <c r="G631" s="21">
        <v>61012101</v>
      </c>
      <c r="H631" s="21">
        <v>61012104</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2.5</v>
      </c>
      <c r="Y631" s="19">
        <v>0</v>
      </c>
      <c r="Z631" s="32">
        <v>1500</v>
      </c>
      <c r="AA631" s="21">
        <v>0</v>
      </c>
      <c r="AB631" s="21">
        <v>0</v>
      </c>
      <c r="AC631" s="21">
        <v>0</v>
      </c>
      <c r="AD631" s="21">
        <v>0</v>
      </c>
      <c r="AE631" s="21">
        <v>0</v>
      </c>
      <c r="AF631" s="21">
        <v>9</v>
      </c>
      <c r="AG631" s="21">
        <v>2</v>
      </c>
      <c r="AH631" s="21" t="s">
        <v>1655</v>
      </c>
      <c r="AI631" s="19">
        <v>2</v>
      </c>
      <c r="AJ631" s="19">
        <v>2</v>
      </c>
      <c r="AK631" s="19">
        <v>0</v>
      </c>
      <c r="AL631" s="19">
        <v>1.5</v>
      </c>
      <c r="AM631" s="21">
        <v>0</v>
      </c>
      <c r="AN631" s="21">
        <v>0</v>
      </c>
      <c r="AO631" s="21">
        <v>0</v>
      </c>
      <c r="AP631" s="21">
        <v>0.5</v>
      </c>
      <c r="AQ631" s="21">
        <v>2000</v>
      </c>
      <c r="AR631" s="21">
        <v>0.5</v>
      </c>
      <c r="AS631" s="21">
        <v>0</v>
      </c>
      <c r="AT631" s="19">
        <v>0</v>
      </c>
      <c r="AU631" s="337" t="s">
        <v>5756</v>
      </c>
      <c r="AV631" s="21"/>
      <c r="AW631" s="30" t="s">
        <v>293</v>
      </c>
      <c r="AX631" s="21" t="s">
        <v>1656</v>
      </c>
      <c r="AY631" s="32">
        <v>10001007</v>
      </c>
      <c r="AZ631" s="32">
        <v>21000010</v>
      </c>
      <c r="BA631" s="30" t="s">
        <v>206</v>
      </c>
      <c r="BB631" s="21">
        <v>0</v>
      </c>
      <c r="BC631" s="31">
        <v>0</v>
      </c>
      <c r="BD631" s="31">
        <v>0</v>
      </c>
      <c r="BE631" s="171" t="str">
        <f t="shared" si="23"/>
        <v>立即对目标范围内的怪物造成250%攻击伤害+1500点固定伤害,并使目标速度降低50%和受到伤害增加30%,持续3秒</v>
      </c>
      <c r="BF631" s="171" t="s">
        <v>5758</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61012104</v>
      </c>
      <c r="D632" s="30" t="s">
        <v>1653</v>
      </c>
      <c r="E632" s="30" t="s">
        <v>1654</v>
      </c>
      <c r="F632" s="21">
        <v>3</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2.75</v>
      </c>
      <c r="Y632" s="19">
        <v>0</v>
      </c>
      <c r="Z632" s="32">
        <v>2250</v>
      </c>
      <c r="AA632" s="21">
        <v>0</v>
      </c>
      <c r="AB632" s="21">
        <v>0</v>
      </c>
      <c r="AC632" s="21">
        <v>0</v>
      </c>
      <c r="AD632" s="21">
        <v>0</v>
      </c>
      <c r="AE632" s="21">
        <v>0</v>
      </c>
      <c r="AF632" s="21">
        <v>9</v>
      </c>
      <c r="AG632" s="21">
        <v>2</v>
      </c>
      <c r="AH632" s="21" t="s">
        <v>1655</v>
      </c>
      <c r="AI632" s="19">
        <v>2</v>
      </c>
      <c r="AJ632" s="19">
        <v>2</v>
      </c>
      <c r="AK632" s="19">
        <v>0</v>
      </c>
      <c r="AL632" s="19">
        <v>1.5</v>
      </c>
      <c r="AM632" s="21">
        <v>0</v>
      </c>
      <c r="AN632" s="21">
        <v>0</v>
      </c>
      <c r="AO632" s="21">
        <v>0</v>
      </c>
      <c r="AP632" s="21">
        <v>0.5</v>
      </c>
      <c r="AQ632" s="21">
        <v>2000</v>
      </c>
      <c r="AR632" s="21">
        <v>0.5</v>
      </c>
      <c r="AS632" s="21">
        <v>0</v>
      </c>
      <c r="AT632" s="19">
        <v>0</v>
      </c>
      <c r="AU632" s="337" t="s">
        <v>5756</v>
      </c>
      <c r="AV632" s="21"/>
      <c r="AW632" s="30" t="s">
        <v>293</v>
      </c>
      <c r="AX632" s="21" t="s">
        <v>1656</v>
      </c>
      <c r="AY632" s="32">
        <v>10001007</v>
      </c>
      <c r="AZ632" s="32">
        <v>21000010</v>
      </c>
      <c r="BA632" s="30" t="s">
        <v>206</v>
      </c>
      <c r="BB632" s="21">
        <v>0</v>
      </c>
      <c r="BC632" s="31">
        <v>0</v>
      </c>
      <c r="BD632" s="31">
        <v>0</v>
      </c>
      <c r="BE632" s="171" t="str">
        <f t="shared" si="23"/>
        <v>立即对目标范围内的怪物造成275%攻击伤害+2250点固定伤害,并使目标速度降低50%和受到伤害增加30%,持续3秒</v>
      </c>
      <c r="BF632" s="171" t="s">
        <v>5759</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61012105</v>
      </c>
      <c r="D633" s="30" t="s">
        <v>1653</v>
      </c>
      <c r="E633" s="30" t="s">
        <v>1654</v>
      </c>
      <c r="F633" s="21">
        <v>4</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v>
      </c>
      <c r="Y633" s="19">
        <v>0</v>
      </c>
      <c r="Z633" s="32">
        <v>3250</v>
      </c>
      <c r="AA633" s="21">
        <v>0</v>
      </c>
      <c r="AB633" s="21">
        <v>0</v>
      </c>
      <c r="AC633" s="21">
        <v>0</v>
      </c>
      <c r="AD633" s="21">
        <v>0</v>
      </c>
      <c r="AE633" s="21">
        <v>0</v>
      </c>
      <c r="AF633" s="21">
        <v>9</v>
      </c>
      <c r="AG633" s="21">
        <v>2</v>
      </c>
      <c r="AH633" s="21" t="s">
        <v>1655</v>
      </c>
      <c r="AI633" s="19">
        <v>2</v>
      </c>
      <c r="AJ633" s="19">
        <v>2</v>
      </c>
      <c r="AK633" s="19">
        <v>0</v>
      </c>
      <c r="AL633" s="19">
        <v>1.5</v>
      </c>
      <c r="AM633" s="21">
        <v>0</v>
      </c>
      <c r="AN633" s="21">
        <v>0</v>
      </c>
      <c r="AO633" s="21">
        <v>0</v>
      </c>
      <c r="AP633" s="21">
        <v>0.5</v>
      </c>
      <c r="AQ633" s="21">
        <v>2000</v>
      </c>
      <c r="AR633" s="21">
        <v>0.5</v>
      </c>
      <c r="AS633" s="21">
        <v>0</v>
      </c>
      <c r="AT633" s="19">
        <v>0</v>
      </c>
      <c r="AU633" s="337" t="s">
        <v>5756</v>
      </c>
      <c r="AV633" s="21"/>
      <c r="AW633" s="30" t="s">
        <v>293</v>
      </c>
      <c r="AX633" s="21" t="s">
        <v>1656</v>
      </c>
      <c r="AY633" s="32">
        <v>10001007</v>
      </c>
      <c r="AZ633" s="32">
        <v>21000010</v>
      </c>
      <c r="BA633" s="30" t="s">
        <v>206</v>
      </c>
      <c r="BB633" s="21">
        <v>0</v>
      </c>
      <c r="BC633" s="31">
        <v>0</v>
      </c>
      <c r="BD633" s="31">
        <v>0</v>
      </c>
      <c r="BE633" s="171" t="str">
        <f t="shared" si="23"/>
        <v>立即对目标范围内的怪物造成300%攻击伤害+3250点固定伤害,并使目标速度降低50%和受到伤害增加30%,持续3秒</v>
      </c>
      <c r="BF633" s="171" t="s">
        <v>5760</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61012106</v>
      </c>
      <c r="D634" s="30" t="s">
        <v>1653</v>
      </c>
      <c r="E634" s="30" t="s">
        <v>1654</v>
      </c>
      <c r="F634" s="21">
        <v>5</v>
      </c>
      <c r="G634" s="21">
        <v>61012101</v>
      </c>
      <c r="H634" s="21">
        <v>0</v>
      </c>
      <c r="I634" s="31">
        <v>2</v>
      </c>
      <c r="J634" s="21">
        <v>1</v>
      </c>
      <c r="K634" s="21">
        <v>3</v>
      </c>
      <c r="L634" s="21">
        <v>0</v>
      </c>
      <c r="M634" s="21">
        <v>0</v>
      </c>
      <c r="N634" s="21">
        <v>0</v>
      </c>
      <c r="O634" s="21">
        <v>1</v>
      </c>
      <c r="P634" s="21">
        <v>0</v>
      </c>
      <c r="Q634" s="21">
        <v>0</v>
      </c>
      <c r="R634" s="21">
        <v>0</v>
      </c>
      <c r="S634" s="19">
        <v>0</v>
      </c>
      <c r="T634" s="21">
        <v>0</v>
      </c>
      <c r="U634" s="21">
        <v>1</v>
      </c>
      <c r="V634" s="21">
        <v>2</v>
      </c>
      <c r="W634" s="21">
        <v>0</v>
      </c>
      <c r="X634" s="21">
        <v>3.25</v>
      </c>
      <c r="Y634" s="19">
        <v>0</v>
      </c>
      <c r="Z634" s="32">
        <v>4250</v>
      </c>
      <c r="AA634" s="21">
        <v>0</v>
      </c>
      <c r="AB634" s="21">
        <v>0</v>
      </c>
      <c r="AC634" s="21">
        <v>0</v>
      </c>
      <c r="AD634" s="21">
        <v>0</v>
      </c>
      <c r="AE634" s="21">
        <v>0</v>
      </c>
      <c r="AF634" s="21">
        <v>9</v>
      </c>
      <c r="AG634" s="21">
        <v>2</v>
      </c>
      <c r="AH634" s="21" t="s">
        <v>1655</v>
      </c>
      <c r="AI634" s="19">
        <v>2</v>
      </c>
      <c r="AJ634" s="19">
        <v>2</v>
      </c>
      <c r="AK634" s="19">
        <v>0</v>
      </c>
      <c r="AL634" s="19">
        <v>1.5</v>
      </c>
      <c r="AM634" s="21">
        <v>0</v>
      </c>
      <c r="AN634" s="21">
        <v>0</v>
      </c>
      <c r="AO634" s="21">
        <v>0</v>
      </c>
      <c r="AP634" s="21">
        <v>0.5</v>
      </c>
      <c r="AQ634" s="21">
        <v>2000</v>
      </c>
      <c r="AR634" s="21">
        <v>0.5</v>
      </c>
      <c r="AS634" s="21">
        <v>0</v>
      </c>
      <c r="AT634" s="19">
        <v>0</v>
      </c>
      <c r="AU634" s="337" t="s">
        <v>5756</v>
      </c>
      <c r="AV634" s="21"/>
      <c r="AW634" s="30" t="s">
        <v>293</v>
      </c>
      <c r="AX634" s="21" t="s">
        <v>1656</v>
      </c>
      <c r="AY634" s="32">
        <v>10001007</v>
      </c>
      <c r="AZ634" s="32">
        <v>21000010</v>
      </c>
      <c r="BA634" s="30" t="s">
        <v>206</v>
      </c>
      <c r="BB634" s="21">
        <v>0</v>
      </c>
      <c r="BC634" s="31">
        <v>0</v>
      </c>
      <c r="BD634" s="31">
        <v>0</v>
      </c>
      <c r="BE634" s="171" t="str">
        <f t="shared" si="23"/>
        <v>立即对目标范围内的怪物造成325%攻击伤害+4250点固定伤害,并使目标速度降低50%和受到伤害增加30%,持续3秒</v>
      </c>
      <c r="BF634" s="171" t="s">
        <v>5761</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61012201</v>
      </c>
      <c r="D635" s="30" t="s">
        <v>260</v>
      </c>
      <c r="E635" s="30" t="s">
        <v>261</v>
      </c>
      <c r="F635" s="21">
        <v>0</v>
      </c>
      <c r="G635" s="21">
        <v>61012201</v>
      </c>
      <c r="H635" s="21">
        <v>61012202</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1657</v>
      </c>
      <c r="AX635" s="21" t="s">
        <v>540</v>
      </c>
      <c r="AY635" s="32">
        <v>10000001</v>
      </c>
      <c r="AZ635" s="32">
        <v>21000120</v>
      </c>
      <c r="BA635" s="30" t="s">
        <v>1171</v>
      </c>
      <c r="BB635" s="21">
        <v>0</v>
      </c>
      <c r="BC635" s="31">
        <v>0</v>
      </c>
      <c r="BD635" s="31">
        <v>0</v>
      </c>
      <c r="BE635" s="171" t="str">
        <f>"每秒对周围的怪物造成"&amp;X635*100&amp;"%攻击伤害+"&amp;Z635&amp;"点固定伤害.持续4秒并使自身免疫怪物攻击"</f>
        <v>每秒对周围的怪物造成100%攻击伤害+300点固定伤害.持续4秒并使自身免疫怪物攻击</v>
      </c>
      <c r="BF635" s="171" t="s">
        <v>1658</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61012202</v>
      </c>
      <c r="D636" s="30" t="s">
        <v>260</v>
      </c>
      <c r="E636" s="30" t="s">
        <v>261</v>
      </c>
      <c r="F636" s="21">
        <v>1</v>
      </c>
      <c r="G636" s="21">
        <v>61012201</v>
      </c>
      <c r="H636" s="21">
        <v>61012203</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1.1000000000000001</v>
      </c>
      <c r="Y636" s="19">
        <v>0</v>
      </c>
      <c r="Z636" s="21">
        <v>300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1657</v>
      </c>
      <c r="AX636" s="21" t="s">
        <v>540</v>
      </c>
      <c r="AY636" s="32">
        <v>10000001</v>
      </c>
      <c r="AZ636" s="32">
        <v>21000120</v>
      </c>
      <c r="BA636" s="30" t="s">
        <v>1171</v>
      </c>
      <c r="BB636" s="21">
        <v>0</v>
      </c>
      <c r="BC636" s="31">
        <v>0</v>
      </c>
      <c r="BD636" s="31">
        <v>0</v>
      </c>
      <c r="BE636" s="171" t="str">
        <f t="shared" ref="BE636:BE640" si="24">"每秒对周围的怪物造成"&amp;X636*100&amp;"%攻击伤害+"&amp;Z636&amp;"点固定伤害.持续4秒并使自身免疫怪物攻击"</f>
        <v>每秒对周围的怪物造成110%攻击伤害+300点固定伤害.持续4秒并使自身免疫怪物攻击</v>
      </c>
      <c r="BF636" s="171" t="s">
        <v>1659</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61012203</v>
      </c>
      <c r="D637" s="30" t="s">
        <v>260</v>
      </c>
      <c r="E637" s="30" t="s">
        <v>261</v>
      </c>
      <c r="F637" s="21">
        <v>2</v>
      </c>
      <c r="G637" s="21">
        <v>61012201</v>
      </c>
      <c r="H637" s="21">
        <v>61012204</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1.2</v>
      </c>
      <c r="Y637" s="19">
        <v>0</v>
      </c>
      <c r="Z637" s="21">
        <v>450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1657</v>
      </c>
      <c r="AX637" s="21" t="s">
        <v>540</v>
      </c>
      <c r="AY637" s="32">
        <v>10000001</v>
      </c>
      <c r="AZ637" s="32">
        <v>21000120</v>
      </c>
      <c r="BA637" s="30" t="s">
        <v>1171</v>
      </c>
      <c r="BB637" s="21">
        <v>0</v>
      </c>
      <c r="BC637" s="31">
        <v>0</v>
      </c>
      <c r="BD637" s="31">
        <v>0</v>
      </c>
      <c r="BE637" s="171" t="str">
        <f t="shared" si="24"/>
        <v>每秒对周围的怪物造成120%攻击伤害+450点固定伤害.持续4秒并使自身免疫怪物攻击</v>
      </c>
      <c r="BF637" s="171" t="s">
        <v>1660</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61012204</v>
      </c>
      <c r="D638" s="30" t="s">
        <v>260</v>
      </c>
      <c r="E638" s="30" t="s">
        <v>261</v>
      </c>
      <c r="F638" s="21">
        <v>3</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1.3</v>
      </c>
      <c r="Y638" s="19">
        <v>0</v>
      </c>
      <c r="Z638" s="21">
        <v>750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1657</v>
      </c>
      <c r="AX638" s="21" t="s">
        <v>540</v>
      </c>
      <c r="AY638" s="32">
        <v>10000001</v>
      </c>
      <c r="AZ638" s="32">
        <v>21000120</v>
      </c>
      <c r="BA638" s="30" t="s">
        <v>1171</v>
      </c>
      <c r="BB638" s="21">
        <v>0</v>
      </c>
      <c r="BC638" s="31">
        <v>0</v>
      </c>
      <c r="BD638" s="31">
        <v>0</v>
      </c>
      <c r="BE638" s="171" t="str">
        <f t="shared" si="24"/>
        <v>每秒对周围的怪物造成130%攻击伤害+750点固定伤害.持续4秒并使自身免疫怪物攻击</v>
      </c>
      <c r="BF638" s="171" t="s">
        <v>1661</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61012205</v>
      </c>
      <c r="D639" s="30" t="s">
        <v>260</v>
      </c>
      <c r="E639" s="30" t="s">
        <v>261</v>
      </c>
      <c r="F639" s="21">
        <v>4</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1.4</v>
      </c>
      <c r="Y639" s="19">
        <v>0</v>
      </c>
      <c r="Z639" s="21">
        <v>1050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1657</v>
      </c>
      <c r="AX639" s="21" t="s">
        <v>540</v>
      </c>
      <c r="AY639" s="32">
        <v>10000001</v>
      </c>
      <c r="AZ639" s="32">
        <v>21000120</v>
      </c>
      <c r="BA639" s="30" t="s">
        <v>1171</v>
      </c>
      <c r="BB639" s="21">
        <v>0</v>
      </c>
      <c r="BC639" s="31">
        <v>0</v>
      </c>
      <c r="BD639" s="31">
        <v>0</v>
      </c>
      <c r="BE639" s="171" t="str">
        <f t="shared" si="24"/>
        <v>每秒对周围的怪物造成140%攻击伤害+1050点固定伤害.持续4秒并使自身免疫怪物攻击</v>
      </c>
      <c r="BF639" s="171" t="s">
        <v>1662</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61012206</v>
      </c>
      <c r="D640" s="30" t="s">
        <v>260</v>
      </c>
      <c r="E640" s="30" t="s">
        <v>261</v>
      </c>
      <c r="F640" s="21">
        <v>5</v>
      </c>
      <c r="G640" s="21">
        <v>61012201</v>
      </c>
      <c r="H640" s="21">
        <v>0</v>
      </c>
      <c r="I640" s="31">
        <v>2</v>
      </c>
      <c r="J640" s="21">
        <v>3</v>
      </c>
      <c r="K640" s="21">
        <v>0</v>
      </c>
      <c r="L640" s="21">
        <v>0</v>
      </c>
      <c r="M640" s="21">
        <v>0</v>
      </c>
      <c r="N640" s="21">
        <v>0</v>
      </c>
      <c r="O640" s="21">
        <v>1</v>
      </c>
      <c r="P640" s="21">
        <v>0</v>
      </c>
      <c r="Q640" s="21">
        <v>0</v>
      </c>
      <c r="R640" s="21">
        <v>0</v>
      </c>
      <c r="S640" s="19">
        <v>0</v>
      </c>
      <c r="T640" s="21">
        <v>0</v>
      </c>
      <c r="U640" s="21">
        <v>1</v>
      </c>
      <c r="V640" s="21">
        <v>2</v>
      </c>
      <c r="W640" s="21">
        <v>0</v>
      </c>
      <c r="X640" s="21">
        <v>1.5</v>
      </c>
      <c r="Y640" s="19">
        <v>0</v>
      </c>
      <c r="Z640" s="21">
        <v>1500</v>
      </c>
      <c r="AA640" s="21">
        <v>1</v>
      </c>
      <c r="AB640" s="21">
        <v>0</v>
      </c>
      <c r="AC640" s="21">
        <v>0</v>
      </c>
      <c r="AD640" s="21">
        <v>0</v>
      </c>
      <c r="AE640" s="21">
        <v>0</v>
      </c>
      <c r="AF640" s="21">
        <v>13</v>
      </c>
      <c r="AG640" s="21">
        <v>1</v>
      </c>
      <c r="AH640" s="21" t="s">
        <v>1170</v>
      </c>
      <c r="AI640" s="19">
        <v>2</v>
      </c>
      <c r="AJ640" s="19">
        <v>0</v>
      </c>
      <c r="AK640" s="19">
        <v>0</v>
      </c>
      <c r="AL640" s="19">
        <v>0</v>
      </c>
      <c r="AM640" s="21">
        <v>0</v>
      </c>
      <c r="AN640" s="21">
        <v>0</v>
      </c>
      <c r="AO640" s="21">
        <v>0</v>
      </c>
      <c r="AP640" s="21">
        <v>0</v>
      </c>
      <c r="AQ640" s="21">
        <v>3000</v>
      </c>
      <c r="AR640" s="21">
        <v>0</v>
      </c>
      <c r="AS640" s="21">
        <v>0</v>
      </c>
      <c r="AT640" s="19">
        <v>90001035</v>
      </c>
      <c r="AU640" s="21" t="s">
        <v>204</v>
      </c>
      <c r="AV640" s="21"/>
      <c r="AW640" s="30" t="s">
        <v>1657</v>
      </c>
      <c r="AX640" s="21" t="s">
        <v>540</v>
      </c>
      <c r="AY640" s="32">
        <v>10000001</v>
      </c>
      <c r="AZ640" s="32">
        <v>21000120</v>
      </c>
      <c r="BA640" s="30" t="s">
        <v>1171</v>
      </c>
      <c r="BB640" s="21">
        <v>0</v>
      </c>
      <c r="BC640" s="31">
        <v>0</v>
      </c>
      <c r="BD640" s="31">
        <v>0</v>
      </c>
      <c r="BE640" s="171" t="str">
        <f t="shared" si="24"/>
        <v>每秒对周围的怪物造成150%攻击伤害+1500点固定伤害.持续4秒并使自身免疫怪物攻击</v>
      </c>
      <c r="BF640" s="171" t="s">
        <v>1663</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61012301</v>
      </c>
      <c r="D641" s="30" t="s">
        <v>1664</v>
      </c>
      <c r="E641" s="30" t="s">
        <v>1665</v>
      </c>
      <c r="F641" s="21">
        <v>0</v>
      </c>
      <c r="G641" s="21">
        <v>61012301</v>
      </c>
      <c r="H641" s="21">
        <v>61012302</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29" t="s">
        <v>1666</v>
      </c>
      <c r="AU641" s="337" t="s">
        <v>1667</v>
      </c>
      <c r="AV641" s="21"/>
      <c r="AW641" s="30" t="s">
        <v>220</v>
      </c>
      <c r="AX641" s="21" t="s">
        <v>221</v>
      </c>
      <c r="AY641" s="32">
        <v>10000011</v>
      </c>
      <c r="AZ641" s="32">
        <v>21000130</v>
      </c>
      <c r="BA641" s="30" t="s">
        <v>222</v>
      </c>
      <c r="BB641" s="21">
        <v>1</v>
      </c>
      <c r="BC641" s="31">
        <v>0</v>
      </c>
      <c r="BD641" s="31">
        <v>0</v>
      </c>
      <c r="BE641" s="171" t="str">
        <f>"立即冲锋至目标区域并对其怪物造成"&amp;X641*100&amp;"%攻击伤害+"&amp;Z641&amp;"点固定伤害,并使自身无敌1秒和将对方眩晕1秒,且对目标造成易伤效果,使其受到伤害提升20%,持续3秒"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1" s="171" t="s">
        <v>1668</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61012302</v>
      </c>
      <c r="D642" s="30" t="s">
        <v>1664</v>
      </c>
      <c r="E642" s="30" t="s">
        <v>1665</v>
      </c>
      <c r="F642" s="21">
        <v>1</v>
      </c>
      <c r="G642" s="21">
        <v>61012301</v>
      </c>
      <c r="H642" s="21">
        <v>61012303</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1.6</v>
      </c>
      <c r="Y642" s="19">
        <v>0</v>
      </c>
      <c r="Z642" s="32">
        <v>750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29" t="s">
        <v>1666</v>
      </c>
      <c r="AU642" s="337" t="s">
        <v>1667</v>
      </c>
      <c r="AV642" s="21"/>
      <c r="AW642" s="30" t="s">
        <v>220</v>
      </c>
      <c r="AX642" s="21" t="s">
        <v>221</v>
      </c>
      <c r="AY642" s="32">
        <v>10000011</v>
      </c>
      <c r="AZ642" s="32">
        <v>21000130</v>
      </c>
      <c r="BA642" s="30" t="s">
        <v>222</v>
      </c>
      <c r="BB642" s="21">
        <v>1</v>
      </c>
      <c r="BC642" s="31">
        <v>0</v>
      </c>
      <c r="BD642" s="31">
        <v>0</v>
      </c>
      <c r="BE642" s="171" t="str">
        <f t="shared" ref="BE642:BE646" si="25">"立即冲锋至目标区域并对其怪物造成"&amp;X642*100&amp;"%攻击伤害+"&amp;Z642&amp;"点固定伤害,并使自身无敌1秒和将对方眩晕1秒,且对目标造成易伤效果,使其受到伤害提升20%,持续3秒"</f>
        <v>立即冲锋至目标区域并对其怪物造成160%攻击伤害+750点固定伤害,并使自身无敌1秒和将对方眩晕1秒,且对目标造成易伤效果,使其受到伤害提升20%,持续3秒</v>
      </c>
      <c r="BF642" s="171" t="s">
        <v>1668</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61012303</v>
      </c>
      <c r="D643" s="30" t="s">
        <v>1664</v>
      </c>
      <c r="E643" s="30" t="s">
        <v>1665</v>
      </c>
      <c r="F643" s="21">
        <v>2</v>
      </c>
      <c r="G643" s="21">
        <v>61012301</v>
      </c>
      <c r="H643" s="21">
        <v>61012304</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1.8</v>
      </c>
      <c r="Y643" s="19">
        <v>0</v>
      </c>
      <c r="Z643" s="32">
        <v>1500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29" t="s">
        <v>1666</v>
      </c>
      <c r="AU643" s="337" t="s">
        <v>1667</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立即冲锋至目标区域并对其怪物造成180%攻击伤害+1500点固定伤害,并使自身无敌1秒和将对方眩晕1秒,且对目标造成易伤效果,使其受到伤害提升20%,持续3秒</v>
      </c>
      <c r="BF643" s="171" t="s">
        <v>1669</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61012304</v>
      </c>
      <c r="D644" s="30" t="s">
        <v>1664</v>
      </c>
      <c r="E644" s="30" t="s">
        <v>1665</v>
      </c>
      <c r="F644" s="21">
        <v>3</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v>
      </c>
      <c r="Y644" s="19">
        <v>0</v>
      </c>
      <c r="Z644" s="32">
        <v>2250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29" t="s">
        <v>1666</v>
      </c>
      <c r="AU644" s="337" t="s">
        <v>1667</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立即冲锋至目标区域并对其怪物造成200%攻击伤害+2250点固定伤害,并使自身无敌1秒和将对方眩晕1秒,且对目标造成易伤效果,使其受到伤害提升20%,持续3秒</v>
      </c>
      <c r="BF644" s="171" t="s">
        <v>1670</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61012305</v>
      </c>
      <c r="D645" s="30" t="s">
        <v>1664</v>
      </c>
      <c r="E645" s="30" t="s">
        <v>1665</v>
      </c>
      <c r="F645" s="21">
        <v>4</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2.2000000000000002</v>
      </c>
      <c r="Y645" s="19">
        <v>0</v>
      </c>
      <c r="Z645" s="32">
        <v>3250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29" t="s">
        <v>1666</v>
      </c>
      <c r="AU645" s="337" t="s">
        <v>1667</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立即冲锋至目标区域并对其怪物造成220%攻击伤害+3250点固定伤害,并使自身无敌1秒和将对方眩晕1秒,且对目标造成易伤效果,使其受到伤害提升20%,持续3秒</v>
      </c>
      <c r="BF645" s="171" t="s">
        <v>1671</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21">
        <v>61012306</v>
      </c>
      <c r="D646" s="30" t="s">
        <v>1664</v>
      </c>
      <c r="E646" s="30" t="s">
        <v>1665</v>
      </c>
      <c r="F646" s="21">
        <v>5</v>
      </c>
      <c r="G646" s="21">
        <v>61012301</v>
      </c>
      <c r="H646" s="21">
        <v>0</v>
      </c>
      <c r="I646" s="31">
        <v>2</v>
      </c>
      <c r="J646" s="21">
        <v>5</v>
      </c>
      <c r="K646" s="21">
        <v>3</v>
      </c>
      <c r="L646" s="21">
        <v>0</v>
      </c>
      <c r="M646" s="21">
        <v>0</v>
      </c>
      <c r="N646" s="21">
        <v>0</v>
      </c>
      <c r="O646" s="21">
        <v>1</v>
      </c>
      <c r="P646" s="21">
        <v>0</v>
      </c>
      <c r="Q646" s="21">
        <v>0</v>
      </c>
      <c r="R646" s="21">
        <v>0</v>
      </c>
      <c r="S646" s="19">
        <v>0</v>
      </c>
      <c r="T646" s="21">
        <v>0</v>
      </c>
      <c r="U646" s="21">
        <v>1</v>
      </c>
      <c r="V646" s="21">
        <v>2</v>
      </c>
      <c r="W646" s="21">
        <v>0</v>
      </c>
      <c r="X646" s="21">
        <v>2.4</v>
      </c>
      <c r="Y646" s="19">
        <v>0</v>
      </c>
      <c r="Z646" s="32">
        <v>4250</v>
      </c>
      <c r="AA646" s="21">
        <v>1</v>
      </c>
      <c r="AB646" s="21">
        <v>0</v>
      </c>
      <c r="AC646" s="21">
        <v>0</v>
      </c>
      <c r="AD646" s="21">
        <v>0</v>
      </c>
      <c r="AE646" s="21">
        <v>0</v>
      </c>
      <c r="AF646" s="21">
        <v>9</v>
      </c>
      <c r="AG646" s="21">
        <v>2</v>
      </c>
      <c r="AH646" s="21" t="s">
        <v>720</v>
      </c>
      <c r="AI646" s="19">
        <v>2</v>
      </c>
      <c r="AJ646" s="19">
        <v>2</v>
      </c>
      <c r="AK646" s="19">
        <v>0</v>
      </c>
      <c r="AL646" s="19">
        <v>1.5</v>
      </c>
      <c r="AM646" s="21">
        <v>0</v>
      </c>
      <c r="AN646" s="21">
        <v>0</v>
      </c>
      <c r="AO646" s="21">
        <v>0</v>
      </c>
      <c r="AP646" s="21">
        <v>0.2</v>
      </c>
      <c r="AQ646" s="21">
        <v>200</v>
      </c>
      <c r="AR646" s="21">
        <v>0</v>
      </c>
      <c r="AS646" s="21">
        <v>60</v>
      </c>
      <c r="AT646" s="329" t="s">
        <v>1666</v>
      </c>
      <c r="AU646" s="337" t="s">
        <v>1667</v>
      </c>
      <c r="AV646" s="21"/>
      <c r="AW646" s="30" t="s">
        <v>220</v>
      </c>
      <c r="AX646" s="21" t="s">
        <v>221</v>
      </c>
      <c r="AY646" s="32">
        <v>10000011</v>
      </c>
      <c r="AZ646" s="32">
        <v>21000130</v>
      </c>
      <c r="BA646" s="30" t="s">
        <v>222</v>
      </c>
      <c r="BB646" s="21">
        <v>1</v>
      </c>
      <c r="BC646" s="31">
        <v>0</v>
      </c>
      <c r="BD646" s="31">
        <v>0</v>
      </c>
      <c r="BE646" s="171" t="str">
        <f t="shared" si="25"/>
        <v>立即冲锋至目标区域并对其怪物造成240%攻击伤害+4250点固定伤害,并使自身无敌1秒和将对方眩晕1秒,且对目标造成易伤效果,使其受到伤害提升20%,持续3秒</v>
      </c>
      <c r="BF646" s="171" t="s">
        <v>1672</v>
      </c>
      <c r="BG646" s="21">
        <v>0</v>
      </c>
      <c r="BH646" s="21">
        <v>0</v>
      </c>
      <c r="BI646" s="21">
        <v>0</v>
      </c>
      <c r="BJ646" s="21">
        <v>0</v>
      </c>
      <c r="BK646" s="21">
        <v>0</v>
      </c>
      <c r="BL646" s="21">
        <v>0</v>
      </c>
      <c r="BM646" s="25">
        <v>0</v>
      </c>
      <c r="BN646" s="19">
        <v>0</v>
      </c>
      <c r="BO646" s="19">
        <v>0</v>
      </c>
      <c r="BP646" s="19">
        <v>0</v>
      </c>
      <c r="BQ646" s="19">
        <v>0</v>
      </c>
      <c r="BR646" s="19">
        <v>0</v>
      </c>
      <c r="BS646" s="19">
        <v>0</v>
      </c>
      <c r="BT646" s="19">
        <v>0</v>
      </c>
      <c r="BU646" s="23">
        <v>0</v>
      </c>
      <c r="BV646" s="23"/>
      <c r="BW646" s="23"/>
      <c r="BX646" s="23"/>
      <c r="BY646" s="23"/>
      <c r="BZ646" s="23"/>
    </row>
    <row r="647" spans="3:78" ht="20.100000000000001" customHeight="1">
      <c r="C647" s="38">
        <v>610211011</v>
      </c>
      <c r="D647" s="42" t="s">
        <v>1673</v>
      </c>
      <c r="E647" s="42" t="s">
        <v>1674</v>
      </c>
      <c r="F647" s="38">
        <v>0</v>
      </c>
      <c r="G647" s="38">
        <v>61021101</v>
      </c>
      <c r="H647" s="38">
        <v>0</v>
      </c>
      <c r="I647" s="38">
        <v>0</v>
      </c>
      <c r="J647" s="38">
        <v>18</v>
      </c>
      <c r="K647" s="38">
        <v>5</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38" t="s">
        <v>1675</v>
      </c>
      <c r="AU647" s="38" t="s">
        <v>204</v>
      </c>
      <c r="AV647" s="38"/>
      <c r="AW647" s="42" t="s">
        <v>205</v>
      </c>
      <c r="AX647" s="38" t="s">
        <v>354</v>
      </c>
      <c r="AY647" s="38">
        <v>0</v>
      </c>
      <c r="AZ647" s="38">
        <v>0</v>
      </c>
      <c r="BA647" s="42" t="s">
        <v>206</v>
      </c>
      <c r="BB647" s="42" t="s">
        <v>204</v>
      </c>
      <c r="BC647" s="38">
        <v>0</v>
      </c>
      <c r="BD647" s="38">
        <v>0</v>
      </c>
      <c r="BE647" s="183" t="s">
        <v>1676</v>
      </c>
      <c r="BF647" s="183" t="s">
        <v>1677</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610211021</v>
      </c>
      <c r="D648" s="42" t="s">
        <v>1673</v>
      </c>
      <c r="E648" s="42" t="s">
        <v>1674</v>
      </c>
      <c r="F648" s="38">
        <v>1</v>
      </c>
      <c r="G648" s="38">
        <v>61021101</v>
      </c>
      <c r="H648" s="38">
        <v>0</v>
      </c>
      <c r="I648" s="38">
        <v>0</v>
      </c>
      <c r="J648" s="38">
        <v>27</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38" t="s">
        <v>1675</v>
      </c>
      <c r="AU648" s="38" t="s">
        <v>204</v>
      </c>
      <c r="AV648" s="38"/>
      <c r="AW648" s="42" t="s">
        <v>205</v>
      </c>
      <c r="AX648" s="38" t="s">
        <v>354</v>
      </c>
      <c r="AY648" s="38">
        <v>0</v>
      </c>
      <c r="AZ648" s="38">
        <v>0</v>
      </c>
      <c r="BA648" s="42" t="s">
        <v>206</v>
      </c>
      <c r="BB648" s="42" t="s">
        <v>204</v>
      </c>
      <c r="BC648" s="38">
        <v>0</v>
      </c>
      <c r="BD648" s="38">
        <v>0</v>
      </c>
      <c r="BE648" s="183" t="s">
        <v>1676</v>
      </c>
      <c r="BF648" s="183" t="s">
        <v>1677</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610211031</v>
      </c>
      <c r="D649" s="42" t="s">
        <v>1673</v>
      </c>
      <c r="E649" s="42" t="s">
        <v>1674</v>
      </c>
      <c r="F649" s="38">
        <v>2</v>
      </c>
      <c r="G649" s="38">
        <v>61021101</v>
      </c>
      <c r="H649" s="38">
        <v>0</v>
      </c>
      <c r="I649" s="38">
        <v>0</v>
      </c>
      <c r="J649" s="38">
        <v>32</v>
      </c>
      <c r="K649" s="38">
        <v>2</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38" t="s">
        <v>1678</v>
      </c>
      <c r="AU649" s="38" t="s">
        <v>204</v>
      </c>
      <c r="AV649" s="38"/>
      <c r="AW649" s="42" t="s">
        <v>205</v>
      </c>
      <c r="AX649" s="38" t="s">
        <v>354</v>
      </c>
      <c r="AY649" s="38">
        <v>0</v>
      </c>
      <c r="AZ649" s="38">
        <v>0</v>
      </c>
      <c r="BA649" s="42" t="s">
        <v>206</v>
      </c>
      <c r="BB649" s="42" t="s">
        <v>204</v>
      </c>
      <c r="BC649" s="38">
        <v>0</v>
      </c>
      <c r="BD649" s="38">
        <v>0</v>
      </c>
      <c r="BE649" s="183" t="s">
        <v>1679</v>
      </c>
      <c r="BF649" s="183" t="s">
        <v>1680</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610211041</v>
      </c>
      <c r="D650" s="42" t="s">
        <v>1673</v>
      </c>
      <c r="E650" s="42" t="s">
        <v>1674</v>
      </c>
      <c r="F650" s="38">
        <v>3</v>
      </c>
      <c r="G650" s="38">
        <v>61021101</v>
      </c>
      <c r="H650" s="38">
        <v>0</v>
      </c>
      <c r="I650" s="38">
        <v>0</v>
      </c>
      <c r="J650" s="38">
        <v>0</v>
      </c>
      <c r="K650" s="184">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38" t="s">
        <v>1681</v>
      </c>
      <c r="AU650" s="38" t="s">
        <v>204</v>
      </c>
      <c r="AV650" s="38"/>
      <c r="AW650" s="42" t="s">
        <v>205</v>
      </c>
      <c r="AX650" s="38" t="s">
        <v>354</v>
      </c>
      <c r="AY650" s="38">
        <v>0</v>
      </c>
      <c r="AZ650" s="38">
        <v>0</v>
      </c>
      <c r="BA650" s="42" t="s">
        <v>206</v>
      </c>
      <c r="BB650" s="42" t="s">
        <v>204</v>
      </c>
      <c r="BC650" s="38">
        <v>0</v>
      </c>
      <c r="BD650" s="38">
        <v>0</v>
      </c>
      <c r="BE650" s="183" t="s">
        <v>1682</v>
      </c>
      <c r="BF650" s="183" t="s">
        <v>1683</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610211051</v>
      </c>
      <c r="D651" s="42" t="s">
        <v>1673</v>
      </c>
      <c r="E651" s="42" t="s">
        <v>1674</v>
      </c>
      <c r="F651" s="38">
        <v>4</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38" t="s">
        <v>1684</v>
      </c>
      <c r="AU651" s="38" t="s">
        <v>204</v>
      </c>
      <c r="AV651" s="38"/>
      <c r="AW651" s="42" t="s">
        <v>205</v>
      </c>
      <c r="AX651" s="38" t="s">
        <v>354</v>
      </c>
      <c r="AY651" s="38">
        <v>0</v>
      </c>
      <c r="AZ651" s="38">
        <v>0</v>
      </c>
      <c r="BA651" s="42" t="s">
        <v>206</v>
      </c>
      <c r="BB651" s="42" t="s">
        <v>204</v>
      </c>
      <c r="BC651" s="38">
        <v>0</v>
      </c>
      <c r="BD651" s="38">
        <v>0</v>
      </c>
      <c r="BE651" s="183" t="s">
        <v>1685</v>
      </c>
      <c r="BF651" s="183" t="s">
        <v>1686</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610211061</v>
      </c>
      <c r="D652" s="42" t="s">
        <v>1673</v>
      </c>
      <c r="E652" s="42" t="s">
        <v>1674</v>
      </c>
      <c r="F652" s="38">
        <v>5</v>
      </c>
      <c r="G652" s="38">
        <v>61021101</v>
      </c>
      <c r="H652" s="38">
        <v>0</v>
      </c>
      <c r="I652" s="38">
        <v>0</v>
      </c>
      <c r="J652" s="38">
        <v>0</v>
      </c>
      <c r="K652" s="38">
        <v>0</v>
      </c>
      <c r="L652" s="38">
        <v>0</v>
      </c>
      <c r="M652" s="38">
        <v>0</v>
      </c>
      <c r="N652" s="38">
        <v>0</v>
      </c>
      <c r="O652" s="38">
        <v>1</v>
      </c>
      <c r="P652" s="38">
        <v>0</v>
      </c>
      <c r="Q652" s="38">
        <v>0</v>
      </c>
      <c r="R652" s="38">
        <v>0</v>
      </c>
      <c r="S652" s="38">
        <v>0</v>
      </c>
      <c r="T652" s="38">
        <v>0</v>
      </c>
      <c r="U652" s="38">
        <v>1</v>
      </c>
      <c r="V652" s="38">
        <v>2</v>
      </c>
      <c r="W652" s="38">
        <v>0</v>
      </c>
      <c r="X652" s="38">
        <v>0</v>
      </c>
      <c r="Y652" s="19">
        <v>0</v>
      </c>
      <c r="Z652" s="38">
        <v>0</v>
      </c>
      <c r="AA652" s="38">
        <v>0</v>
      </c>
      <c r="AB652" s="38">
        <v>0</v>
      </c>
      <c r="AC652" s="38">
        <v>0</v>
      </c>
      <c r="AD652" s="38">
        <v>0</v>
      </c>
      <c r="AE652" s="38">
        <v>0</v>
      </c>
      <c r="AF652" s="38">
        <v>30</v>
      </c>
      <c r="AG652" s="38">
        <v>0</v>
      </c>
      <c r="AH652" s="38">
        <v>0</v>
      </c>
      <c r="AI652" s="38">
        <v>2</v>
      </c>
      <c r="AJ652" s="38">
        <v>0</v>
      </c>
      <c r="AK652" s="38">
        <v>0</v>
      </c>
      <c r="AL652" s="38">
        <v>0</v>
      </c>
      <c r="AM652" s="38">
        <v>0</v>
      </c>
      <c r="AN652" s="38">
        <v>0</v>
      </c>
      <c r="AO652" s="38">
        <v>0</v>
      </c>
      <c r="AP652" s="38">
        <v>0</v>
      </c>
      <c r="AQ652" s="38">
        <v>1000</v>
      </c>
      <c r="AR652" s="38">
        <v>0</v>
      </c>
      <c r="AS652" s="38">
        <v>0</v>
      </c>
      <c r="AT652" s="338" t="s">
        <v>1687</v>
      </c>
      <c r="AU652" s="38" t="s">
        <v>204</v>
      </c>
      <c r="AV652" s="38"/>
      <c r="AW652" s="42" t="s">
        <v>205</v>
      </c>
      <c r="AX652" s="38" t="s">
        <v>354</v>
      </c>
      <c r="AY652" s="38">
        <v>0</v>
      </c>
      <c r="AZ652" s="38">
        <v>0</v>
      </c>
      <c r="BA652" s="42" t="s">
        <v>206</v>
      </c>
      <c r="BB652" s="42" t="s">
        <v>204</v>
      </c>
      <c r="BC652" s="38">
        <v>0</v>
      </c>
      <c r="BD652" s="38">
        <v>0</v>
      </c>
      <c r="BE652" s="183" t="s">
        <v>1688</v>
      </c>
      <c r="BF652" s="183" t="s">
        <v>1689</v>
      </c>
      <c r="BG652" s="38">
        <v>0</v>
      </c>
      <c r="BH652" s="38">
        <v>0</v>
      </c>
      <c r="BI652" s="38">
        <v>0</v>
      </c>
      <c r="BJ652" s="38">
        <v>0</v>
      </c>
      <c r="BK652" s="38">
        <v>0</v>
      </c>
      <c r="BL652" s="38">
        <v>0</v>
      </c>
      <c r="BM652" s="34">
        <v>0</v>
      </c>
      <c r="BN652" s="38">
        <v>1</v>
      </c>
      <c r="BO652" s="38">
        <v>0</v>
      </c>
      <c r="BP652" s="38">
        <v>0</v>
      </c>
      <c r="BQ652" s="38">
        <v>0</v>
      </c>
      <c r="BR652" s="38">
        <v>0</v>
      </c>
      <c r="BS652" s="38">
        <v>0</v>
      </c>
      <c r="BT652" s="19">
        <v>0</v>
      </c>
      <c r="BU652" s="23">
        <v>0</v>
      </c>
      <c r="BV652" s="23"/>
      <c r="BW652" s="23"/>
      <c r="BX652" s="23"/>
      <c r="BY652" s="23"/>
      <c r="BZ652" s="23"/>
    </row>
    <row r="653" spans="3:78" ht="20.100000000000001" customHeight="1">
      <c r="C653" s="38">
        <v>610211071</v>
      </c>
      <c r="D653" s="42" t="s">
        <v>1690</v>
      </c>
      <c r="E653" s="42" t="s">
        <v>1691</v>
      </c>
      <c r="F653" s="38">
        <v>0</v>
      </c>
      <c r="G653" s="38">
        <v>62021201</v>
      </c>
      <c r="H653" s="38">
        <v>0</v>
      </c>
      <c r="I653" s="38">
        <v>0</v>
      </c>
      <c r="J653" s="38">
        <v>30</v>
      </c>
      <c r="K653" s="38">
        <v>5</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1641</v>
      </c>
      <c r="AV653" s="38"/>
      <c r="AW653" s="42" t="s">
        <v>768</v>
      </c>
      <c r="AX653" s="38" t="s">
        <v>221</v>
      </c>
      <c r="AY653" s="38">
        <v>10000015</v>
      </c>
      <c r="AZ653" s="38">
        <v>21101021</v>
      </c>
      <c r="BA653" s="42" t="s">
        <v>1378</v>
      </c>
      <c r="BB653" s="38">
        <v>1</v>
      </c>
      <c r="BC653" s="38">
        <v>0</v>
      </c>
      <c r="BD653" s="38">
        <v>0</v>
      </c>
      <c r="BE653" s="183" t="str">
        <f>"立即对当前脚下敌人目标造成"&amp;X653*100&amp;"%攻击伤害+"&amp;Z653&amp;"点固定伤害和使目标眩晕1秒,并迅速跳跃至目标区域"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1692</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610211081</v>
      </c>
      <c r="D654" s="42" t="s">
        <v>1690</v>
      </c>
      <c r="E654" s="42" t="s">
        <v>1691</v>
      </c>
      <c r="F654" s="38">
        <v>1</v>
      </c>
      <c r="G654" s="38">
        <v>62021201</v>
      </c>
      <c r="H654" s="38">
        <v>0</v>
      </c>
      <c r="I654" s="38">
        <v>0</v>
      </c>
      <c r="J654" s="38">
        <v>37</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1050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1641</v>
      </c>
      <c r="AV654" s="38"/>
      <c r="AW654" s="42" t="s">
        <v>768</v>
      </c>
      <c r="AX654" s="38" t="s">
        <v>221</v>
      </c>
      <c r="AY654" s="38">
        <v>10000015</v>
      </c>
      <c r="AZ654" s="38">
        <v>21101021</v>
      </c>
      <c r="BA654" s="42" t="s">
        <v>1378</v>
      </c>
      <c r="BB654" s="38">
        <v>1</v>
      </c>
      <c r="BC654" s="38">
        <v>0</v>
      </c>
      <c r="BD654" s="38">
        <v>0</v>
      </c>
      <c r="BE654" s="183" t="str">
        <f t="shared" ref="BE654:BE658" si="26">"立即对当前脚下敌人目标造成"&amp;X654*100&amp;"%攻击伤害+"&amp;Z654&amp;"点固定伤害和使目标眩晕1秒,并迅速跳跃至目标区域"</f>
        <v>立即对当前脚下敌人目标造成200%攻击伤害+1050点固定伤害和使目标眩晕1秒,并迅速跳跃至目标区域</v>
      </c>
      <c r="BF654" s="183" t="s">
        <v>1692</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610211091</v>
      </c>
      <c r="D655" s="42" t="s">
        <v>1690</v>
      </c>
      <c r="E655" s="42" t="s">
        <v>1691</v>
      </c>
      <c r="F655" s="38">
        <v>2</v>
      </c>
      <c r="G655" s="38">
        <v>62021201</v>
      </c>
      <c r="H655" s="38">
        <v>0</v>
      </c>
      <c r="I655" s="38">
        <v>0</v>
      </c>
      <c r="J655" s="38">
        <v>42</v>
      </c>
      <c r="K655" s="38">
        <v>2</v>
      </c>
      <c r="L655" s="38">
        <v>0</v>
      </c>
      <c r="M655" s="38">
        <v>0</v>
      </c>
      <c r="N655" s="38">
        <v>0</v>
      </c>
      <c r="O655" s="38">
        <v>1</v>
      </c>
      <c r="P655" s="38">
        <v>0</v>
      </c>
      <c r="Q655" s="38">
        <v>0</v>
      </c>
      <c r="R655" s="38">
        <v>0</v>
      </c>
      <c r="S655" s="38">
        <v>0</v>
      </c>
      <c r="T655" s="38">
        <v>0</v>
      </c>
      <c r="U655" s="38">
        <v>1</v>
      </c>
      <c r="V655" s="38">
        <v>2</v>
      </c>
      <c r="W655" s="38">
        <v>0</v>
      </c>
      <c r="X655" s="38">
        <v>2</v>
      </c>
      <c r="Y655" s="19">
        <v>0</v>
      </c>
      <c r="Z655" s="38">
        <v>1400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1641</v>
      </c>
      <c r="AV655" s="38"/>
      <c r="AW655" s="42" t="s">
        <v>768</v>
      </c>
      <c r="AX655" s="38" t="s">
        <v>221</v>
      </c>
      <c r="AY655" s="38">
        <v>10000015</v>
      </c>
      <c r="AZ655" s="38">
        <v>21101021</v>
      </c>
      <c r="BA655" s="42" t="s">
        <v>1378</v>
      </c>
      <c r="BB655" s="38">
        <v>1</v>
      </c>
      <c r="BC655" s="38">
        <v>0</v>
      </c>
      <c r="BD655" s="38">
        <v>0</v>
      </c>
      <c r="BE655" s="183" t="str">
        <f t="shared" si="26"/>
        <v>立即对当前脚下敌人目标造成200%攻击伤害+1400点固定伤害和使目标眩晕1秒,并迅速跳跃至目标区域</v>
      </c>
      <c r="BF655" s="183" t="s">
        <v>1693</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610211101</v>
      </c>
      <c r="D656" s="42" t="s">
        <v>1690</v>
      </c>
      <c r="E656" s="42" t="s">
        <v>1691</v>
      </c>
      <c r="F656" s="38">
        <v>3</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1750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1641</v>
      </c>
      <c r="AV656" s="38"/>
      <c r="AW656" s="42" t="s">
        <v>768</v>
      </c>
      <c r="AX656" s="38" t="s">
        <v>221</v>
      </c>
      <c r="AY656" s="38">
        <v>10000015</v>
      </c>
      <c r="AZ656" s="38">
        <v>21101021</v>
      </c>
      <c r="BA656" s="42" t="s">
        <v>1378</v>
      </c>
      <c r="BB656" s="38">
        <v>1</v>
      </c>
      <c r="BC656" s="38">
        <v>0</v>
      </c>
      <c r="BD656" s="38">
        <v>0</v>
      </c>
      <c r="BE656" s="183" t="str">
        <f t="shared" si="26"/>
        <v>立即对当前脚下敌人目标造成200%攻击伤害+1750点固定伤害和使目标眩晕1秒,并迅速跳跃至目标区域</v>
      </c>
      <c r="BF656" s="183" t="s">
        <v>1694</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610211111</v>
      </c>
      <c r="D657" s="42" t="s">
        <v>1690</v>
      </c>
      <c r="E657" s="42" t="s">
        <v>1691</v>
      </c>
      <c r="F657" s="38">
        <v>4</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2100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1641</v>
      </c>
      <c r="AV657" s="38"/>
      <c r="AW657" s="42" t="s">
        <v>768</v>
      </c>
      <c r="AX657" s="38" t="s">
        <v>221</v>
      </c>
      <c r="AY657" s="38">
        <v>10000015</v>
      </c>
      <c r="AZ657" s="38">
        <v>21101021</v>
      </c>
      <c r="BA657" s="42" t="s">
        <v>1378</v>
      </c>
      <c r="BB657" s="38">
        <v>1</v>
      </c>
      <c r="BC657" s="38">
        <v>0</v>
      </c>
      <c r="BD657" s="38">
        <v>0</v>
      </c>
      <c r="BE657" s="183" t="str">
        <f t="shared" si="26"/>
        <v>立即对当前脚下敌人目标造成200%攻击伤害+2100点固定伤害和使目标眩晕1秒,并迅速跳跃至目标区域</v>
      </c>
      <c r="BF657" s="183" t="s">
        <v>1695</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20.100000000000001" customHeight="1">
      <c r="C658" s="38">
        <v>610211121</v>
      </c>
      <c r="D658" s="42" t="s">
        <v>1690</v>
      </c>
      <c r="E658" s="42" t="s">
        <v>1691</v>
      </c>
      <c r="F658" s="38">
        <v>5</v>
      </c>
      <c r="G658" s="38">
        <v>62021201</v>
      </c>
      <c r="H658" s="38">
        <v>0</v>
      </c>
      <c r="I658" s="38">
        <v>0</v>
      </c>
      <c r="J658" s="38">
        <v>0</v>
      </c>
      <c r="K658" s="38">
        <v>0</v>
      </c>
      <c r="L658" s="38">
        <v>0</v>
      </c>
      <c r="M658" s="38">
        <v>0</v>
      </c>
      <c r="N658" s="38">
        <v>0</v>
      </c>
      <c r="O658" s="38">
        <v>1</v>
      </c>
      <c r="P658" s="38">
        <v>0</v>
      </c>
      <c r="Q658" s="38">
        <v>0</v>
      </c>
      <c r="R658" s="38">
        <v>0</v>
      </c>
      <c r="S658" s="38">
        <v>0</v>
      </c>
      <c r="T658" s="38">
        <v>0</v>
      </c>
      <c r="U658" s="38">
        <v>1</v>
      </c>
      <c r="V658" s="38">
        <v>2</v>
      </c>
      <c r="W658" s="38">
        <v>0</v>
      </c>
      <c r="X658" s="38">
        <v>2</v>
      </c>
      <c r="Y658" s="19">
        <v>0</v>
      </c>
      <c r="Z658" s="38">
        <v>2450</v>
      </c>
      <c r="AA658" s="38">
        <v>1</v>
      </c>
      <c r="AB658" s="38">
        <v>0</v>
      </c>
      <c r="AC658" s="38">
        <v>0</v>
      </c>
      <c r="AD658" s="38">
        <v>0</v>
      </c>
      <c r="AE658" s="38">
        <v>0</v>
      </c>
      <c r="AF658" s="38">
        <v>9</v>
      </c>
      <c r="AG658" s="38">
        <v>1</v>
      </c>
      <c r="AH658" s="38">
        <v>3</v>
      </c>
      <c r="AI658" s="38">
        <v>2</v>
      </c>
      <c r="AJ658" s="38">
        <v>1</v>
      </c>
      <c r="AK658" s="38">
        <v>2</v>
      </c>
      <c r="AL658" s="38">
        <v>8</v>
      </c>
      <c r="AM658" s="38">
        <v>0</v>
      </c>
      <c r="AN658" s="38">
        <v>0</v>
      </c>
      <c r="AO658" s="38">
        <v>0</v>
      </c>
      <c r="AP658" s="38">
        <v>0.5</v>
      </c>
      <c r="AQ658" s="38">
        <v>3000</v>
      </c>
      <c r="AR658" s="38">
        <v>0.4</v>
      </c>
      <c r="AS658" s="38">
        <v>0</v>
      </c>
      <c r="AT658" s="38">
        <v>92012001</v>
      </c>
      <c r="AU658" s="38" t="s">
        <v>1641</v>
      </c>
      <c r="AV658" s="38"/>
      <c r="AW658" s="42" t="s">
        <v>768</v>
      </c>
      <c r="AX658" s="38" t="s">
        <v>221</v>
      </c>
      <c r="AY658" s="38">
        <v>10000015</v>
      </c>
      <c r="AZ658" s="38">
        <v>21101021</v>
      </c>
      <c r="BA658" s="42" t="s">
        <v>1378</v>
      </c>
      <c r="BB658" s="38">
        <v>1</v>
      </c>
      <c r="BC658" s="38">
        <v>0</v>
      </c>
      <c r="BD658" s="38">
        <v>0</v>
      </c>
      <c r="BE658" s="183" t="str">
        <f t="shared" si="26"/>
        <v>立即对当前脚下敌人目标造成200%攻击伤害+2450点固定伤害和使目标眩晕1秒,并迅速跳跃至目标区域</v>
      </c>
      <c r="BF658" s="183" t="s">
        <v>1696</v>
      </c>
      <c r="BG658" s="38">
        <v>0</v>
      </c>
      <c r="BH658" s="38">
        <v>0</v>
      </c>
      <c r="BI658" s="38">
        <v>0</v>
      </c>
      <c r="BJ658" s="38">
        <v>0</v>
      </c>
      <c r="BK658" s="38">
        <v>0</v>
      </c>
      <c r="BL658" s="38">
        <v>0</v>
      </c>
      <c r="BM658" s="34">
        <v>0</v>
      </c>
      <c r="BN658" s="38">
        <v>0</v>
      </c>
      <c r="BO658" s="38">
        <v>0</v>
      </c>
      <c r="BP658" s="38">
        <v>0</v>
      </c>
      <c r="BQ658" s="38">
        <v>0</v>
      </c>
      <c r="BR658" s="38">
        <v>0</v>
      </c>
      <c r="BS658" s="38">
        <v>0</v>
      </c>
      <c r="BT658" s="19">
        <v>0</v>
      </c>
      <c r="BU658" s="23">
        <v>0</v>
      </c>
      <c r="BV658" s="23"/>
      <c r="BW658" s="23"/>
      <c r="BX658" s="23"/>
      <c r="BY658" s="23"/>
      <c r="BZ658" s="23"/>
    </row>
    <row r="659" spans="3:78" ht="19.5" customHeight="1">
      <c r="C659" s="180">
        <v>61021101</v>
      </c>
      <c r="D659" s="35" t="s">
        <v>1697</v>
      </c>
      <c r="E659" s="35" t="s">
        <v>1698</v>
      </c>
      <c r="F659" s="21">
        <v>0</v>
      </c>
      <c r="G659" s="32">
        <v>61021401</v>
      </c>
      <c r="H659" s="180">
        <v>61021102</v>
      </c>
      <c r="I659" s="31">
        <v>0</v>
      </c>
      <c r="J659" s="21">
        <v>18</v>
      </c>
      <c r="K659" s="21">
        <v>5</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39" t="s">
        <v>5762</v>
      </c>
      <c r="AV659" s="32"/>
      <c r="AW659" s="35" t="s">
        <v>1700</v>
      </c>
      <c r="AX659" s="32" t="s">
        <v>1701</v>
      </c>
      <c r="AY659" s="32">
        <v>10000006</v>
      </c>
      <c r="AZ659" s="32">
        <v>21010040</v>
      </c>
      <c r="BA659" s="30" t="s">
        <v>1702</v>
      </c>
      <c r="BB659" s="35">
        <v>0</v>
      </c>
      <c r="BC659" s="31">
        <v>0</v>
      </c>
      <c r="BD659" s="31">
        <v>0</v>
      </c>
      <c r="BE659" s="185" t="str">
        <f>"立即将目标周围的怪物强制拉到技能范围中,并对目标范围内的怪物造成"&amp;X659*100&amp;"%攻击伤害+"&amp;Z659&amp;"点固定伤害,并使目标移动速度降低50%且受到伤害增加30%,持续3秒"</f>
        <v>立即将目标周围的怪物强制拉到技能范围中,并对目标范围内的怪物造成250%攻击伤害+900点固定伤害,并使目标移动速度降低50%且受到伤害增加30%,持续3秒</v>
      </c>
      <c r="BF659" s="185" t="s">
        <v>5764</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61021102</v>
      </c>
      <c r="D660" s="35" t="s">
        <v>1697</v>
      </c>
      <c r="E660" s="35" t="s">
        <v>1698</v>
      </c>
      <c r="F660" s="21">
        <v>1</v>
      </c>
      <c r="G660" s="32">
        <v>61021401</v>
      </c>
      <c r="H660" s="180">
        <v>61021103</v>
      </c>
      <c r="I660" s="31">
        <v>0</v>
      </c>
      <c r="J660" s="21">
        <v>27</v>
      </c>
      <c r="K660" s="21">
        <v>2</v>
      </c>
      <c r="L660" s="21">
        <v>0</v>
      </c>
      <c r="M660" s="32">
        <v>0</v>
      </c>
      <c r="N660" s="32">
        <v>0</v>
      </c>
      <c r="O660" s="32">
        <v>1</v>
      </c>
      <c r="P660" s="32">
        <v>0</v>
      </c>
      <c r="Q660" s="32">
        <v>0</v>
      </c>
      <c r="R660" s="32">
        <v>0</v>
      </c>
      <c r="S660" s="19">
        <v>0</v>
      </c>
      <c r="T660" s="31">
        <v>0</v>
      </c>
      <c r="U660" s="21">
        <v>1</v>
      </c>
      <c r="V660" s="32">
        <v>2</v>
      </c>
      <c r="W660" s="32">
        <v>0</v>
      </c>
      <c r="X660" s="32">
        <v>2.5</v>
      </c>
      <c r="Y660" s="19">
        <v>0</v>
      </c>
      <c r="Z660" s="21">
        <v>900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39" t="s">
        <v>5762</v>
      </c>
      <c r="AV660" s="32"/>
      <c r="AW660" s="35" t="s">
        <v>1700</v>
      </c>
      <c r="AX660" s="32" t="s">
        <v>1701</v>
      </c>
      <c r="AY660" s="32">
        <v>10000006</v>
      </c>
      <c r="AZ660" s="32">
        <v>21010040</v>
      </c>
      <c r="BA660" s="30" t="s">
        <v>1702</v>
      </c>
      <c r="BB660" s="35">
        <v>0</v>
      </c>
      <c r="BC660" s="31">
        <v>0</v>
      </c>
      <c r="BD660" s="31">
        <v>0</v>
      </c>
      <c r="BE660" s="185" t="str">
        <f t="shared" ref="BE660:BE664" si="27">"立即将目标周围的怪物强制拉到技能范围中,并对目标范围内的怪物造成"&amp;X660*100&amp;"%攻击伤害+"&amp;Z660&amp;"点固定伤害,并使目标移动速度降低50%且受到伤害增加30%,持续3秒"</f>
        <v>立即将目标周围的怪物强制拉到技能范围中,并对目标范围内的怪物造成250%攻击伤害+900点固定伤害,并使目标移动速度降低50%且受到伤害增加30%,持续3秒</v>
      </c>
      <c r="BF660" s="185" t="s">
        <v>5764</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61021103</v>
      </c>
      <c r="D661" s="35" t="s">
        <v>1697</v>
      </c>
      <c r="E661" s="35" t="s">
        <v>1698</v>
      </c>
      <c r="F661" s="21">
        <v>2</v>
      </c>
      <c r="G661" s="32">
        <v>61021401</v>
      </c>
      <c r="H661" s="180">
        <v>61021104</v>
      </c>
      <c r="I661" s="31">
        <v>0</v>
      </c>
      <c r="J661" s="21">
        <v>32</v>
      </c>
      <c r="K661" s="21">
        <v>2</v>
      </c>
      <c r="L661" s="21">
        <v>0</v>
      </c>
      <c r="M661" s="32">
        <v>0</v>
      </c>
      <c r="N661" s="32">
        <v>0</v>
      </c>
      <c r="O661" s="32">
        <v>1</v>
      </c>
      <c r="P661" s="32">
        <v>0</v>
      </c>
      <c r="Q661" s="32">
        <v>0</v>
      </c>
      <c r="R661" s="32">
        <v>0</v>
      </c>
      <c r="S661" s="19">
        <v>0</v>
      </c>
      <c r="T661" s="31">
        <v>0</v>
      </c>
      <c r="U661" s="21">
        <v>1</v>
      </c>
      <c r="V661" s="32">
        <v>2</v>
      </c>
      <c r="W661" s="32">
        <v>0</v>
      </c>
      <c r="X661" s="32">
        <v>2.75</v>
      </c>
      <c r="Y661" s="19">
        <v>0</v>
      </c>
      <c r="Z661" s="21">
        <v>1800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39" t="s">
        <v>5762</v>
      </c>
      <c r="AV661" s="32"/>
      <c r="AW661" s="35" t="s">
        <v>1700</v>
      </c>
      <c r="AX661" s="32" t="s">
        <v>1701</v>
      </c>
      <c r="AY661" s="32">
        <v>10000006</v>
      </c>
      <c r="AZ661" s="32">
        <v>21010040</v>
      </c>
      <c r="BA661" s="30" t="s">
        <v>1702</v>
      </c>
      <c r="BB661" s="35">
        <v>0</v>
      </c>
      <c r="BC661" s="31">
        <v>0</v>
      </c>
      <c r="BD661" s="31">
        <v>0</v>
      </c>
      <c r="BE661" s="185" t="str">
        <f t="shared" si="27"/>
        <v>立即将目标周围的怪物强制拉到技能范围中,并对目标范围内的怪物造成275%攻击伤害+1800点固定伤害,并使目标移动速度降低50%且受到伤害增加30%,持续3秒</v>
      </c>
      <c r="BF661" s="185" t="s">
        <v>5763</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61021104</v>
      </c>
      <c r="D662" s="35" t="s">
        <v>1697</v>
      </c>
      <c r="E662" s="35" t="s">
        <v>1698</v>
      </c>
      <c r="F662" s="21">
        <v>3</v>
      </c>
      <c r="G662" s="32">
        <v>61021401</v>
      </c>
      <c r="H662" s="21">
        <v>0</v>
      </c>
      <c r="I662" s="31">
        <v>0</v>
      </c>
      <c r="J662" s="21">
        <v>0</v>
      </c>
      <c r="K662" s="182">
        <v>0</v>
      </c>
      <c r="L662" s="21">
        <v>0</v>
      </c>
      <c r="M662" s="32">
        <v>0</v>
      </c>
      <c r="N662" s="32">
        <v>0</v>
      </c>
      <c r="O662" s="32">
        <v>1</v>
      </c>
      <c r="P662" s="32">
        <v>0</v>
      </c>
      <c r="Q662" s="32">
        <v>0</v>
      </c>
      <c r="R662" s="32">
        <v>0</v>
      </c>
      <c r="S662" s="19">
        <v>0</v>
      </c>
      <c r="T662" s="31">
        <v>0</v>
      </c>
      <c r="U662" s="21">
        <v>1</v>
      </c>
      <c r="V662" s="32">
        <v>2</v>
      </c>
      <c r="W662" s="32">
        <v>0</v>
      </c>
      <c r="X662" s="32">
        <v>3</v>
      </c>
      <c r="Y662" s="19">
        <v>0</v>
      </c>
      <c r="Z662" s="21">
        <v>2800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39" t="s">
        <v>5762</v>
      </c>
      <c r="AV662" s="32"/>
      <c r="AW662" s="35" t="s">
        <v>1700</v>
      </c>
      <c r="AX662" s="32" t="s">
        <v>1701</v>
      </c>
      <c r="AY662" s="32">
        <v>10000006</v>
      </c>
      <c r="AZ662" s="32">
        <v>21010040</v>
      </c>
      <c r="BA662" s="30" t="s">
        <v>1702</v>
      </c>
      <c r="BB662" s="35">
        <v>0</v>
      </c>
      <c r="BC662" s="31">
        <v>0</v>
      </c>
      <c r="BD662" s="31">
        <v>0</v>
      </c>
      <c r="BE662" s="185" t="str">
        <f t="shared" si="27"/>
        <v>立即将目标周围的怪物强制拉到技能范围中,并对目标范围内的怪物造成300%攻击伤害+2800点固定伤害,并使目标移动速度降低50%且受到伤害增加30%,持续3秒</v>
      </c>
      <c r="BF662" s="185" t="s">
        <v>5765</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61021105</v>
      </c>
      <c r="D663" s="35" t="s">
        <v>1697</v>
      </c>
      <c r="E663" s="35" t="s">
        <v>1698</v>
      </c>
      <c r="F663" s="21">
        <v>4</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3.25</v>
      </c>
      <c r="Y663" s="19">
        <v>0</v>
      </c>
      <c r="Z663" s="21">
        <v>4000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39" t="s">
        <v>5762</v>
      </c>
      <c r="AV663" s="32"/>
      <c r="AW663" s="35" t="s">
        <v>1700</v>
      </c>
      <c r="AX663" s="32" t="s">
        <v>1701</v>
      </c>
      <c r="AY663" s="32">
        <v>10000006</v>
      </c>
      <c r="AZ663" s="32">
        <v>21010040</v>
      </c>
      <c r="BA663" s="30" t="s">
        <v>1702</v>
      </c>
      <c r="BB663" s="35">
        <v>0</v>
      </c>
      <c r="BC663" s="31">
        <v>0</v>
      </c>
      <c r="BD663" s="31">
        <v>0</v>
      </c>
      <c r="BE663" s="185" t="str">
        <f t="shared" si="27"/>
        <v>立即将目标周围的怪物强制拉到技能范围中,并对目标范围内的怪物造成325%攻击伤害+4000点固定伤害,并使目标移动速度降低50%且受到伤害增加30%,持续3秒</v>
      </c>
      <c r="BF663" s="185" t="s">
        <v>5766</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180">
        <v>61021106</v>
      </c>
      <c r="D664" s="35" t="s">
        <v>1697</v>
      </c>
      <c r="E664" s="35" t="s">
        <v>1698</v>
      </c>
      <c r="F664" s="21">
        <v>5</v>
      </c>
      <c r="G664" s="32">
        <v>61021401</v>
      </c>
      <c r="H664" s="21">
        <v>0</v>
      </c>
      <c r="I664" s="31">
        <v>0</v>
      </c>
      <c r="J664" s="21">
        <v>0</v>
      </c>
      <c r="K664" s="21">
        <v>0</v>
      </c>
      <c r="L664" s="21">
        <v>0</v>
      </c>
      <c r="M664" s="32">
        <v>0</v>
      </c>
      <c r="N664" s="32">
        <v>0</v>
      </c>
      <c r="O664" s="32">
        <v>1</v>
      </c>
      <c r="P664" s="32">
        <v>0</v>
      </c>
      <c r="Q664" s="32">
        <v>0</v>
      </c>
      <c r="R664" s="32">
        <v>0</v>
      </c>
      <c r="S664" s="19">
        <v>0</v>
      </c>
      <c r="T664" s="31">
        <v>0</v>
      </c>
      <c r="U664" s="21">
        <v>1</v>
      </c>
      <c r="V664" s="32">
        <v>2</v>
      </c>
      <c r="W664" s="32">
        <v>0</v>
      </c>
      <c r="X664" s="32">
        <v>3.5</v>
      </c>
      <c r="Y664" s="19">
        <v>0</v>
      </c>
      <c r="Z664" s="21">
        <v>5200</v>
      </c>
      <c r="AA664" s="32">
        <v>0</v>
      </c>
      <c r="AB664" s="32">
        <v>0</v>
      </c>
      <c r="AC664" s="32">
        <v>0</v>
      </c>
      <c r="AD664" s="32">
        <v>0</v>
      </c>
      <c r="AE664" s="32">
        <v>0</v>
      </c>
      <c r="AF664" s="32">
        <v>7</v>
      </c>
      <c r="AG664" s="32">
        <v>1</v>
      </c>
      <c r="AH664" s="32">
        <v>4</v>
      </c>
      <c r="AI664" s="19">
        <v>2</v>
      </c>
      <c r="AJ664" s="19">
        <v>1</v>
      </c>
      <c r="AK664" s="19">
        <v>0</v>
      </c>
      <c r="AL664" s="19">
        <v>7</v>
      </c>
      <c r="AM664" s="32">
        <v>0</v>
      </c>
      <c r="AN664" s="32">
        <v>0</v>
      </c>
      <c r="AO664" s="32">
        <v>0</v>
      </c>
      <c r="AP664" s="32">
        <v>0.25</v>
      </c>
      <c r="AQ664" s="32">
        <v>2000</v>
      </c>
      <c r="AR664" s="32">
        <v>0.25</v>
      </c>
      <c r="AS664" s="32">
        <v>0</v>
      </c>
      <c r="AT664" s="19">
        <v>90000001</v>
      </c>
      <c r="AU664" s="339" t="s">
        <v>5762</v>
      </c>
      <c r="AV664" s="32"/>
      <c r="AW664" s="35" t="s">
        <v>1700</v>
      </c>
      <c r="AX664" s="32" t="s">
        <v>1701</v>
      </c>
      <c r="AY664" s="32">
        <v>10000006</v>
      </c>
      <c r="AZ664" s="32">
        <v>21010040</v>
      </c>
      <c r="BA664" s="30" t="s">
        <v>1702</v>
      </c>
      <c r="BB664" s="35">
        <v>0</v>
      </c>
      <c r="BC664" s="31">
        <v>0</v>
      </c>
      <c r="BD664" s="31">
        <v>0</v>
      </c>
      <c r="BE664" s="185" t="str">
        <f t="shared" si="27"/>
        <v>立即将目标周围的怪物强制拉到技能范围中,并对目标范围内的怪物造成350%攻击伤害+5200点固定伤害,并使目标移动速度降低50%且受到伤害增加30%,持续3秒</v>
      </c>
      <c r="BF664" s="185" t="s">
        <v>5767</v>
      </c>
      <c r="BG664" s="32">
        <v>0</v>
      </c>
      <c r="BH664" s="21">
        <v>0</v>
      </c>
      <c r="BI664" s="32">
        <v>0</v>
      </c>
      <c r="BJ664" s="32">
        <v>0</v>
      </c>
      <c r="BK664" s="32">
        <v>0</v>
      </c>
      <c r="BL664" s="32">
        <v>0</v>
      </c>
      <c r="BM664" s="25">
        <v>0</v>
      </c>
      <c r="BN664" s="19">
        <v>0</v>
      </c>
      <c r="BO664" s="19">
        <v>0</v>
      </c>
      <c r="BP664" s="19">
        <v>0</v>
      </c>
      <c r="BQ664" s="19">
        <v>0</v>
      </c>
      <c r="BR664" s="19">
        <v>0</v>
      </c>
      <c r="BS664" s="19">
        <v>0</v>
      </c>
      <c r="BT664" s="19">
        <v>0</v>
      </c>
      <c r="BU664" s="23">
        <v>0</v>
      </c>
      <c r="BV664" s="23"/>
      <c r="BW664" s="23"/>
      <c r="BX664" s="23"/>
      <c r="BY664" s="23"/>
      <c r="BZ664" s="23"/>
    </row>
    <row r="665" spans="3:78" ht="19.5" customHeight="1">
      <c r="C665" s="32">
        <v>61021201</v>
      </c>
      <c r="D665" s="35" t="s">
        <v>1703</v>
      </c>
      <c r="E665" s="35" t="s">
        <v>1704</v>
      </c>
      <c r="F665" s="21">
        <v>0</v>
      </c>
      <c r="G665" s="32">
        <v>61021201</v>
      </c>
      <c r="H665" s="32">
        <f>C666</f>
        <v>61021202</v>
      </c>
      <c r="I665" s="31">
        <v>0</v>
      </c>
      <c r="J665" s="21">
        <v>25</v>
      </c>
      <c r="K665" s="21">
        <v>5</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1705</v>
      </c>
      <c r="AX665" s="32" t="s">
        <v>1047</v>
      </c>
      <c r="AY665" s="32">
        <v>10003002</v>
      </c>
      <c r="AZ665" s="32">
        <v>21010020</v>
      </c>
      <c r="BA665" s="35" t="s">
        <v>592</v>
      </c>
      <c r="BB665" s="35">
        <v>0</v>
      </c>
      <c r="BC665" s="31">
        <v>0</v>
      </c>
      <c r="BD665" s="31">
        <v>0</v>
      </c>
      <c r="BE665" s="185" t="str">
        <f>"向前方发射一颗移动缓慢的法球,球体每秒对附近玩家造成"&amp;X665*100&amp;"%伤害+"&amp;Z665&amp;"点固定伤害,并产生2秒禁锢效果,技能持续为15秒,移动过程中每秒对范围额外附加150%伤害+"&amp;BR665&amp;"点伤害"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1706</v>
      </c>
      <c r="BG665" s="32">
        <v>0</v>
      </c>
      <c r="BH665" s="21">
        <v>0</v>
      </c>
      <c r="BI665" s="32">
        <v>0</v>
      </c>
      <c r="BJ665" s="32">
        <v>0</v>
      </c>
      <c r="BK665" s="32">
        <v>0</v>
      </c>
      <c r="BL665" s="32">
        <v>0</v>
      </c>
      <c r="BM665" s="25">
        <v>0</v>
      </c>
      <c r="BN665" s="19">
        <v>0</v>
      </c>
      <c r="BO665" s="19">
        <v>0</v>
      </c>
      <c r="BP665" s="19">
        <v>0</v>
      </c>
      <c r="BQ665" s="19">
        <v>1.5</v>
      </c>
      <c r="BR665" s="19">
        <v>500</v>
      </c>
      <c r="BS665" s="19">
        <v>0</v>
      </c>
      <c r="BT665" s="19">
        <v>0</v>
      </c>
      <c r="BU665" s="23">
        <v>0</v>
      </c>
      <c r="BV665" s="23"/>
      <c r="BW665" s="23"/>
      <c r="BX665" s="23"/>
      <c r="BY665" s="23"/>
      <c r="BZ665" s="23"/>
    </row>
    <row r="666" spans="3:78" ht="19.5" customHeight="1">
      <c r="C666" s="32">
        <v>61021202</v>
      </c>
      <c r="D666" s="35" t="s">
        <v>1703</v>
      </c>
      <c r="E666" s="35" t="s">
        <v>1704</v>
      </c>
      <c r="F666" s="21">
        <v>1</v>
      </c>
      <c r="G666" s="32">
        <v>61021201</v>
      </c>
      <c r="H666" s="32">
        <f t="shared" ref="H666:H667" si="28">C667</f>
        <v>61021203</v>
      </c>
      <c r="I666" s="31">
        <v>0</v>
      </c>
      <c r="J666" s="21">
        <v>32</v>
      </c>
      <c r="K666" s="21">
        <v>2</v>
      </c>
      <c r="L666" s="21">
        <v>0</v>
      </c>
      <c r="M666" s="32">
        <v>0</v>
      </c>
      <c r="N666" s="32">
        <v>0</v>
      </c>
      <c r="O666" s="32">
        <v>1</v>
      </c>
      <c r="P666" s="32">
        <v>0</v>
      </c>
      <c r="Q666" s="32">
        <v>0</v>
      </c>
      <c r="R666" s="32">
        <v>0</v>
      </c>
      <c r="S666" s="19">
        <v>0</v>
      </c>
      <c r="T666" s="31">
        <v>0</v>
      </c>
      <c r="U666" s="21">
        <v>1</v>
      </c>
      <c r="V666" s="32">
        <v>2</v>
      </c>
      <c r="W666" s="32">
        <v>0</v>
      </c>
      <c r="X666" s="21">
        <v>3</v>
      </c>
      <c r="Y666" s="19">
        <v>0</v>
      </c>
      <c r="Z666" s="21">
        <v>900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1705</v>
      </c>
      <c r="AX666" s="32" t="s">
        <v>1047</v>
      </c>
      <c r="AY666" s="32">
        <v>10003002</v>
      </c>
      <c r="AZ666" s="32">
        <v>21010020</v>
      </c>
      <c r="BA666" s="35" t="s">
        <v>592</v>
      </c>
      <c r="BB666" s="35">
        <v>0</v>
      </c>
      <c r="BC666" s="31">
        <v>0</v>
      </c>
      <c r="BD666" s="31">
        <v>0</v>
      </c>
      <c r="BE666" s="185" t="str">
        <f t="shared" ref="BE666:BE670" si="29">"向前方发射一颗移动缓慢的法球,球体每秒对附近玩家造成"&amp;X666*100&amp;"%伤害+"&amp;Z666&amp;"点固定伤害,并产生2秒禁锢效果,技能持续为15秒,移动过程中每秒对范围额外附加150%伤害+"&amp;BR666&amp;"点伤害"</f>
        <v>向前方发射一颗移动缓慢的法球,球体每秒对附近玩家造成300%伤害+900点固定伤害,并产生2秒禁锢效果,技能持续为15秒,移动过程中每秒对范围额外附加150%伤害+500点伤害</v>
      </c>
      <c r="BF666" s="185" t="s">
        <v>1706</v>
      </c>
      <c r="BG666" s="32">
        <v>0</v>
      </c>
      <c r="BH666" s="21">
        <v>0</v>
      </c>
      <c r="BI666" s="32">
        <v>0</v>
      </c>
      <c r="BJ666" s="32">
        <v>0</v>
      </c>
      <c r="BK666" s="32">
        <v>0</v>
      </c>
      <c r="BL666" s="32">
        <v>0</v>
      </c>
      <c r="BM666" s="25">
        <v>0</v>
      </c>
      <c r="BN666" s="19">
        <v>0</v>
      </c>
      <c r="BO666" s="19">
        <v>0</v>
      </c>
      <c r="BP666" s="19">
        <v>0</v>
      </c>
      <c r="BQ666" s="19">
        <v>1.6</v>
      </c>
      <c r="BR666" s="19">
        <v>500</v>
      </c>
      <c r="BS666" s="19">
        <v>0</v>
      </c>
      <c r="BT666" s="19">
        <v>0</v>
      </c>
      <c r="BU666" s="23">
        <v>0</v>
      </c>
      <c r="BV666" s="23"/>
      <c r="BW666" s="23"/>
      <c r="BX666" s="23"/>
      <c r="BY666" s="23"/>
      <c r="BZ666" s="23"/>
    </row>
    <row r="667" spans="3:78" ht="19.5" customHeight="1">
      <c r="C667" s="32">
        <v>61021203</v>
      </c>
      <c r="D667" s="35" t="s">
        <v>1703</v>
      </c>
      <c r="E667" s="35" t="s">
        <v>1704</v>
      </c>
      <c r="F667" s="21">
        <v>2</v>
      </c>
      <c r="G667" s="32">
        <v>61021201</v>
      </c>
      <c r="H667" s="32">
        <f t="shared" si="28"/>
        <v>61021204</v>
      </c>
      <c r="I667" s="31">
        <v>0</v>
      </c>
      <c r="J667" s="21">
        <v>37</v>
      </c>
      <c r="K667" s="21">
        <v>2</v>
      </c>
      <c r="L667" s="21">
        <v>0</v>
      </c>
      <c r="M667" s="32">
        <v>0</v>
      </c>
      <c r="N667" s="32">
        <v>0</v>
      </c>
      <c r="O667" s="32">
        <v>1</v>
      </c>
      <c r="P667" s="32">
        <v>0</v>
      </c>
      <c r="Q667" s="32">
        <v>0</v>
      </c>
      <c r="R667" s="32">
        <v>0</v>
      </c>
      <c r="S667" s="19">
        <v>0</v>
      </c>
      <c r="T667" s="31">
        <v>0</v>
      </c>
      <c r="U667" s="21">
        <v>1</v>
      </c>
      <c r="V667" s="32">
        <v>2</v>
      </c>
      <c r="W667" s="32">
        <v>0</v>
      </c>
      <c r="X667" s="21">
        <v>3.25</v>
      </c>
      <c r="Y667" s="19">
        <v>0</v>
      </c>
      <c r="Z667" s="21">
        <v>1800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1705</v>
      </c>
      <c r="AX667" s="32" t="s">
        <v>1047</v>
      </c>
      <c r="AY667" s="32">
        <v>10003002</v>
      </c>
      <c r="AZ667" s="32">
        <v>21010020</v>
      </c>
      <c r="BA667" s="35" t="s">
        <v>592</v>
      </c>
      <c r="BB667" s="35">
        <v>0</v>
      </c>
      <c r="BC667" s="31">
        <v>0</v>
      </c>
      <c r="BD667" s="31">
        <v>0</v>
      </c>
      <c r="BE667" s="185" t="str">
        <f t="shared" si="29"/>
        <v>向前方发射一颗移动缓慢的法球,球体每秒对附近玩家造成325%伤害+1800点固定伤害,并产生2秒禁锢效果,技能持续为15秒,移动过程中每秒对范围额外附加150%伤害+1000点伤害</v>
      </c>
      <c r="BF667" s="185" t="s">
        <v>1707</v>
      </c>
      <c r="BG667" s="32">
        <v>0</v>
      </c>
      <c r="BH667" s="21">
        <v>0</v>
      </c>
      <c r="BI667" s="32">
        <v>0</v>
      </c>
      <c r="BJ667" s="32">
        <v>0</v>
      </c>
      <c r="BK667" s="32">
        <v>0</v>
      </c>
      <c r="BL667" s="32">
        <v>0</v>
      </c>
      <c r="BM667" s="25">
        <v>0</v>
      </c>
      <c r="BN667" s="19">
        <v>0</v>
      </c>
      <c r="BO667" s="19">
        <v>0</v>
      </c>
      <c r="BP667" s="19">
        <v>0</v>
      </c>
      <c r="BQ667" s="19">
        <v>1.7</v>
      </c>
      <c r="BR667" s="19">
        <v>1000</v>
      </c>
      <c r="BS667" s="19">
        <v>0</v>
      </c>
      <c r="BT667" s="19">
        <v>0</v>
      </c>
      <c r="BU667" s="23">
        <v>0</v>
      </c>
      <c r="BV667" s="23"/>
      <c r="BW667" s="23"/>
      <c r="BX667" s="23"/>
      <c r="BY667" s="23"/>
      <c r="BZ667" s="23"/>
    </row>
    <row r="668" spans="3:78" ht="19.5" customHeight="1">
      <c r="C668" s="32">
        <v>61021204</v>
      </c>
      <c r="D668" s="35" t="s">
        <v>1703</v>
      </c>
      <c r="E668" s="35" t="s">
        <v>1704</v>
      </c>
      <c r="F668" s="21">
        <v>3</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3.5</v>
      </c>
      <c r="Y668" s="19">
        <v>0</v>
      </c>
      <c r="Z668" s="21">
        <v>2800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1705</v>
      </c>
      <c r="AX668" s="32" t="s">
        <v>1047</v>
      </c>
      <c r="AY668" s="32">
        <v>10003002</v>
      </c>
      <c r="AZ668" s="32">
        <v>21010020</v>
      </c>
      <c r="BA668" s="35" t="s">
        <v>592</v>
      </c>
      <c r="BB668" s="35">
        <v>0</v>
      </c>
      <c r="BC668" s="31">
        <v>0</v>
      </c>
      <c r="BD668" s="31">
        <v>0</v>
      </c>
      <c r="BE668" s="185" t="str">
        <f t="shared" si="29"/>
        <v>向前方发射一颗移动缓慢的法球,球体每秒对附近玩家造成350%伤害+2800点固定伤害,并产生2秒禁锢效果,技能持续为15秒,移动过程中每秒对范围额外附加150%伤害+1500点伤害</v>
      </c>
      <c r="BF668" s="185" t="s">
        <v>1708</v>
      </c>
      <c r="BG668" s="32">
        <v>0</v>
      </c>
      <c r="BH668" s="21">
        <v>0</v>
      </c>
      <c r="BI668" s="32">
        <v>0</v>
      </c>
      <c r="BJ668" s="32">
        <v>0</v>
      </c>
      <c r="BK668" s="32">
        <v>0</v>
      </c>
      <c r="BL668" s="32">
        <v>0</v>
      </c>
      <c r="BM668" s="25">
        <v>0</v>
      </c>
      <c r="BN668" s="19">
        <v>0</v>
      </c>
      <c r="BO668" s="19">
        <v>0</v>
      </c>
      <c r="BP668" s="19">
        <v>0</v>
      </c>
      <c r="BQ668" s="19">
        <v>1.8</v>
      </c>
      <c r="BR668" s="19">
        <v>1500</v>
      </c>
      <c r="BS668" s="19">
        <v>0</v>
      </c>
      <c r="BT668" s="19">
        <v>0</v>
      </c>
      <c r="BU668" s="23">
        <v>0</v>
      </c>
      <c r="BV668" s="23"/>
      <c r="BW668" s="23"/>
      <c r="BX668" s="23"/>
      <c r="BY668" s="23"/>
      <c r="BZ668" s="23"/>
    </row>
    <row r="669" spans="3:78" ht="19.5" customHeight="1">
      <c r="C669" s="32">
        <v>61021205</v>
      </c>
      <c r="D669" s="35" t="s">
        <v>1703</v>
      </c>
      <c r="E669" s="35" t="s">
        <v>1704</v>
      </c>
      <c r="F669" s="21">
        <v>4</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3.75</v>
      </c>
      <c r="Y669" s="19">
        <v>0</v>
      </c>
      <c r="Z669" s="21">
        <v>4000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1705</v>
      </c>
      <c r="AX669" s="32" t="s">
        <v>1047</v>
      </c>
      <c r="AY669" s="32">
        <v>10003002</v>
      </c>
      <c r="AZ669" s="32">
        <v>21010020</v>
      </c>
      <c r="BA669" s="35" t="s">
        <v>592</v>
      </c>
      <c r="BB669" s="35">
        <v>0</v>
      </c>
      <c r="BC669" s="31">
        <v>0</v>
      </c>
      <c r="BD669" s="31">
        <v>0</v>
      </c>
      <c r="BE669" s="185" t="str">
        <f t="shared" si="29"/>
        <v>向前方发射一颗移动缓慢的法球,球体每秒对附近玩家造成375%伤害+4000点固定伤害,并产生2秒禁锢效果,技能持续为15秒,移动过程中每秒对范围额外附加150%伤害+2000点伤害</v>
      </c>
      <c r="BF669" s="185" t="s">
        <v>1709</v>
      </c>
      <c r="BG669" s="32">
        <v>0</v>
      </c>
      <c r="BH669" s="21">
        <v>0</v>
      </c>
      <c r="BI669" s="32">
        <v>0</v>
      </c>
      <c r="BJ669" s="32">
        <v>0</v>
      </c>
      <c r="BK669" s="32">
        <v>0</v>
      </c>
      <c r="BL669" s="32">
        <v>0</v>
      </c>
      <c r="BM669" s="25">
        <v>0</v>
      </c>
      <c r="BN669" s="19">
        <v>0</v>
      </c>
      <c r="BO669" s="19">
        <v>0</v>
      </c>
      <c r="BP669" s="19">
        <v>0</v>
      </c>
      <c r="BQ669" s="19">
        <v>1.9</v>
      </c>
      <c r="BR669" s="19">
        <v>2000</v>
      </c>
      <c r="BS669" s="19">
        <v>0</v>
      </c>
      <c r="BT669" s="19">
        <v>0</v>
      </c>
      <c r="BU669" s="23">
        <v>0</v>
      </c>
      <c r="BV669" s="23"/>
      <c r="BW669" s="23"/>
      <c r="BX669" s="23"/>
      <c r="BY669" s="23"/>
      <c r="BZ669" s="23"/>
    </row>
    <row r="670" spans="3:78" ht="19.5" customHeight="1">
      <c r="C670" s="32">
        <v>61021206</v>
      </c>
      <c r="D670" s="35" t="s">
        <v>1703</v>
      </c>
      <c r="E670" s="35" t="s">
        <v>1704</v>
      </c>
      <c r="F670" s="21">
        <v>5</v>
      </c>
      <c r="G670" s="32">
        <v>61021201</v>
      </c>
      <c r="H670" s="21">
        <v>0</v>
      </c>
      <c r="I670" s="31">
        <v>0</v>
      </c>
      <c r="J670" s="21">
        <v>0</v>
      </c>
      <c r="K670" s="21">
        <v>0</v>
      </c>
      <c r="L670" s="21">
        <v>0</v>
      </c>
      <c r="M670" s="32">
        <v>0</v>
      </c>
      <c r="N670" s="32">
        <v>0</v>
      </c>
      <c r="O670" s="32">
        <v>1</v>
      </c>
      <c r="P670" s="32">
        <v>0</v>
      </c>
      <c r="Q670" s="32">
        <v>0</v>
      </c>
      <c r="R670" s="32">
        <v>0</v>
      </c>
      <c r="S670" s="19">
        <v>0</v>
      </c>
      <c r="T670" s="31">
        <v>0</v>
      </c>
      <c r="U670" s="21">
        <v>1</v>
      </c>
      <c r="V670" s="32">
        <v>2</v>
      </c>
      <c r="W670" s="32">
        <v>0</v>
      </c>
      <c r="X670" s="21">
        <v>4</v>
      </c>
      <c r="Y670" s="19">
        <v>0</v>
      </c>
      <c r="Z670" s="21">
        <v>5200</v>
      </c>
      <c r="AA670" s="32">
        <v>0</v>
      </c>
      <c r="AB670" s="32">
        <v>0</v>
      </c>
      <c r="AC670" s="32">
        <v>0</v>
      </c>
      <c r="AD670" s="32">
        <v>0</v>
      </c>
      <c r="AE670" s="32">
        <v>0</v>
      </c>
      <c r="AF670" s="32">
        <v>7</v>
      </c>
      <c r="AG670" s="32">
        <v>1</v>
      </c>
      <c r="AH670" s="32">
        <v>2.5</v>
      </c>
      <c r="AI670" s="19">
        <v>2</v>
      </c>
      <c r="AJ670" s="19">
        <v>2</v>
      </c>
      <c r="AK670" s="19">
        <v>0</v>
      </c>
      <c r="AL670" s="19">
        <v>3</v>
      </c>
      <c r="AM670" s="32">
        <v>0</v>
      </c>
      <c r="AN670" s="32">
        <v>0</v>
      </c>
      <c r="AO670" s="32">
        <v>0</v>
      </c>
      <c r="AP670" s="32">
        <v>0.25</v>
      </c>
      <c r="AQ670" s="32">
        <v>9000</v>
      </c>
      <c r="AR670" s="32">
        <v>0.25</v>
      </c>
      <c r="AS670" s="32">
        <v>3</v>
      </c>
      <c r="AT670" s="19">
        <v>0</v>
      </c>
      <c r="AU670" s="32">
        <v>93000205</v>
      </c>
      <c r="AV670" s="32"/>
      <c r="AW670" s="35" t="s">
        <v>1705</v>
      </c>
      <c r="AX670" s="32" t="s">
        <v>1047</v>
      </c>
      <c r="AY670" s="32">
        <v>10003002</v>
      </c>
      <c r="AZ670" s="32">
        <v>21010020</v>
      </c>
      <c r="BA670" s="35" t="s">
        <v>592</v>
      </c>
      <c r="BB670" s="35">
        <v>0</v>
      </c>
      <c r="BC670" s="31">
        <v>0</v>
      </c>
      <c r="BD670" s="31">
        <v>0</v>
      </c>
      <c r="BE670" s="185" t="str">
        <f t="shared" si="29"/>
        <v>向前方发射一颗移动缓慢的法球,球体每秒对附近玩家造成400%伤害+5200点固定伤害,并产生2秒禁锢效果,技能持续为15秒,移动过程中每秒对范围额外附加150%伤害+2500点伤害</v>
      </c>
      <c r="BF670" s="185" t="s">
        <v>1710</v>
      </c>
      <c r="BG670" s="32">
        <v>0</v>
      </c>
      <c r="BH670" s="21">
        <v>0</v>
      </c>
      <c r="BI670" s="32">
        <v>0</v>
      </c>
      <c r="BJ670" s="32">
        <v>0</v>
      </c>
      <c r="BK670" s="32">
        <v>0</v>
      </c>
      <c r="BL670" s="32">
        <v>0</v>
      </c>
      <c r="BM670" s="25">
        <v>0</v>
      </c>
      <c r="BN670" s="19">
        <v>0</v>
      </c>
      <c r="BO670" s="19">
        <v>0</v>
      </c>
      <c r="BP670" s="19">
        <v>0</v>
      </c>
      <c r="BQ670" s="19">
        <v>2</v>
      </c>
      <c r="BR670" s="19">
        <v>2500</v>
      </c>
      <c r="BS670" s="19">
        <v>0</v>
      </c>
      <c r="BT670" s="19">
        <v>0</v>
      </c>
      <c r="BU670" s="23">
        <v>0</v>
      </c>
      <c r="BV670" s="23"/>
      <c r="BW670" s="23"/>
      <c r="BX670" s="23"/>
      <c r="BY670" s="23"/>
      <c r="BZ670" s="23"/>
    </row>
    <row r="671" spans="3:78" ht="19.5" customHeight="1">
      <c r="C671" s="32">
        <v>61021301</v>
      </c>
      <c r="D671" s="35" t="s">
        <v>1711</v>
      </c>
      <c r="E671" s="35" t="s">
        <v>1712</v>
      </c>
      <c r="F671" s="21">
        <v>0</v>
      </c>
      <c r="G671" s="32">
        <v>61021301</v>
      </c>
      <c r="H671" s="32">
        <f>C672</f>
        <v>61021302</v>
      </c>
      <c r="I671" s="31">
        <v>0</v>
      </c>
      <c r="J671" s="21">
        <v>30</v>
      </c>
      <c r="K671" s="32">
        <v>5</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1713</v>
      </c>
      <c r="AI671" s="19">
        <v>2</v>
      </c>
      <c r="AJ671" s="19">
        <v>3</v>
      </c>
      <c r="AK671" s="19">
        <v>0</v>
      </c>
      <c r="AL671" s="19">
        <v>3</v>
      </c>
      <c r="AM671" s="32">
        <v>0</v>
      </c>
      <c r="AN671" s="32">
        <v>0</v>
      </c>
      <c r="AO671" s="32">
        <v>0</v>
      </c>
      <c r="AP671" s="32">
        <v>0.25</v>
      </c>
      <c r="AQ671" s="32">
        <v>3000</v>
      </c>
      <c r="AR671" s="32">
        <v>0.1</v>
      </c>
      <c r="AS671" s="32">
        <v>0</v>
      </c>
      <c r="AT671" s="19">
        <v>0</v>
      </c>
      <c r="AU671" s="339" t="s">
        <v>5773</v>
      </c>
      <c r="AV671" s="32"/>
      <c r="AW671" s="35" t="s">
        <v>262</v>
      </c>
      <c r="AX671" s="32" t="s">
        <v>551</v>
      </c>
      <c r="AY671" s="32">
        <v>10001007</v>
      </c>
      <c r="AZ671" s="32">
        <v>21010030</v>
      </c>
      <c r="BA671" s="35" t="s">
        <v>206</v>
      </c>
      <c r="BB671" s="35">
        <v>0</v>
      </c>
      <c r="BC671" s="31">
        <v>0</v>
      </c>
      <c r="BD671" s="31">
        <v>0</v>
      </c>
      <c r="BE671" s="185" t="str">
        <f t="shared" ref="BE671:BE676" si="30">"立即对目标范围内的怪物造成"&amp;X671*100&amp;"%攻击伤害+"&amp;Z671&amp;"点固定伤害,并使目标冰冻1秒,使其受到伤害额外提升30%"</f>
        <v>立即对目标范围内的怪物造成250%攻击伤害+1000点固定伤害,并使目标冰冻1秒,使其受到伤害额外提升30%</v>
      </c>
      <c r="BF671" s="185" t="s">
        <v>5768</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61021302</v>
      </c>
      <c r="D672" s="35" t="s">
        <v>1711</v>
      </c>
      <c r="E672" s="35" t="s">
        <v>1712</v>
      </c>
      <c r="F672" s="21">
        <v>1</v>
      </c>
      <c r="G672" s="32">
        <v>61021301</v>
      </c>
      <c r="H672" s="32">
        <f t="shared" ref="H672:H673" si="31">C673</f>
        <v>61021303</v>
      </c>
      <c r="I672" s="31">
        <v>0</v>
      </c>
      <c r="J672" s="21">
        <v>37</v>
      </c>
      <c r="K672" s="32">
        <v>2</v>
      </c>
      <c r="L672" s="21">
        <v>0</v>
      </c>
      <c r="M672" s="32">
        <v>0</v>
      </c>
      <c r="N672" s="32">
        <v>0</v>
      </c>
      <c r="O672" s="32">
        <v>1</v>
      </c>
      <c r="P672" s="32">
        <v>0</v>
      </c>
      <c r="Q672" s="32">
        <v>0</v>
      </c>
      <c r="R672" s="32">
        <v>0</v>
      </c>
      <c r="S672" s="19">
        <v>0</v>
      </c>
      <c r="T672" s="31">
        <v>0</v>
      </c>
      <c r="U672" s="21">
        <v>1</v>
      </c>
      <c r="V672" s="32">
        <v>2</v>
      </c>
      <c r="W672" s="32">
        <v>0</v>
      </c>
      <c r="X672" s="32">
        <v>2.5</v>
      </c>
      <c r="Y672" s="19">
        <v>0</v>
      </c>
      <c r="Z672" s="32">
        <v>1000</v>
      </c>
      <c r="AA672" s="32">
        <v>0</v>
      </c>
      <c r="AB672" s="32">
        <v>0</v>
      </c>
      <c r="AC672" s="32">
        <v>0</v>
      </c>
      <c r="AD672" s="32">
        <v>0</v>
      </c>
      <c r="AE672" s="32">
        <v>0</v>
      </c>
      <c r="AF672" s="32">
        <v>10</v>
      </c>
      <c r="AG672" s="32">
        <v>2</v>
      </c>
      <c r="AH672" s="32" t="s">
        <v>1713</v>
      </c>
      <c r="AI672" s="19">
        <v>2</v>
      </c>
      <c r="AJ672" s="19">
        <v>3</v>
      </c>
      <c r="AK672" s="19">
        <v>0</v>
      </c>
      <c r="AL672" s="19">
        <v>3</v>
      </c>
      <c r="AM672" s="32">
        <v>0</v>
      </c>
      <c r="AN672" s="32">
        <v>0</v>
      </c>
      <c r="AO672" s="32">
        <v>0</v>
      </c>
      <c r="AP672" s="32">
        <v>0.25</v>
      </c>
      <c r="AQ672" s="32">
        <v>3000</v>
      </c>
      <c r="AR672" s="32">
        <v>0.1</v>
      </c>
      <c r="AS672" s="32">
        <v>0</v>
      </c>
      <c r="AT672" s="19">
        <v>0</v>
      </c>
      <c r="AU672" s="339" t="s">
        <v>1714</v>
      </c>
      <c r="AV672" s="32"/>
      <c r="AW672" s="35" t="s">
        <v>262</v>
      </c>
      <c r="AX672" s="32" t="s">
        <v>551</v>
      </c>
      <c r="AY672" s="32">
        <v>10001007</v>
      </c>
      <c r="AZ672" s="32">
        <v>21010030</v>
      </c>
      <c r="BA672" s="35" t="s">
        <v>206</v>
      </c>
      <c r="BB672" s="35">
        <v>0</v>
      </c>
      <c r="BC672" s="31">
        <v>0</v>
      </c>
      <c r="BD672" s="31">
        <v>0</v>
      </c>
      <c r="BE672" s="185" t="str">
        <f t="shared" si="30"/>
        <v>立即对目标范围内的怪物造成250%攻击伤害+1000点固定伤害,并使目标冰冻1秒,使其受到伤害额外提升30%</v>
      </c>
      <c r="BF672" s="185" t="s">
        <v>5768</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61021303</v>
      </c>
      <c r="D673" s="35" t="s">
        <v>1711</v>
      </c>
      <c r="E673" s="35" t="s">
        <v>1712</v>
      </c>
      <c r="F673" s="21">
        <v>2</v>
      </c>
      <c r="G673" s="32">
        <v>61021301</v>
      </c>
      <c r="H673" s="32">
        <f t="shared" si="31"/>
        <v>61021304</v>
      </c>
      <c r="I673" s="31">
        <v>0</v>
      </c>
      <c r="J673" s="21">
        <v>42</v>
      </c>
      <c r="K673" s="32">
        <v>2</v>
      </c>
      <c r="L673" s="21">
        <v>0</v>
      </c>
      <c r="M673" s="32">
        <v>0</v>
      </c>
      <c r="N673" s="32">
        <v>0</v>
      </c>
      <c r="O673" s="32">
        <v>1</v>
      </c>
      <c r="P673" s="32">
        <v>0</v>
      </c>
      <c r="Q673" s="32">
        <v>0</v>
      </c>
      <c r="R673" s="32">
        <v>0</v>
      </c>
      <c r="S673" s="19">
        <v>0</v>
      </c>
      <c r="T673" s="31">
        <v>0</v>
      </c>
      <c r="U673" s="21">
        <v>1</v>
      </c>
      <c r="V673" s="32">
        <v>2</v>
      </c>
      <c r="W673" s="32">
        <v>0</v>
      </c>
      <c r="X673" s="32">
        <v>2.75</v>
      </c>
      <c r="Y673" s="19">
        <v>0</v>
      </c>
      <c r="Z673" s="32">
        <v>1500</v>
      </c>
      <c r="AA673" s="32">
        <v>0</v>
      </c>
      <c r="AB673" s="32">
        <v>0</v>
      </c>
      <c r="AC673" s="32">
        <v>0</v>
      </c>
      <c r="AD673" s="32">
        <v>0</v>
      </c>
      <c r="AE673" s="32">
        <v>0</v>
      </c>
      <c r="AF673" s="32">
        <v>10</v>
      </c>
      <c r="AG673" s="32">
        <v>2</v>
      </c>
      <c r="AH673" s="32" t="s">
        <v>1713</v>
      </c>
      <c r="AI673" s="19">
        <v>2</v>
      </c>
      <c r="AJ673" s="19">
        <v>3</v>
      </c>
      <c r="AK673" s="19">
        <v>0</v>
      </c>
      <c r="AL673" s="19">
        <v>3</v>
      </c>
      <c r="AM673" s="32">
        <v>0</v>
      </c>
      <c r="AN673" s="32">
        <v>0</v>
      </c>
      <c r="AO673" s="32">
        <v>0</v>
      </c>
      <c r="AP673" s="32">
        <v>0.25</v>
      </c>
      <c r="AQ673" s="32">
        <v>3000</v>
      </c>
      <c r="AR673" s="32">
        <v>0.1</v>
      </c>
      <c r="AS673" s="32">
        <v>0</v>
      </c>
      <c r="AT673" s="19">
        <v>0</v>
      </c>
      <c r="AU673" s="339" t="s">
        <v>1714</v>
      </c>
      <c r="AV673" s="32"/>
      <c r="AW673" s="35" t="s">
        <v>262</v>
      </c>
      <c r="AX673" s="32" t="s">
        <v>551</v>
      </c>
      <c r="AY673" s="32">
        <v>10001007</v>
      </c>
      <c r="AZ673" s="32">
        <v>21010030</v>
      </c>
      <c r="BA673" s="35" t="s">
        <v>206</v>
      </c>
      <c r="BB673" s="35">
        <v>0</v>
      </c>
      <c r="BC673" s="31">
        <v>0</v>
      </c>
      <c r="BD673" s="31">
        <v>0</v>
      </c>
      <c r="BE673" s="185" t="str">
        <f t="shared" si="30"/>
        <v>立即对目标范围内的怪物造成275%攻击伤害+1500点固定伤害,并使目标冰冻1秒,使其受到伤害额外提升30%</v>
      </c>
      <c r="BF673" s="185" t="s">
        <v>5769</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61021304</v>
      </c>
      <c r="D674" s="35" t="s">
        <v>1711</v>
      </c>
      <c r="E674" s="35" t="s">
        <v>1712</v>
      </c>
      <c r="F674" s="21">
        <v>3</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v>
      </c>
      <c r="Y674" s="19">
        <v>0</v>
      </c>
      <c r="Z674" s="32">
        <v>2000</v>
      </c>
      <c r="AA674" s="32">
        <v>0</v>
      </c>
      <c r="AB674" s="32">
        <v>0</v>
      </c>
      <c r="AC674" s="32">
        <v>0</v>
      </c>
      <c r="AD674" s="32">
        <v>0</v>
      </c>
      <c r="AE674" s="32">
        <v>0</v>
      </c>
      <c r="AF674" s="32">
        <v>10</v>
      </c>
      <c r="AG674" s="32">
        <v>2</v>
      </c>
      <c r="AH674" s="32" t="s">
        <v>1713</v>
      </c>
      <c r="AI674" s="19">
        <v>2</v>
      </c>
      <c r="AJ674" s="19">
        <v>3</v>
      </c>
      <c r="AK674" s="19">
        <v>0</v>
      </c>
      <c r="AL674" s="19">
        <v>3</v>
      </c>
      <c r="AM674" s="32">
        <v>0</v>
      </c>
      <c r="AN674" s="32">
        <v>0</v>
      </c>
      <c r="AO674" s="32">
        <v>0</v>
      </c>
      <c r="AP674" s="32">
        <v>0.25</v>
      </c>
      <c r="AQ674" s="32">
        <v>3000</v>
      </c>
      <c r="AR674" s="32">
        <v>0.1</v>
      </c>
      <c r="AS674" s="32">
        <v>0</v>
      </c>
      <c r="AT674" s="19">
        <v>0</v>
      </c>
      <c r="AU674" s="339" t="s">
        <v>1714</v>
      </c>
      <c r="AV674" s="32"/>
      <c r="AW674" s="35" t="s">
        <v>262</v>
      </c>
      <c r="AX674" s="32" t="s">
        <v>551</v>
      </c>
      <c r="AY674" s="32">
        <v>10001007</v>
      </c>
      <c r="AZ674" s="32">
        <v>21010030</v>
      </c>
      <c r="BA674" s="35" t="s">
        <v>206</v>
      </c>
      <c r="BB674" s="35">
        <v>0</v>
      </c>
      <c r="BC674" s="31">
        <v>0</v>
      </c>
      <c r="BD674" s="31">
        <v>0</v>
      </c>
      <c r="BE674" s="185" t="str">
        <f t="shared" si="30"/>
        <v>立即对目标范围内的怪物造成300%攻击伤害+2000点固定伤害,并使目标冰冻1秒,使其受到伤害额外提升30%</v>
      </c>
      <c r="BF674" s="185" t="s">
        <v>5770</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61021305</v>
      </c>
      <c r="D675" s="35" t="s">
        <v>1711</v>
      </c>
      <c r="E675" s="35" t="s">
        <v>1712</v>
      </c>
      <c r="F675" s="21">
        <v>4</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3.25</v>
      </c>
      <c r="Y675" s="19">
        <v>0</v>
      </c>
      <c r="Z675" s="32">
        <v>2750</v>
      </c>
      <c r="AA675" s="32">
        <v>0</v>
      </c>
      <c r="AB675" s="32">
        <v>0</v>
      </c>
      <c r="AC675" s="32">
        <v>0</v>
      </c>
      <c r="AD675" s="32">
        <v>0</v>
      </c>
      <c r="AE675" s="32">
        <v>0</v>
      </c>
      <c r="AF675" s="32">
        <v>10</v>
      </c>
      <c r="AG675" s="32">
        <v>2</v>
      </c>
      <c r="AH675" s="32" t="s">
        <v>1713</v>
      </c>
      <c r="AI675" s="19">
        <v>2</v>
      </c>
      <c r="AJ675" s="19">
        <v>3</v>
      </c>
      <c r="AK675" s="19">
        <v>0</v>
      </c>
      <c r="AL675" s="19">
        <v>3</v>
      </c>
      <c r="AM675" s="32">
        <v>0</v>
      </c>
      <c r="AN675" s="32">
        <v>0</v>
      </c>
      <c r="AO675" s="32">
        <v>0</v>
      </c>
      <c r="AP675" s="32">
        <v>0.25</v>
      </c>
      <c r="AQ675" s="32">
        <v>3000</v>
      </c>
      <c r="AR675" s="32">
        <v>0.1</v>
      </c>
      <c r="AS675" s="32">
        <v>0</v>
      </c>
      <c r="AT675" s="19">
        <v>0</v>
      </c>
      <c r="AU675" s="339" t="s">
        <v>1714</v>
      </c>
      <c r="AV675" s="32"/>
      <c r="AW675" s="35" t="s">
        <v>262</v>
      </c>
      <c r="AX675" s="32" t="s">
        <v>551</v>
      </c>
      <c r="AY675" s="32">
        <v>10001007</v>
      </c>
      <c r="AZ675" s="32">
        <v>21010030</v>
      </c>
      <c r="BA675" s="35" t="s">
        <v>206</v>
      </c>
      <c r="BB675" s="35">
        <v>0</v>
      </c>
      <c r="BC675" s="31">
        <v>0</v>
      </c>
      <c r="BD675" s="31">
        <v>0</v>
      </c>
      <c r="BE675" s="185" t="str">
        <f t="shared" si="30"/>
        <v>立即对目标范围内的怪物造成325%攻击伤害+2750点固定伤害,并使目标冰冻1秒,使其受到伤害额外提升30%</v>
      </c>
      <c r="BF675" s="185" t="s">
        <v>5771</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19.5" customHeight="1">
      <c r="C676" s="32">
        <v>61021306</v>
      </c>
      <c r="D676" s="35" t="s">
        <v>1711</v>
      </c>
      <c r="E676" s="35" t="s">
        <v>1712</v>
      </c>
      <c r="F676" s="21">
        <v>5</v>
      </c>
      <c r="G676" s="32">
        <v>61021301</v>
      </c>
      <c r="H676" s="21">
        <v>0</v>
      </c>
      <c r="I676" s="31">
        <v>0</v>
      </c>
      <c r="J676" s="32">
        <v>0</v>
      </c>
      <c r="K676" s="32">
        <v>0</v>
      </c>
      <c r="L676" s="21">
        <v>0</v>
      </c>
      <c r="M676" s="32">
        <v>0</v>
      </c>
      <c r="N676" s="32">
        <v>0</v>
      </c>
      <c r="O676" s="32">
        <v>1</v>
      </c>
      <c r="P676" s="32">
        <v>0</v>
      </c>
      <c r="Q676" s="32">
        <v>0</v>
      </c>
      <c r="R676" s="32">
        <v>0</v>
      </c>
      <c r="S676" s="19">
        <v>0</v>
      </c>
      <c r="T676" s="31">
        <v>0</v>
      </c>
      <c r="U676" s="21">
        <v>1</v>
      </c>
      <c r="V676" s="32">
        <v>2</v>
      </c>
      <c r="W676" s="32">
        <v>0</v>
      </c>
      <c r="X676" s="32">
        <v>3.5</v>
      </c>
      <c r="Y676" s="19">
        <v>0</v>
      </c>
      <c r="Z676" s="32">
        <v>3500</v>
      </c>
      <c r="AA676" s="32">
        <v>0</v>
      </c>
      <c r="AB676" s="32">
        <v>0</v>
      </c>
      <c r="AC676" s="32">
        <v>0</v>
      </c>
      <c r="AD676" s="32">
        <v>0</v>
      </c>
      <c r="AE676" s="32">
        <v>0</v>
      </c>
      <c r="AF676" s="32">
        <v>10</v>
      </c>
      <c r="AG676" s="32">
        <v>2</v>
      </c>
      <c r="AH676" s="32" t="s">
        <v>1713</v>
      </c>
      <c r="AI676" s="19">
        <v>2</v>
      </c>
      <c r="AJ676" s="19">
        <v>3</v>
      </c>
      <c r="AK676" s="19">
        <v>0</v>
      </c>
      <c r="AL676" s="19">
        <v>3</v>
      </c>
      <c r="AM676" s="32">
        <v>0</v>
      </c>
      <c r="AN676" s="32">
        <v>0</v>
      </c>
      <c r="AO676" s="32">
        <v>0</v>
      </c>
      <c r="AP676" s="32">
        <v>0.25</v>
      </c>
      <c r="AQ676" s="32">
        <v>3000</v>
      </c>
      <c r="AR676" s="32">
        <v>0.1</v>
      </c>
      <c r="AS676" s="32">
        <v>0</v>
      </c>
      <c r="AT676" s="19">
        <v>0</v>
      </c>
      <c r="AU676" s="339" t="s">
        <v>1714</v>
      </c>
      <c r="AV676" s="32"/>
      <c r="AW676" s="35" t="s">
        <v>262</v>
      </c>
      <c r="AX676" s="32" t="s">
        <v>551</v>
      </c>
      <c r="AY676" s="32">
        <v>10001007</v>
      </c>
      <c r="AZ676" s="32">
        <v>21010030</v>
      </c>
      <c r="BA676" s="35" t="s">
        <v>206</v>
      </c>
      <c r="BB676" s="35">
        <v>0</v>
      </c>
      <c r="BC676" s="31">
        <v>0</v>
      </c>
      <c r="BD676" s="31">
        <v>0</v>
      </c>
      <c r="BE676" s="185" t="str">
        <f t="shared" si="30"/>
        <v>立即对目标范围内的怪物造成350%攻击伤害+3500点固定伤害,并使目标冰冻1秒,使其受到伤害额外提升30%</v>
      </c>
      <c r="BF676" s="185" t="s">
        <v>5772</v>
      </c>
      <c r="BG676" s="32">
        <v>0</v>
      </c>
      <c r="BH676" s="21">
        <v>0</v>
      </c>
      <c r="BI676" s="32">
        <v>0</v>
      </c>
      <c r="BJ676" s="32">
        <v>0</v>
      </c>
      <c r="BK676" s="32">
        <v>0</v>
      </c>
      <c r="BL676" s="32">
        <v>0</v>
      </c>
      <c r="BM676" s="25">
        <v>0</v>
      </c>
      <c r="BN676" s="19">
        <v>0</v>
      </c>
      <c r="BO676" s="19">
        <v>0</v>
      </c>
      <c r="BP676" s="19">
        <v>0</v>
      </c>
      <c r="BQ676" s="19">
        <v>0</v>
      </c>
      <c r="BR676" s="19">
        <v>0</v>
      </c>
      <c r="BS676" s="19">
        <v>0</v>
      </c>
      <c r="BT676" s="19">
        <v>0</v>
      </c>
      <c r="BU676" s="23">
        <v>0</v>
      </c>
      <c r="BV676" s="23"/>
      <c r="BW676" s="23"/>
      <c r="BX676" s="23"/>
      <c r="BY676" s="23"/>
      <c r="BZ676" s="23"/>
    </row>
    <row r="677" spans="3:78" ht="20.100000000000001" customHeight="1">
      <c r="C677" s="19">
        <v>61021401</v>
      </c>
      <c r="D677" s="20" t="s">
        <v>1716</v>
      </c>
      <c r="E677" s="20" t="s">
        <v>1717</v>
      </c>
      <c r="F677" s="19">
        <v>0</v>
      </c>
      <c r="G677" s="19">
        <v>61021402</v>
      </c>
      <c r="H677" s="19">
        <v>61021402</v>
      </c>
      <c r="I677" s="19">
        <v>0</v>
      </c>
      <c r="J677" s="19">
        <v>35</v>
      </c>
      <c r="K677" s="19">
        <v>5</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1718</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1719</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61021402</v>
      </c>
      <c r="D678" s="20" t="s">
        <v>1716</v>
      </c>
      <c r="E678" s="20" t="s">
        <v>1717</v>
      </c>
      <c r="F678" s="19">
        <v>1</v>
      </c>
      <c r="G678" s="19">
        <v>61021402</v>
      </c>
      <c r="H678" s="19">
        <v>61021403</v>
      </c>
      <c r="I678" s="19">
        <v>0</v>
      </c>
      <c r="J678" s="19">
        <v>42</v>
      </c>
      <c r="K678" s="19">
        <v>2</v>
      </c>
      <c r="L678" s="19">
        <v>0</v>
      </c>
      <c r="M678" s="19">
        <v>0</v>
      </c>
      <c r="N678" s="19">
        <v>0</v>
      </c>
      <c r="O678" s="19">
        <v>1</v>
      </c>
      <c r="P678" s="19">
        <v>0</v>
      </c>
      <c r="Q678" s="19">
        <v>0</v>
      </c>
      <c r="R678" s="19">
        <v>0</v>
      </c>
      <c r="S678" s="19">
        <v>0</v>
      </c>
      <c r="T678" s="19">
        <v>0</v>
      </c>
      <c r="U678" s="19">
        <v>1</v>
      </c>
      <c r="V678" s="19">
        <v>2</v>
      </c>
      <c r="W678" s="19">
        <v>0</v>
      </c>
      <c r="X678" s="19">
        <v>2.5</v>
      </c>
      <c r="Y678" s="19">
        <v>0</v>
      </c>
      <c r="Z678" s="19">
        <v>1000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1718</v>
      </c>
      <c r="BB678" s="19">
        <v>0</v>
      </c>
      <c r="BC678" s="19">
        <v>0</v>
      </c>
      <c r="BD678" s="19">
        <v>0</v>
      </c>
      <c r="BE678" s="186" t="str">
        <f>"对目标区域释放一个引力场,引力场会不断牵附近怪物进入引力场,并对怪物造成"&amp;X678*100&amp;"%攻击伤害+"&amp;Z678&amp;"点固定伤害,随后在技能范围中的敌人每秒受到120%攻击伤害+"&amp;BR678&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8" s="186" t="s">
        <v>1719</v>
      </c>
      <c r="BG678" s="19">
        <v>0</v>
      </c>
      <c r="BH678" s="19">
        <v>0</v>
      </c>
      <c r="BI678" s="19">
        <v>0</v>
      </c>
      <c r="BJ678" s="19">
        <v>0</v>
      </c>
      <c r="BK678" s="19">
        <v>0</v>
      </c>
      <c r="BL678" s="19">
        <v>0</v>
      </c>
      <c r="BM678" s="187">
        <v>0</v>
      </c>
      <c r="BN678" s="19">
        <v>0</v>
      </c>
      <c r="BO678" s="19">
        <v>0</v>
      </c>
      <c r="BP678" s="19">
        <v>1000</v>
      </c>
      <c r="BQ678" s="19">
        <v>1.2</v>
      </c>
      <c r="BR678" s="19">
        <v>500</v>
      </c>
      <c r="BS678" s="19">
        <v>0</v>
      </c>
      <c r="BT678" s="19">
        <v>0</v>
      </c>
      <c r="BU678" s="23">
        <v>0</v>
      </c>
      <c r="BV678" s="23"/>
      <c r="BW678" s="23"/>
      <c r="BX678" s="23"/>
      <c r="BY678" s="23"/>
      <c r="BZ678" s="23"/>
    </row>
    <row r="679" spans="3:78" ht="20.100000000000001" customHeight="1">
      <c r="C679" s="19">
        <v>61021403</v>
      </c>
      <c r="D679" s="20" t="s">
        <v>1716</v>
      </c>
      <c r="E679" s="20" t="s">
        <v>1717</v>
      </c>
      <c r="F679" s="19">
        <v>2</v>
      </c>
      <c r="G679" s="19">
        <v>61021402</v>
      </c>
      <c r="H679" s="19">
        <v>61021404</v>
      </c>
      <c r="I679" s="19">
        <v>0</v>
      </c>
      <c r="J679" s="19">
        <v>47</v>
      </c>
      <c r="K679" s="19">
        <v>2</v>
      </c>
      <c r="L679" s="19">
        <v>0</v>
      </c>
      <c r="M679" s="19">
        <v>0</v>
      </c>
      <c r="N679" s="19">
        <v>0</v>
      </c>
      <c r="O679" s="19">
        <v>1</v>
      </c>
      <c r="P679" s="19">
        <v>0</v>
      </c>
      <c r="Q679" s="19">
        <v>0</v>
      </c>
      <c r="R679" s="19">
        <v>0</v>
      </c>
      <c r="S679" s="19">
        <v>0</v>
      </c>
      <c r="T679" s="19">
        <v>0</v>
      </c>
      <c r="U679" s="19">
        <v>1</v>
      </c>
      <c r="V679" s="19">
        <v>2</v>
      </c>
      <c r="W679" s="19">
        <v>0</v>
      </c>
      <c r="X679" s="19">
        <v>2.75</v>
      </c>
      <c r="Y679" s="19">
        <v>0</v>
      </c>
      <c r="Z679" s="19">
        <v>1500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1718</v>
      </c>
      <c r="BB679" s="19">
        <v>0</v>
      </c>
      <c r="BC679" s="19">
        <v>0</v>
      </c>
      <c r="BD679" s="19">
        <v>0</v>
      </c>
      <c r="BE679" s="186" t="str">
        <f>"对目标区域释放一个引力场,引力场会不断牵附近怪物进入引力场,并对怪物造成"&amp;X679*100&amp;"%攻击伤害+"&amp;Z679&amp;"点固定伤害,随后在技能范围中的敌人每秒受到140%攻击伤害+"&amp;BR679&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9" s="186" t="s">
        <v>1720</v>
      </c>
      <c r="BG679" s="19">
        <v>0</v>
      </c>
      <c r="BH679" s="19">
        <v>0</v>
      </c>
      <c r="BI679" s="19">
        <v>0</v>
      </c>
      <c r="BJ679" s="19">
        <v>0</v>
      </c>
      <c r="BK679" s="19">
        <v>0</v>
      </c>
      <c r="BL679" s="19">
        <v>0</v>
      </c>
      <c r="BM679" s="187">
        <v>0</v>
      </c>
      <c r="BN679" s="19">
        <v>0</v>
      </c>
      <c r="BO679" s="19">
        <v>0</v>
      </c>
      <c r="BP679" s="19">
        <v>1000</v>
      </c>
      <c r="BQ679" s="19">
        <v>1.4</v>
      </c>
      <c r="BR679" s="19">
        <v>1000</v>
      </c>
      <c r="BS679" s="19">
        <v>0</v>
      </c>
      <c r="BT679" s="19">
        <v>0</v>
      </c>
      <c r="BU679" s="23">
        <v>0</v>
      </c>
      <c r="BV679" s="23"/>
      <c r="BW679" s="23"/>
      <c r="BX679" s="23"/>
      <c r="BY679" s="23"/>
      <c r="BZ679" s="23"/>
    </row>
    <row r="680" spans="3:78" ht="20.100000000000001" customHeight="1">
      <c r="C680" s="19">
        <v>61021404</v>
      </c>
      <c r="D680" s="20" t="s">
        <v>1716</v>
      </c>
      <c r="E680" s="20" t="s">
        <v>1717</v>
      </c>
      <c r="F680" s="19">
        <v>3</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v>
      </c>
      <c r="Y680" s="19">
        <v>0</v>
      </c>
      <c r="Z680" s="19">
        <v>2000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1718</v>
      </c>
      <c r="BB680" s="19">
        <v>0</v>
      </c>
      <c r="BC680" s="19">
        <v>0</v>
      </c>
      <c r="BD680" s="19">
        <v>0</v>
      </c>
      <c r="BE680" s="186" t="str">
        <f>"对目标区域释放一个引力场,引力场会不断牵附近怪物进入引力场,并对怪物造成"&amp;X680*100&amp;"%攻击伤害+"&amp;Z680&amp;"点固定伤害,随后在技能范围中的敌人每秒受到160%攻击伤害+"&amp;BR680&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80" s="186" t="s">
        <v>1721</v>
      </c>
      <c r="BG680" s="19">
        <v>0</v>
      </c>
      <c r="BH680" s="19">
        <v>0</v>
      </c>
      <c r="BI680" s="19">
        <v>0</v>
      </c>
      <c r="BJ680" s="19">
        <v>0</v>
      </c>
      <c r="BK680" s="19">
        <v>0</v>
      </c>
      <c r="BL680" s="19">
        <v>0</v>
      </c>
      <c r="BM680" s="187">
        <v>0</v>
      </c>
      <c r="BN680" s="19">
        <v>0</v>
      </c>
      <c r="BO680" s="19">
        <v>0</v>
      </c>
      <c r="BP680" s="19">
        <v>1000</v>
      </c>
      <c r="BQ680" s="19">
        <v>1.6</v>
      </c>
      <c r="BR680" s="19">
        <v>1500</v>
      </c>
      <c r="BS680" s="19">
        <v>0</v>
      </c>
      <c r="BT680" s="19">
        <v>0</v>
      </c>
      <c r="BU680" s="23">
        <v>0</v>
      </c>
      <c r="BV680" s="23"/>
      <c r="BW680" s="23"/>
      <c r="BX680" s="23"/>
      <c r="BY680" s="23"/>
      <c r="BZ680" s="23"/>
    </row>
    <row r="681" spans="3:78" ht="20.100000000000001" customHeight="1">
      <c r="C681" s="19">
        <v>61021405</v>
      </c>
      <c r="D681" s="20" t="s">
        <v>1716</v>
      </c>
      <c r="E681" s="20" t="s">
        <v>1717</v>
      </c>
      <c r="F681" s="19">
        <v>4</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3.25</v>
      </c>
      <c r="Y681" s="19">
        <v>0</v>
      </c>
      <c r="Z681" s="19">
        <v>2750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1718</v>
      </c>
      <c r="BB681" s="19">
        <v>0</v>
      </c>
      <c r="BC681" s="19">
        <v>0</v>
      </c>
      <c r="BD681" s="19">
        <v>0</v>
      </c>
      <c r="BE681" s="186" t="str">
        <f>"对目标区域释放一个引力场,引力场会不断牵附近怪物进入引力场,并对怪物造成"&amp;X681*100&amp;"%攻击伤害+"&amp;Z681&amp;"点固定伤害,随后在技能范围中的敌人每秒受到180%攻击伤害+"&amp;BR681&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1" s="186" t="s">
        <v>1722</v>
      </c>
      <c r="BG681" s="19">
        <v>0</v>
      </c>
      <c r="BH681" s="19">
        <v>0</v>
      </c>
      <c r="BI681" s="19">
        <v>0</v>
      </c>
      <c r="BJ681" s="19">
        <v>0</v>
      </c>
      <c r="BK681" s="19">
        <v>0</v>
      </c>
      <c r="BL681" s="19">
        <v>0</v>
      </c>
      <c r="BM681" s="187">
        <v>0</v>
      </c>
      <c r="BN681" s="19">
        <v>0</v>
      </c>
      <c r="BO681" s="19">
        <v>0</v>
      </c>
      <c r="BP681" s="19">
        <v>1000</v>
      </c>
      <c r="BQ681" s="19">
        <v>1.8</v>
      </c>
      <c r="BR681" s="19">
        <v>2000</v>
      </c>
      <c r="BS681" s="19">
        <v>0</v>
      </c>
      <c r="BT681" s="19">
        <v>0</v>
      </c>
      <c r="BU681" s="23">
        <v>0</v>
      </c>
      <c r="BV681" s="23"/>
      <c r="BW681" s="23"/>
      <c r="BX681" s="23"/>
      <c r="BY681" s="23"/>
      <c r="BZ681" s="23"/>
    </row>
    <row r="682" spans="3:78" ht="20.100000000000001" customHeight="1">
      <c r="C682" s="19">
        <v>61021406</v>
      </c>
      <c r="D682" s="20" t="s">
        <v>1716</v>
      </c>
      <c r="E682" s="20" t="s">
        <v>1717</v>
      </c>
      <c r="F682" s="19">
        <v>5</v>
      </c>
      <c r="G682" s="19">
        <v>61021402</v>
      </c>
      <c r="H682" s="19">
        <v>0</v>
      </c>
      <c r="I682" s="19">
        <v>0</v>
      </c>
      <c r="J682" s="19">
        <v>0</v>
      </c>
      <c r="K682" s="19">
        <v>0</v>
      </c>
      <c r="L682" s="19">
        <v>0</v>
      </c>
      <c r="M682" s="19">
        <v>0</v>
      </c>
      <c r="N682" s="19">
        <v>0</v>
      </c>
      <c r="O682" s="19">
        <v>1</v>
      </c>
      <c r="P682" s="19">
        <v>0</v>
      </c>
      <c r="Q682" s="19">
        <v>0</v>
      </c>
      <c r="R682" s="19">
        <v>0</v>
      </c>
      <c r="S682" s="19">
        <v>0</v>
      </c>
      <c r="T682" s="19">
        <v>0</v>
      </c>
      <c r="U682" s="19">
        <v>1</v>
      </c>
      <c r="V682" s="19">
        <v>2</v>
      </c>
      <c r="W682" s="19">
        <v>0</v>
      </c>
      <c r="X682" s="19">
        <v>3.5</v>
      </c>
      <c r="Y682" s="19">
        <v>0</v>
      </c>
      <c r="Z682" s="19">
        <v>3500</v>
      </c>
      <c r="AA682" s="19">
        <v>1</v>
      </c>
      <c r="AB682" s="19">
        <v>0</v>
      </c>
      <c r="AC682" s="19">
        <v>0</v>
      </c>
      <c r="AD682" s="19">
        <v>0</v>
      </c>
      <c r="AE682" s="19">
        <v>0</v>
      </c>
      <c r="AF682" s="19">
        <v>18</v>
      </c>
      <c r="AG682" s="19">
        <v>1</v>
      </c>
      <c r="AH682" s="73">
        <v>4</v>
      </c>
      <c r="AI682" s="19">
        <v>2</v>
      </c>
      <c r="AJ682" s="19">
        <v>1</v>
      </c>
      <c r="AK682" s="19">
        <v>0</v>
      </c>
      <c r="AL682" s="19">
        <v>7</v>
      </c>
      <c r="AM682" s="19">
        <v>0</v>
      </c>
      <c r="AN682" s="19">
        <v>0</v>
      </c>
      <c r="AO682" s="19">
        <v>0</v>
      </c>
      <c r="AP682" s="19">
        <v>0.5</v>
      </c>
      <c r="AQ682" s="19">
        <v>6000</v>
      </c>
      <c r="AR682" s="19">
        <v>0.2</v>
      </c>
      <c r="AS682" s="19">
        <v>0</v>
      </c>
      <c r="AT682" s="19">
        <v>0</v>
      </c>
      <c r="AU682" s="19">
        <v>90001030</v>
      </c>
      <c r="AV682" s="19"/>
      <c r="AW682" s="20" t="s">
        <v>623</v>
      </c>
      <c r="AX682" s="19" t="s">
        <v>1047</v>
      </c>
      <c r="AY682" s="19">
        <v>10000007</v>
      </c>
      <c r="AZ682" s="19">
        <v>21010050</v>
      </c>
      <c r="BA682" s="20" t="s">
        <v>1718</v>
      </c>
      <c r="BB682" s="19">
        <v>0</v>
      </c>
      <c r="BC682" s="19">
        <v>0</v>
      </c>
      <c r="BD682" s="19">
        <v>0</v>
      </c>
      <c r="BE682" s="186" t="str">
        <f>"对目标区域释放一个引力场,引力场会不断牵附近怪物进入引力场,并对怪物造成"&amp;X682*100&amp;"%攻击伤害+"&amp;Z682&amp;"点固定伤害,随后在技能范围中的敌人每秒受到200%攻击伤害+"&amp;BR682&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2" s="186" t="s">
        <v>1723</v>
      </c>
      <c r="BG682" s="19">
        <v>0</v>
      </c>
      <c r="BH682" s="19">
        <v>0</v>
      </c>
      <c r="BI682" s="19">
        <v>0</v>
      </c>
      <c r="BJ682" s="19">
        <v>0</v>
      </c>
      <c r="BK682" s="19">
        <v>0</v>
      </c>
      <c r="BL682" s="19">
        <v>0</v>
      </c>
      <c r="BM682" s="187">
        <v>0</v>
      </c>
      <c r="BN682" s="19">
        <v>0</v>
      </c>
      <c r="BO682" s="19">
        <v>0</v>
      </c>
      <c r="BP682" s="19">
        <v>1000</v>
      </c>
      <c r="BQ682" s="19">
        <v>2</v>
      </c>
      <c r="BR682" s="19">
        <v>2500</v>
      </c>
      <c r="BS682" s="19">
        <v>0</v>
      </c>
      <c r="BT682" s="19">
        <v>0</v>
      </c>
      <c r="BU682" s="23">
        <v>0</v>
      </c>
      <c r="BV682" s="23"/>
      <c r="BW682" s="23"/>
      <c r="BX682" s="23"/>
      <c r="BY682" s="23"/>
      <c r="BZ682" s="23"/>
    </row>
    <row r="683" spans="3:78" ht="19.5" customHeight="1">
      <c r="C683" s="32">
        <v>61022101</v>
      </c>
      <c r="D683" s="35" t="s">
        <v>5755</v>
      </c>
      <c r="E683" s="35" t="s">
        <v>1725</v>
      </c>
      <c r="F683" s="21">
        <v>0</v>
      </c>
      <c r="G683" s="32">
        <v>61022101</v>
      </c>
      <c r="H683" s="32">
        <f>C684</f>
        <v>61022102</v>
      </c>
      <c r="I683" s="31">
        <v>0</v>
      </c>
      <c r="J683" s="21">
        <v>18</v>
      </c>
      <c r="K683" s="21">
        <v>5</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39" t="s">
        <v>5790</v>
      </c>
      <c r="AV683" s="32"/>
      <c r="AW683" s="35" t="s">
        <v>623</v>
      </c>
      <c r="AX683" s="32" t="s">
        <v>551</v>
      </c>
      <c r="AY683" s="32">
        <v>10001005</v>
      </c>
      <c r="AZ683" s="32">
        <v>21020010</v>
      </c>
      <c r="BA683" s="35" t="s">
        <v>206</v>
      </c>
      <c r="BB683" s="35">
        <v>0</v>
      </c>
      <c r="BC683" s="31">
        <v>0</v>
      </c>
      <c r="BD683" s="31">
        <v>0</v>
      </c>
      <c r="BE683" s="185" t="str">
        <f t="shared" ref="BE683:BE688" si="32">"霸体状态下蓄力1秒,立即对目标范围内的怪物造成"&amp;X683*100&amp;"%攻击伤害+"&amp;Z683&amp;"点固定伤害,并对目标造成易损状态,使其每秒损失50%伤害,持续5秒,并使其受到伤害额外提升30%。"</f>
        <v>霸体状态下蓄力1秒,立即对目标范围内的怪物造成700%攻击伤害+1850点固定伤害,并对目标造成易损状态,使其每秒损失50%伤害,持续5秒,并使其受到伤害额外提升30%。</v>
      </c>
      <c r="BF683" s="185" t="s">
        <v>5791</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61022102</v>
      </c>
      <c r="D684" s="35" t="s">
        <v>1724</v>
      </c>
      <c r="E684" s="35" t="s">
        <v>1725</v>
      </c>
      <c r="F684" s="21">
        <v>1</v>
      </c>
      <c r="G684" s="32">
        <v>61022101</v>
      </c>
      <c r="H684" s="32">
        <f t="shared" ref="H684:H685" si="33">C685</f>
        <v>61022103</v>
      </c>
      <c r="I684" s="31">
        <v>0</v>
      </c>
      <c r="J684" s="21">
        <v>27</v>
      </c>
      <c r="K684" s="21">
        <v>2</v>
      </c>
      <c r="L684" s="21">
        <v>0</v>
      </c>
      <c r="M684" s="32">
        <v>0</v>
      </c>
      <c r="N684" s="32">
        <v>0</v>
      </c>
      <c r="O684" s="32">
        <v>1</v>
      </c>
      <c r="P684" s="32">
        <v>0</v>
      </c>
      <c r="Q684" s="32">
        <v>0</v>
      </c>
      <c r="R684" s="32">
        <v>0</v>
      </c>
      <c r="S684" s="19">
        <v>0</v>
      </c>
      <c r="T684" s="31">
        <v>0</v>
      </c>
      <c r="U684" s="21">
        <v>1</v>
      </c>
      <c r="V684" s="32">
        <v>2</v>
      </c>
      <c r="W684" s="32">
        <v>0</v>
      </c>
      <c r="X684" s="32">
        <v>7</v>
      </c>
      <c r="Y684" s="19">
        <v>0</v>
      </c>
      <c r="Z684" s="32">
        <v>1850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39" t="s">
        <v>1726</v>
      </c>
      <c r="AV684" s="32"/>
      <c r="AW684" s="35" t="s">
        <v>623</v>
      </c>
      <c r="AX684" s="32" t="s">
        <v>551</v>
      </c>
      <c r="AY684" s="32">
        <v>10001005</v>
      </c>
      <c r="AZ684" s="32">
        <v>21020010</v>
      </c>
      <c r="BA684" s="35" t="s">
        <v>206</v>
      </c>
      <c r="BB684" s="35">
        <v>0</v>
      </c>
      <c r="BC684" s="31">
        <v>0</v>
      </c>
      <c r="BD684" s="31">
        <v>0</v>
      </c>
      <c r="BE684" s="185" t="str">
        <f t="shared" si="32"/>
        <v>霸体状态下蓄力1秒,立即对目标范围内的怪物造成700%攻击伤害+1850点固定伤害,并对目标造成易损状态,使其每秒损失50%伤害,持续5秒,并使其受到伤害额外提升30%。</v>
      </c>
      <c r="BF684" s="185" t="s">
        <v>5791</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61022103</v>
      </c>
      <c r="D685" s="35" t="s">
        <v>1724</v>
      </c>
      <c r="E685" s="35" t="s">
        <v>1725</v>
      </c>
      <c r="F685" s="21">
        <v>2</v>
      </c>
      <c r="G685" s="32">
        <v>61022101</v>
      </c>
      <c r="H685" s="32">
        <f t="shared" si="33"/>
        <v>61022104</v>
      </c>
      <c r="I685" s="31">
        <v>0</v>
      </c>
      <c r="J685" s="21">
        <v>32</v>
      </c>
      <c r="K685" s="21">
        <v>2</v>
      </c>
      <c r="L685" s="21">
        <v>0</v>
      </c>
      <c r="M685" s="32">
        <v>0</v>
      </c>
      <c r="N685" s="32">
        <v>0</v>
      </c>
      <c r="O685" s="32">
        <v>1</v>
      </c>
      <c r="P685" s="32">
        <v>0</v>
      </c>
      <c r="Q685" s="32">
        <v>0</v>
      </c>
      <c r="R685" s="32">
        <v>0</v>
      </c>
      <c r="S685" s="19">
        <v>0</v>
      </c>
      <c r="T685" s="31">
        <v>0</v>
      </c>
      <c r="U685" s="21">
        <v>1</v>
      </c>
      <c r="V685" s="32">
        <v>2</v>
      </c>
      <c r="W685" s="32">
        <v>0</v>
      </c>
      <c r="X685" s="32">
        <v>7.75</v>
      </c>
      <c r="Y685" s="19">
        <v>0</v>
      </c>
      <c r="Z685" s="32">
        <v>3200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39" t="s">
        <v>1726</v>
      </c>
      <c r="AV685" s="32"/>
      <c r="AW685" s="35" t="s">
        <v>623</v>
      </c>
      <c r="AX685" s="32" t="s">
        <v>551</v>
      </c>
      <c r="AY685" s="32">
        <v>10001005</v>
      </c>
      <c r="AZ685" s="32">
        <v>21020010</v>
      </c>
      <c r="BA685" s="35" t="s">
        <v>206</v>
      </c>
      <c r="BB685" s="35">
        <v>0</v>
      </c>
      <c r="BC685" s="31">
        <v>0</v>
      </c>
      <c r="BD685" s="31">
        <v>0</v>
      </c>
      <c r="BE685" s="185" t="str">
        <f t="shared" si="32"/>
        <v>霸体状态下蓄力1秒,立即对目标范围内的怪物造成775%攻击伤害+3200点固定伤害,并对目标造成易损状态,使其每秒损失50%伤害,持续5秒,并使其受到伤害额外提升30%。</v>
      </c>
      <c r="BF685" s="185" t="s">
        <v>5792</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61022104</v>
      </c>
      <c r="D686" s="35" t="s">
        <v>1724</v>
      </c>
      <c r="E686" s="35" t="s">
        <v>1725</v>
      </c>
      <c r="F686" s="21">
        <v>3</v>
      </c>
      <c r="G686" s="32">
        <v>61022101</v>
      </c>
      <c r="H686" s="21">
        <v>0</v>
      </c>
      <c r="I686" s="31">
        <v>0</v>
      </c>
      <c r="J686" s="21">
        <v>0</v>
      </c>
      <c r="K686" s="182">
        <v>0</v>
      </c>
      <c r="L686" s="21">
        <v>0</v>
      </c>
      <c r="M686" s="32">
        <v>0</v>
      </c>
      <c r="N686" s="32">
        <v>0</v>
      </c>
      <c r="O686" s="32">
        <v>1</v>
      </c>
      <c r="P686" s="32">
        <v>0</v>
      </c>
      <c r="Q686" s="32">
        <v>0</v>
      </c>
      <c r="R686" s="32">
        <v>0</v>
      </c>
      <c r="S686" s="19">
        <v>0</v>
      </c>
      <c r="T686" s="31">
        <v>0</v>
      </c>
      <c r="U686" s="21">
        <v>1</v>
      </c>
      <c r="V686" s="32">
        <v>2</v>
      </c>
      <c r="W686" s="32">
        <v>0</v>
      </c>
      <c r="X686" s="32">
        <v>8.5</v>
      </c>
      <c r="Y686" s="19">
        <v>0</v>
      </c>
      <c r="Z686" s="32">
        <v>4700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39" t="s">
        <v>1726</v>
      </c>
      <c r="AV686" s="32"/>
      <c r="AW686" s="35" t="s">
        <v>623</v>
      </c>
      <c r="AX686" s="32" t="s">
        <v>551</v>
      </c>
      <c r="AY686" s="32">
        <v>10001005</v>
      </c>
      <c r="AZ686" s="32">
        <v>21020010</v>
      </c>
      <c r="BA686" s="35" t="s">
        <v>206</v>
      </c>
      <c r="BB686" s="35">
        <v>0</v>
      </c>
      <c r="BC686" s="31">
        <v>0</v>
      </c>
      <c r="BD686" s="31">
        <v>0</v>
      </c>
      <c r="BE686" s="185" t="str">
        <f t="shared" si="32"/>
        <v>霸体状态下蓄力1秒,立即对目标范围内的怪物造成850%攻击伤害+4700点固定伤害,并对目标造成易损状态,使其每秒损失50%伤害,持续5秒,并使其受到伤害额外提升30%。</v>
      </c>
      <c r="BF686" s="185" t="s">
        <v>5793</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61022105</v>
      </c>
      <c r="D687" s="35" t="s">
        <v>1724</v>
      </c>
      <c r="E687" s="35" t="s">
        <v>1725</v>
      </c>
      <c r="F687" s="21">
        <v>4</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9.25</v>
      </c>
      <c r="Y687" s="19">
        <v>0</v>
      </c>
      <c r="Z687" s="32">
        <v>6500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39" t="s">
        <v>1726</v>
      </c>
      <c r="AV687" s="32"/>
      <c r="AW687" s="35" t="s">
        <v>623</v>
      </c>
      <c r="AX687" s="32" t="s">
        <v>551</v>
      </c>
      <c r="AY687" s="32">
        <v>10001005</v>
      </c>
      <c r="AZ687" s="32">
        <v>21020010</v>
      </c>
      <c r="BA687" s="35" t="s">
        <v>206</v>
      </c>
      <c r="BB687" s="35">
        <v>0</v>
      </c>
      <c r="BC687" s="31">
        <v>0</v>
      </c>
      <c r="BD687" s="31">
        <v>0</v>
      </c>
      <c r="BE687" s="185" t="str">
        <f t="shared" si="32"/>
        <v>霸体状态下蓄力1秒,立即对目标范围内的怪物造成925%攻击伤害+6500点固定伤害,并对目标造成易损状态,使其每秒损失50%伤害,持续5秒,并使其受到伤害额外提升30%。</v>
      </c>
      <c r="BF687" s="185" t="s">
        <v>5794</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32">
        <v>61022106</v>
      </c>
      <c r="D688" s="35" t="s">
        <v>1724</v>
      </c>
      <c r="E688" s="35" t="s">
        <v>1725</v>
      </c>
      <c r="F688" s="21">
        <v>5</v>
      </c>
      <c r="G688" s="32">
        <v>61022101</v>
      </c>
      <c r="H688" s="21">
        <v>0</v>
      </c>
      <c r="I688" s="31">
        <v>0</v>
      </c>
      <c r="J688" s="21">
        <v>0</v>
      </c>
      <c r="K688" s="21">
        <v>0</v>
      </c>
      <c r="L688" s="21">
        <v>0</v>
      </c>
      <c r="M688" s="32">
        <v>0</v>
      </c>
      <c r="N688" s="32">
        <v>0</v>
      </c>
      <c r="O688" s="32">
        <v>1</v>
      </c>
      <c r="P688" s="32">
        <v>0</v>
      </c>
      <c r="Q688" s="32">
        <v>0</v>
      </c>
      <c r="R688" s="32">
        <v>0</v>
      </c>
      <c r="S688" s="19">
        <v>0</v>
      </c>
      <c r="T688" s="31">
        <v>0</v>
      </c>
      <c r="U688" s="21">
        <v>1</v>
      </c>
      <c r="V688" s="32">
        <v>2</v>
      </c>
      <c r="W688" s="32">
        <v>0</v>
      </c>
      <c r="X688" s="32">
        <v>10</v>
      </c>
      <c r="Y688" s="19">
        <v>0</v>
      </c>
      <c r="Z688" s="32">
        <v>8300</v>
      </c>
      <c r="AA688" s="32">
        <v>1</v>
      </c>
      <c r="AB688" s="32">
        <v>0</v>
      </c>
      <c r="AC688" s="32">
        <v>0</v>
      </c>
      <c r="AD688" s="32">
        <v>0</v>
      </c>
      <c r="AE688" s="32">
        <v>0</v>
      </c>
      <c r="AF688" s="32">
        <v>9</v>
      </c>
      <c r="AG688" s="32">
        <v>1</v>
      </c>
      <c r="AH688" s="32">
        <v>8</v>
      </c>
      <c r="AI688" s="19">
        <v>0</v>
      </c>
      <c r="AJ688" s="19">
        <v>0</v>
      </c>
      <c r="AK688" s="19">
        <v>0</v>
      </c>
      <c r="AL688" s="19">
        <v>5</v>
      </c>
      <c r="AM688" s="32">
        <v>0</v>
      </c>
      <c r="AN688" s="32">
        <v>1</v>
      </c>
      <c r="AO688" s="32">
        <v>0</v>
      </c>
      <c r="AP688" s="32">
        <v>0</v>
      </c>
      <c r="AQ688" s="32">
        <v>2000</v>
      </c>
      <c r="AR688" s="32">
        <v>0.2</v>
      </c>
      <c r="AS688" s="32">
        <v>0</v>
      </c>
      <c r="AT688" s="19">
        <v>0</v>
      </c>
      <c r="AU688" s="339" t="s">
        <v>1726</v>
      </c>
      <c r="AV688" s="32"/>
      <c r="AW688" s="35" t="s">
        <v>623</v>
      </c>
      <c r="AX688" s="32" t="s">
        <v>551</v>
      </c>
      <c r="AY688" s="32">
        <v>10001005</v>
      </c>
      <c r="AZ688" s="32">
        <v>21020010</v>
      </c>
      <c r="BA688" s="35" t="s">
        <v>206</v>
      </c>
      <c r="BB688" s="35">
        <v>0</v>
      </c>
      <c r="BC688" s="31">
        <v>0</v>
      </c>
      <c r="BD688" s="31">
        <v>0</v>
      </c>
      <c r="BE688" s="185" t="str">
        <f t="shared" si="32"/>
        <v>霸体状态下蓄力1秒,立即对目标范围内的怪物造成1000%攻击伤害+8300点固定伤害,并对目标造成易损状态,使其每秒损失50%伤害,持续5秒,并使其受到伤害额外提升30%。</v>
      </c>
      <c r="BF688" s="185" t="s">
        <v>5795</v>
      </c>
      <c r="BG688" s="32">
        <v>0</v>
      </c>
      <c r="BH688" s="21">
        <v>0</v>
      </c>
      <c r="BI688" s="32">
        <v>0</v>
      </c>
      <c r="BJ688" s="32">
        <v>0</v>
      </c>
      <c r="BK688" s="32">
        <v>0</v>
      </c>
      <c r="BL688" s="32">
        <v>0</v>
      </c>
      <c r="BM688" s="25">
        <v>0</v>
      </c>
      <c r="BN688" s="19">
        <v>0</v>
      </c>
      <c r="BO688" s="19">
        <v>0</v>
      </c>
      <c r="BP688" s="19">
        <v>0</v>
      </c>
      <c r="BQ688" s="19">
        <v>0</v>
      </c>
      <c r="BR688" s="19">
        <v>0</v>
      </c>
      <c r="BS688" s="19">
        <v>0</v>
      </c>
      <c r="BT688" s="19">
        <v>0</v>
      </c>
      <c r="BU688" s="23">
        <v>0</v>
      </c>
      <c r="BV688" s="23"/>
      <c r="BW688" s="23"/>
      <c r="BX688" s="23"/>
      <c r="BY688" s="23"/>
      <c r="BZ688" s="23"/>
    </row>
    <row r="689" spans="3:78" ht="20.100000000000001" customHeight="1">
      <c r="C689" s="19">
        <v>61022201</v>
      </c>
      <c r="D689" s="20" t="s">
        <v>1727</v>
      </c>
      <c r="E689" s="20" t="s">
        <v>1728</v>
      </c>
      <c r="F689" s="19">
        <v>0</v>
      </c>
      <c r="G689" s="19">
        <v>61022201</v>
      </c>
      <c r="H689" s="19">
        <f>C690</f>
        <v>61022202</v>
      </c>
      <c r="I689" s="19">
        <v>0</v>
      </c>
      <c r="J689" s="19">
        <v>25</v>
      </c>
      <c r="K689" s="19">
        <v>5</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29" t="s">
        <v>5738</v>
      </c>
      <c r="AU689" s="19" t="s">
        <v>204</v>
      </c>
      <c r="AV689" s="19"/>
      <c r="AW689" s="20" t="s">
        <v>205</v>
      </c>
      <c r="AX689" s="19" t="s">
        <v>1415</v>
      </c>
      <c r="AY689" s="19">
        <v>0</v>
      </c>
      <c r="AZ689" s="19">
        <v>21020020</v>
      </c>
      <c r="BA689" s="20" t="s">
        <v>206</v>
      </c>
      <c r="BB689" s="20">
        <v>0</v>
      </c>
      <c r="BC689" s="19">
        <v>0</v>
      </c>
      <c r="BD689" s="19">
        <v>0</v>
      </c>
      <c r="BE689" s="186" t="s">
        <v>5780</v>
      </c>
      <c r="BF689" s="186" t="s">
        <v>5775</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61022202</v>
      </c>
      <c r="D690" s="20" t="s">
        <v>1727</v>
      </c>
      <c r="E690" s="20" t="s">
        <v>1728</v>
      </c>
      <c r="F690" s="19">
        <v>1</v>
      </c>
      <c r="G690" s="19">
        <v>61022201</v>
      </c>
      <c r="H690" s="19">
        <f t="shared" ref="H690:H691" si="34">C691</f>
        <v>61022203</v>
      </c>
      <c r="I690" s="19">
        <v>0</v>
      </c>
      <c r="J690" s="19">
        <v>32</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29" t="s">
        <v>5774</v>
      </c>
      <c r="AU690" s="19" t="s">
        <v>204</v>
      </c>
      <c r="AV690" s="19"/>
      <c r="AW690" s="20" t="s">
        <v>205</v>
      </c>
      <c r="AX690" s="19" t="s">
        <v>1415</v>
      </c>
      <c r="AY690" s="19">
        <v>0</v>
      </c>
      <c r="AZ690" s="19">
        <v>21020020</v>
      </c>
      <c r="BA690" s="20" t="s">
        <v>206</v>
      </c>
      <c r="BB690" s="20">
        <v>0</v>
      </c>
      <c r="BC690" s="19">
        <v>0</v>
      </c>
      <c r="BD690" s="19">
        <v>0</v>
      </c>
      <c r="BE690" s="186" t="s">
        <v>5780</v>
      </c>
      <c r="BF690" s="186" t="s">
        <v>5775</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61022203</v>
      </c>
      <c r="D691" s="20" t="s">
        <v>1727</v>
      </c>
      <c r="E691" s="20" t="s">
        <v>1728</v>
      </c>
      <c r="F691" s="19">
        <v>2</v>
      </c>
      <c r="G691" s="19">
        <v>61022201</v>
      </c>
      <c r="H691" s="19">
        <f t="shared" si="34"/>
        <v>61022204</v>
      </c>
      <c r="I691" s="19">
        <v>0</v>
      </c>
      <c r="J691" s="19">
        <v>37</v>
      </c>
      <c r="K691" s="19">
        <v>2</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29" t="s">
        <v>1729</v>
      </c>
      <c r="AU691" s="19" t="s">
        <v>204</v>
      </c>
      <c r="AV691" s="19"/>
      <c r="AW691" s="20" t="s">
        <v>205</v>
      </c>
      <c r="AX691" s="19" t="s">
        <v>1415</v>
      </c>
      <c r="AY691" s="19">
        <v>0</v>
      </c>
      <c r="AZ691" s="19">
        <v>21020020</v>
      </c>
      <c r="BA691" s="20" t="s">
        <v>206</v>
      </c>
      <c r="BB691" s="20">
        <v>0</v>
      </c>
      <c r="BC691" s="19">
        <v>0</v>
      </c>
      <c r="BD691" s="19">
        <v>0</v>
      </c>
      <c r="BE691" s="186" t="s">
        <v>5781</v>
      </c>
      <c r="BF691" s="186" t="s">
        <v>5776</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61022204</v>
      </c>
      <c r="D692" s="20" t="s">
        <v>1727</v>
      </c>
      <c r="E692" s="20" t="s">
        <v>1728</v>
      </c>
      <c r="F692" s="19">
        <v>3</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29" t="s">
        <v>1730</v>
      </c>
      <c r="AU692" s="19" t="s">
        <v>204</v>
      </c>
      <c r="AV692" s="19"/>
      <c r="AW692" s="20" t="s">
        <v>205</v>
      </c>
      <c r="AX692" s="19" t="s">
        <v>1415</v>
      </c>
      <c r="AY692" s="19">
        <v>0</v>
      </c>
      <c r="AZ692" s="19">
        <v>21020020</v>
      </c>
      <c r="BA692" s="20" t="s">
        <v>206</v>
      </c>
      <c r="BB692" s="20">
        <v>0</v>
      </c>
      <c r="BC692" s="19">
        <v>0</v>
      </c>
      <c r="BD692" s="19">
        <v>0</v>
      </c>
      <c r="BE692" s="186" t="s">
        <v>5782</v>
      </c>
      <c r="BF692" s="186" t="s">
        <v>5777</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61022205</v>
      </c>
      <c r="D693" s="20" t="s">
        <v>1727</v>
      </c>
      <c r="E693" s="20" t="s">
        <v>1728</v>
      </c>
      <c r="F693" s="19">
        <v>4</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29" t="s">
        <v>1731</v>
      </c>
      <c r="AU693" s="19" t="s">
        <v>204</v>
      </c>
      <c r="AV693" s="19"/>
      <c r="AW693" s="20" t="s">
        <v>205</v>
      </c>
      <c r="AX693" s="19" t="s">
        <v>1415</v>
      </c>
      <c r="AY693" s="19">
        <v>0</v>
      </c>
      <c r="AZ693" s="19">
        <v>21020020</v>
      </c>
      <c r="BA693" s="20" t="s">
        <v>206</v>
      </c>
      <c r="BB693" s="20">
        <v>0</v>
      </c>
      <c r="BC693" s="19">
        <v>0</v>
      </c>
      <c r="BD693" s="19">
        <v>0</v>
      </c>
      <c r="BE693" s="186" t="s">
        <v>5783</v>
      </c>
      <c r="BF693" s="186" t="s">
        <v>5778</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19">
        <v>61022206</v>
      </c>
      <c r="D694" s="20" t="s">
        <v>1727</v>
      </c>
      <c r="E694" s="20" t="s">
        <v>1728</v>
      </c>
      <c r="F694" s="19">
        <v>5</v>
      </c>
      <c r="G694" s="19">
        <v>61022201</v>
      </c>
      <c r="H694" s="19">
        <v>0</v>
      </c>
      <c r="I694" s="19">
        <v>0</v>
      </c>
      <c r="J694" s="19">
        <v>0</v>
      </c>
      <c r="K694" s="19">
        <v>0</v>
      </c>
      <c r="L694" s="19">
        <v>0</v>
      </c>
      <c r="M694" s="19">
        <v>0</v>
      </c>
      <c r="N694" s="19">
        <v>0</v>
      </c>
      <c r="O694" s="19">
        <v>1</v>
      </c>
      <c r="P694" s="19">
        <v>0</v>
      </c>
      <c r="Q694" s="19">
        <v>0</v>
      </c>
      <c r="R694" s="19">
        <v>0</v>
      </c>
      <c r="S694" s="19">
        <v>0</v>
      </c>
      <c r="T694" s="19">
        <v>0</v>
      </c>
      <c r="U694" s="19">
        <v>1</v>
      </c>
      <c r="V694" s="19">
        <v>2</v>
      </c>
      <c r="W694" s="19">
        <v>0</v>
      </c>
      <c r="X694" s="19">
        <v>0</v>
      </c>
      <c r="Y694" s="19">
        <v>0</v>
      </c>
      <c r="Z694" s="19">
        <v>0</v>
      </c>
      <c r="AA694" s="19">
        <v>0</v>
      </c>
      <c r="AB694" s="19">
        <v>0</v>
      </c>
      <c r="AC694" s="19">
        <v>0</v>
      </c>
      <c r="AD694" s="19">
        <v>0</v>
      </c>
      <c r="AE694" s="19">
        <v>0</v>
      </c>
      <c r="AF694" s="19">
        <v>30</v>
      </c>
      <c r="AG694" s="19">
        <v>0</v>
      </c>
      <c r="AH694" s="19">
        <v>0</v>
      </c>
      <c r="AI694" s="19">
        <v>0</v>
      </c>
      <c r="AJ694" s="19">
        <v>0</v>
      </c>
      <c r="AK694" s="19">
        <v>0</v>
      </c>
      <c r="AL694" s="19">
        <v>0</v>
      </c>
      <c r="AM694" s="19">
        <v>0</v>
      </c>
      <c r="AN694" s="19">
        <v>0</v>
      </c>
      <c r="AO694" s="19">
        <v>0</v>
      </c>
      <c r="AP694" s="19">
        <v>0.2</v>
      </c>
      <c r="AQ694" s="19">
        <v>3000</v>
      </c>
      <c r="AR694" s="19">
        <v>0.5</v>
      </c>
      <c r="AS694" s="19">
        <v>0</v>
      </c>
      <c r="AT694" s="329" t="s">
        <v>1732</v>
      </c>
      <c r="AU694" s="19" t="s">
        <v>204</v>
      </c>
      <c r="AV694" s="19"/>
      <c r="AW694" s="20" t="s">
        <v>205</v>
      </c>
      <c r="AX694" s="19" t="s">
        <v>1415</v>
      </c>
      <c r="AY694" s="19">
        <v>0</v>
      </c>
      <c r="AZ694" s="19">
        <v>21020020</v>
      </c>
      <c r="BA694" s="20" t="s">
        <v>206</v>
      </c>
      <c r="BB694" s="20">
        <v>0</v>
      </c>
      <c r="BC694" s="19">
        <v>0</v>
      </c>
      <c r="BD694" s="19">
        <v>0</v>
      </c>
      <c r="BE694" s="186" t="s">
        <v>5784</v>
      </c>
      <c r="BF694" s="186" t="s">
        <v>5779</v>
      </c>
      <c r="BG694" s="19">
        <v>0</v>
      </c>
      <c r="BH694" s="19">
        <v>0</v>
      </c>
      <c r="BI694" s="19">
        <v>0</v>
      </c>
      <c r="BJ694" s="19">
        <v>0</v>
      </c>
      <c r="BK694" s="19">
        <v>0</v>
      </c>
      <c r="BL694" s="19">
        <v>0</v>
      </c>
      <c r="BM694" s="187">
        <v>0</v>
      </c>
      <c r="BN694" s="19">
        <v>1</v>
      </c>
      <c r="BO694" s="19">
        <v>0</v>
      </c>
      <c r="BP694" s="19">
        <v>0</v>
      </c>
      <c r="BQ694" s="19">
        <v>0</v>
      </c>
      <c r="BR694" s="19">
        <v>0</v>
      </c>
      <c r="BS694" s="19">
        <v>0</v>
      </c>
      <c r="BT694" s="19">
        <v>0</v>
      </c>
      <c r="BU694" s="23">
        <v>0</v>
      </c>
      <c r="BV694" s="23"/>
      <c r="BW694" s="23"/>
      <c r="BX694" s="23"/>
      <c r="BY694" s="23"/>
      <c r="BZ694" s="23"/>
    </row>
    <row r="695" spans="3:78" ht="20.100000000000001" customHeight="1">
      <c r="C695" s="32">
        <v>61022211</v>
      </c>
      <c r="D695" s="35" t="s">
        <v>1733</v>
      </c>
      <c r="E695" s="35" t="s">
        <v>1734</v>
      </c>
      <c r="F695" s="32">
        <v>1</v>
      </c>
      <c r="G695" s="25">
        <v>0</v>
      </c>
      <c r="H695" s="32">
        <v>0</v>
      </c>
      <c r="I695" s="31">
        <v>0</v>
      </c>
      <c r="J695" s="32">
        <v>1</v>
      </c>
      <c r="K695" s="32">
        <v>0</v>
      </c>
      <c r="L695" s="32">
        <v>0</v>
      </c>
      <c r="M695" s="32">
        <v>0</v>
      </c>
      <c r="N695" s="32">
        <v>0</v>
      </c>
      <c r="O695" s="32">
        <v>2</v>
      </c>
      <c r="P695" s="32">
        <v>1</v>
      </c>
      <c r="Q695" s="32">
        <v>0.5</v>
      </c>
      <c r="R695" s="32">
        <v>0</v>
      </c>
      <c r="S695" s="19">
        <v>0</v>
      </c>
      <c r="T695" s="31">
        <v>0</v>
      </c>
      <c r="U695" s="21">
        <v>1</v>
      </c>
      <c r="V695" s="32">
        <v>1</v>
      </c>
      <c r="W695" s="32">
        <v>0</v>
      </c>
      <c r="X695" s="32">
        <v>2.5</v>
      </c>
      <c r="Y695" s="19">
        <v>0</v>
      </c>
      <c r="Z695" s="32">
        <v>0</v>
      </c>
      <c r="AA695" s="32">
        <v>0</v>
      </c>
      <c r="AB695" s="32">
        <v>0</v>
      </c>
      <c r="AC695" s="32">
        <v>0</v>
      </c>
      <c r="AD695" s="32">
        <v>1</v>
      </c>
      <c r="AE695" s="32">
        <v>0</v>
      </c>
      <c r="AF695" s="32">
        <v>5</v>
      </c>
      <c r="AG695" s="32">
        <v>1</v>
      </c>
      <c r="AH695" s="32">
        <v>3</v>
      </c>
      <c r="AI695" s="19">
        <v>2</v>
      </c>
      <c r="AJ695" s="19">
        <v>1</v>
      </c>
      <c r="AK695" s="19">
        <v>0</v>
      </c>
      <c r="AL695" s="19">
        <v>6</v>
      </c>
      <c r="AM695" s="32">
        <v>0</v>
      </c>
      <c r="AN695" s="32">
        <v>0</v>
      </c>
      <c r="AO695" s="32">
        <v>0</v>
      </c>
      <c r="AP695" s="32">
        <v>0</v>
      </c>
      <c r="AQ695" s="32">
        <v>5000</v>
      </c>
      <c r="AR695" s="32">
        <v>0.2</v>
      </c>
      <c r="AS695" s="32">
        <v>0</v>
      </c>
      <c r="AT695" s="188">
        <v>0</v>
      </c>
      <c r="AU695" s="339" t="s">
        <v>5739</v>
      </c>
      <c r="AV695" s="32"/>
      <c r="AW695" s="35" t="s">
        <v>204</v>
      </c>
      <c r="AX695" s="32" t="s">
        <v>1735</v>
      </c>
      <c r="AY695" s="32">
        <v>10000006</v>
      </c>
      <c r="AZ695" s="26">
        <v>60000004</v>
      </c>
      <c r="BA695" s="35" t="s">
        <v>1736</v>
      </c>
      <c r="BB695" s="35" t="s">
        <v>204</v>
      </c>
      <c r="BC695" s="31">
        <v>0</v>
      </c>
      <c r="BD695" s="31">
        <v>0</v>
      </c>
      <c r="BE695" s="60"/>
      <c r="BF695" s="60"/>
      <c r="BG695" s="32">
        <v>0</v>
      </c>
      <c r="BH695" s="21">
        <v>0</v>
      </c>
      <c r="BI695" s="32">
        <v>0</v>
      </c>
      <c r="BJ695" s="32">
        <v>0</v>
      </c>
      <c r="BK695" s="32">
        <v>0</v>
      </c>
      <c r="BL695" s="32">
        <v>0</v>
      </c>
      <c r="BM695" s="25">
        <v>0</v>
      </c>
      <c r="BN695" s="19">
        <v>1</v>
      </c>
      <c r="BO695" s="19">
        <v>0</v>
      </c>
      <c r="BP695" s="19">
        <v>0</v>
      </c>
      <c r="BQ695" s="19">
        <v>0</v>
      </c>
      <c r="BR695" s="19">
        <v>0</v>
      </c>
      <c r="BS695" s="19">
        <v>0</v>
      </c>
      <c r="BT695" s="19">
        <v>0</v>
      </c>
      <c r="BU695" s="23">
        <v>0</v>
      </c>
      <c r="BV695" s="23"/>
      <c r="BW695" s="23"/>
      <c r="BX695" s="23"/>
      <c r="BY695" s="23"/>
      <c r="BZ695" s="23"/>
    </row>
    <row r="696" spans="3:78" ht="19.5" customHeight="1">
      <c r="C696" s="32">
        <v>61022301</v>
      </c>
      <c r="D696" s="35" t="s">
        <v>5740</v>
      </c>
      <c r="E696" s="35" t="s">
        <v>1738</v>
      </c>
      <c r="F696" s="21">
        <v>0</v>
      </c>
      <c r="G696" s="32">
        <v>61022301</v>
      </c>
      <c r="H696" s="32">
        <f>C697</f>
        <v>61022302</v>
      </c>
      <c r="I696" s="31">
        <v>0</v>
      </c>
      <c r="J696" s="21">
        <v>30</v>
      </c>
      <c r="K696" s="32">
        <v>5</v>
      </c>
      <c r="L696" s="21">
        <v>0</v>
      </c>
      <c r="M696" s="32">
        <v>0</v>
      </c>
      <c r="N696" s="32">
        <v>0</v>
      </c>
      <c r="O696" s="32">
        <v>1</v>
      </c>
      <c r="P696" s="32">
        <v>0</v>
      </c>
      <c r="Q696" s="32">
        <v>0</v>
      </c>
      <c r="R696" s="32">
        <v>0</v>
      </c>
      <c r="S696" s="19">
        <v>0</v>
      </c>
      <c r="T696" s="31">
        <v>0</v>
      </c>
      <c r="U696" s="21">
        <v>1</v>
      </c>
      <c r="V696" s="32">
        <v>2</v>
      </c>
      <c r="W696" s="32">
        <v>0</v>
      </c>
      <c r="X696" s="32">
        <v>1.4</v>
      </c>
      <c r="Y696" s="19">
        <v>0</v>
      </c>
      <c r="Z696" s="32">
        <v>500</v>
      </c>
      <c r="AA696" s="32">
        <v>1</v>
      </c>
      <c r="AB696" s="32">
        <v>0</v>
      </c>
      <c r="AC696" s="32">
        <v>0</v>
      </c>
      <c r="AD696" s="32">
        <v>0</v>
      </c>
      <c r="AE696" s="32">
        <v>0</v>
      </c>
      <c r="AF696" s="32">
        <v>12</v>
      </c>
      <c r="AG696" s="32">
        <v>2</v>
      </c>
      <c r="AH696" s="32" t="s">
        <v>1739</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1740</v>
      </c>
      <c r="AX696" s="32" t="s">
        <v>1741</v>
      </c>
      <c r="AY696" s="32">
        <v>10001006</v>
      </c>
      <c r="AZ696" s="32">
        <v>21020030</v>
      </c>
      <c r="BA696" s="35" t="s">
        <v>321</v>
      </c>
      <c r="BB696" s="35" t="s">
        <v>1742</v>
      </c>
      <c r="BC696" s="31">
        <v>0</v>
      </c>
      <c r="BD696" s="31">
        <v>0</v>
      </c>
      <c r="BE696" s="185" t="str">
        <f>"立即对目标范围内的怪物每秒多次造成"&amp;X696*100&amp;"%攻击伤害+"&amp;Z696&amp;"点固定伤害,并使目标眩晕,持续2秒"</f>
        <v>立即对目标范围内的怪物每秒多次造成140%攻击伤害+500点固定伤害,并使目标眩晕,持续2秒</v>
      </c>
      <c r="BF696" s="185" t="s">
        <v>5785</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61022302</v>
      </c>
      <c r="D697" s="35" t="s">
        <v>1737</v>
      </c>
      <c r="E697" s="35" t="s">
        <v>1738</v>
      </c>
      <c r="F697" s="21">
        <v>1</v>
      </c>
      <c r="G697" s="32">
        <v>61022301</v>
      </c>
      <c r="H697" s="32">
        <f t="shared" ref="H697:H698" si="35">C698</f>
        <v>61022303</v>
      </c>
      <c r="I697" s="31">
        <v>0</v>
      </c>
      <c r="J697" s="21">
        <v>37</v>
      </c>
      <c r="K697" s="32">
        <v>2</v>
      </c>
      <c r="L697" s="21">
        <v>0</v>
      </c>
      <c r="M697" s="32">
        <v>0</v>
      </c>
      <c r="N697" s="32">
        <v>0</v>
      </c>
      <c r="O697" s="32">
        <v>1</v>
      </c>
      <c r="P697" s="32">
        <v>0</v>
      </c>
      <c r="Q697" s="32">
        <v>0</v>
      </c>
      <c r="R697" s="32">
        <v>0</v>
      </c>
      <c r="S697" s="19">
        <v>0</v>
      </c>
      <c r="T697" s="31">
        <v>0</v>
      </c>
      <c r="U697" s="21">
        <v>1</v>
      </c>
      <c r="V697" s="32">
        <v>2</v>
      </c>
      <c r="W697" s="32">
        <v>0</v>
      </c>
      <c r="X697" s="32">
        <v>1.4</v>
      </c>
      <c r="Y697" s="19">
        <v>0</v>
      </c>
      <c r="Z697" s="32">
        <v>500</v>
      </c>
      <c r="AA697" s="32">
        <v>1</v>
      </c>
      <c r="AB697" s="32">
        <v>0</v>
      </c>
      <c r="AC697" s="32">
        <v>0</v>
      </c>
      <c r="AD697" s="32">
        <v>0</v>
      </c>
      <c r="AE697" s="32">
        <v>0</v>
      </c>
      <c r="AF697" s="32">
        <v>12</v>
      </c>
      <c r="AG697" s="32">
        <v>2</v>
      </c>
      <c r="AH697" s="32" t="s">
        <v>1739</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1740</v>
      </c>
      <c r="AX697" s="32" t="s">
        <v>1741</v>
      </c>
      <c r="AY697" s="32">
        <v>10001006</v>
      </c>
      <c r="AZ697" s="32">
        <v>21020030</v>
      </c>
      <c r="BA697" s="35" t="s">
        <v>321</v>
      </c>
      <c r="BB697" s="35" t="s">
        <v>1742</v>
      </c>
      <c r="BC697" s="31">
        <v>0</v>
      </c>
      <c r="BD697" s="31">
        <v>0</v>
      </c>
      <c r="BE697" s="185" t="str">
        <f t="shared" ref="BE697:BE701" si="36">"立即对目标范围内的怪物每秒多次造成"&amp;X697*100&amp;"%攻击伤害+"&amp;Z697&amp;"点固定伤害,并使目标眩晕,持续2秒"</f>
        <v>立即对目标范围内的怪物每秒多次造成140%攻击伤害+500点固定伤害,并使目标眩晕,持续2秒</v>
      </c>
      <c r="BF697" s="185" t="s">
        <v>5785</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61022303</v>
      </c>
      <c r="D698" s="35" t="s">
        <v>1737</v>
      </c>
      <c r="E698" s="35" t="s">
        <v>1738</v>
      </c>
      <c r="F698" s="21">
        <v>2</v>
      </c>
      <c r="G698" s="32">
        <v>61022301</v>
      </c>
      <c r="H698" s="32">
        <f t="shared" si="35"/>
        <v>61022304</v>
      </c>
      <c r="I698" s="31">
        <v>0</v>
      </c>
      <c r="J698" s="21">
        <v>42</v>
      </c>
      <c r="K698" s="32">
        <v>2</v>
      </c>
      <c r="L698" s="21">
        <v>0</v>
      </c>
      <c r="M698" s="32">
        <v>0</v>
      </c>
      <c r="N698" s="32">
        <v>0</v>
      </c>
      <c r="O698" s="32">
        <v>1</v>
      </c>
      <c r="P698" s="32">
        <v>0</v>
      </c>
      <c r="Q698" s="32">
        <v>0</v>
      </c>
      <c r="R698" s="32">
        <v>0</v>
      </c>
      <c r="S698" s="19">
        <v>0</v>
      </c>
      <c r="T698" s="31">
        <v>0</v>
      </c>
      <c r="U698" s="21">
        <v>1</v>
      </c>
      <c r="V698" s="32">
        <v>2</v>
      </c>
      <c r="W698" s="32">
        <v>0</v>
      </c>
      <c r="X698" s="32">
        <v>1.6</v>
      </c>
      <c r="Y698" s="19">
        <v>0</v>
      </c>
      <c r="Z698" s="32">
        <v>800</v>
      </c>
      <c r="AA698" s="32">
        <v>1</v>
      </c>
      <c r="AB698" s="32">
        <v>0</v>
      </c>
      <c r="AC698" s="32">
        <v>0</v>
      </c>
      <c r="AD698" s="32">
        <v>0</v>
      </c>
      <c r="AE698" s="32">
        <v>0</v>
      </c>
      <c r="AF698" s="32">
        <v>12</v>
      </c>
      <c r="AG698" s="32">
        <v>2</v>
      </c>
      <c r="AH698" s="32" t="s">
        <v>1739</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1740</v>
      </c>
      <c r="AX698" s="32" t="s">
        <v>1741</v>
      </c>
      <c r="AY698" s="32">
        <v>10001006</v>
      </c>
      <c r="AZ698" s="32">
        <v>21020030</v>
      </c>
      <c r="BA698" s="35" t="s">
        <v>321</v>
      </c>
      <c r="BB698" s="35" t="s">
        <v>1742</v>
      </c>
      <c r="BC698" s="31">
        <v>0</v>
      </c>
      <c r="BD698" s="31">
        <v>0</v>
      </c>
      <c r="BE698" s="185" t="str">
        <f t="shared" si="36"/>
        <v>立即对目标范围内的怪物每秒多次造成160%攻击伤害+800点固定伤害,并使目标眩晕,持续2秒</v>
      </c>
      <c r="BF698" s="185" t="s">
        <v>5786</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61022304</v>
      </c>
      <c r="D699" s="35" t="s">
        <v>1737</v>
      </c>
      <c r="E699" s="35" t="s">
        <v>1738</v>
      </c>
      <c r="F699" s="21">
        <v>3</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1.8</v>
      </c>
      <c r="Y699" s="19">
        <v>0</v>
      </c>
      <c r="Z699" s="32">
        <v>1150</v>
      </c>
      <c r="AA699" s="32">
        <v>1</v>
      </c>
      <c r="AB699" s="32">
        <v>0</v>
      </c>
      <c r="AC699" s="32">
        <v>0</v>
      </c>
      <c r="AD699" s="32">
        <v>0</v>
      </c>
      <c r="AE699" s="32">
        <v>0</v>
      </c>
      <c r="AF699" s="32">
        <v>12</v>
      </c>
      <c r="AG699" s="32">
        <v>2</v>
      </c>
      <c r="AH699" s="32" t="s">
        <v>1739</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1740</v>
      </c>
      <c r="AX699" s="32" t="s">
        <v>1741</v>
      </c>
      <c r="AY699" s="32">
        <v>10001006</v>
      </c>
      <c r="AZ699" s="32">
        <v>21020030</v>
      </c>
      <c r="BA699" s="35" t="s">
        <v>321</v>
      </c>
      <c r="BB699" s="35" t="s">
        <v>1742</v>
      </c>
      <c r="BC699" s="31">
        <v>0</v>
      </c>
      <c r="BD699" s="31">
        <v>0</v>
      </c>
      <c r="BE699" s="185" t="str">
        <f t="shared" si="36"/>
        <v>立即对目标范围内的怪物每秒多次造成180%攻击伤害+1150点固定伤害,并使目标眩晕,持续2秒</v>
      </c>
      <c r="BF699" s="185" t="s">
        <v>5787</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61022305</v>
      </c>
      <c r="D700" s="35" t="s">
        <v>1737</v>
      </c>
      <c r="E700" s="35" t="s">
        <v>1738</v>
      </c>
      <c r="F700" s="21">
        <v>4</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2</v>
      </c>
      <c r="Y700" s="19">
        <v>0</v>
      </c>
      <c r="Z700" s="32">
        <v>1550</v>
      </c>
      <c r="AA700" s="32">
        <v>1</v>
      </c>
      <c r="AB700" s="32">
        <v>0</v>
      </c>
      <c r="AC700" s="32">
        <v>0</v>
      </c>
      <c r="AD700" s="32">
        <v>0</v>
      </c>
      <c r="AE700" s="32">
        <v>0</v>
      </c>
      <c r="AF700" s="32">
        <v>12</v>
      </c>
      <c r="AG700" s="32">
        <v>2</v>
      </c>
      <c r="AH700" s="32" t="s">
        <v>1739</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1740</v>
      </c>
      <c r="AX700" s="32" t="s">
        <v>1741</v>
      </c>
      <c r="AY700" s="32">
        <v>10001006</v>
      </c>
      <c r="AZ700" s="32">
        <v>21020030</v>
      </c>
      <c r="BA700" s="35" t="s">
        <v>321</v>
      </c>
      <c r="BB700" s="35" t="s">
        <v>1742</v>
      </c>
      <c r="BC700" s="31">
        <v>0</v>
      </c>
      <c r="BD700" s="31">
        <v>0</v>
      </c>
      <c r="BE700" s="185" t="str">
        <f t="shared" si="36"/>
        <v>立即对目标范围内的怪物每秒多次造成200%攻击伤害+1550点固定伤害,并使目标眩晕,持续2秒</v>
      </c>
      <c r="BF700" s="185" t="s">
        <v>5788</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20.100000000000001" customHeight="1">
      <c r="C701" s="32">
        <v>61022306</v>
      </c>
      <c r="D701" s="35" t="s">
        <v>1737</v>
      </c>
      <c r="E701" s="35" t="s">
        <v>1738</v>
      </c>
      <c r="F701" s="21">
        <v>5</v>
      </c>
      <c r="G701" s="32">
        <v>61022301</v>
      </c>
      <c r="H701" s="21">
        <v>0</v>
      </c>
      <c r="I701" s="31">
        <v>0</v>
      </c>
      <c r="J701" s="32">
        <v>0</v>
      </c>
      <c r="K701" s="32">
        <v>0</v>
      </c>
      <c r="L701" s="21">
        <v>0</v>
      </c>
      <c r="M701" s="32">
        <v>0</v>
      </c>
      <c r="N701" s="32">
        <v>0</v>
      </c>
      <c r="O701" s="32">
        <v>1</v>
      </c>
      <c r="P701" s="32">
        <v>0</v>
      </c>
      <c r="Q701" s="32">
        <v>0</v>
      </c>
      <c r="R701" s="32">
        <v>0</v>
      </c>
      <c r="S701" s="19">
        <v>0</v>
      </c>
      <c r="T701" s="31">
        <v>0</v>
      </c>
      <c r="U701" s="21">
        <v>1</v>
      </c>
      <c r="V701" s="32">
        <v>2</v>
      </c>
      <c r="W701" s="32">
        <v>0</v>
      </c>
      <c r="X701" s="32">
        <v>2.2000000000000002</v>
      </c>
      <c r="Y701" s="19">
        <v>0</v>
      </c>
      <c r="Z701" s="32">
        <v>2050</v>
      </c>
      <c r="AA701" s="32">
        <v>1</v>
      </c>
      <c r="AB701" s="32">
        <v>0</v>
      </c>
      <c r="AC701" s="32">
        <v>0</v>
      </c>
      <c r="AD701" s="32">
        <v>0</v>
      </c>
      <c r="AE701" s="32">
        <v>0</v>
      </c>
      <c r="AF701" s="32">
        <v>12</v>
      </c>
      <c r="AG701" s="32">
        <v>2</v>
      </c>
      <c r="AH701" s="32" t="s">
        <v>1739</v>
      </c>
      <c r="AI701" s="19">
        <v>2</v>
      </c>
      <c r="AJ701" s="19">
        <v>4</v>
      </c>
      <c r="AK701" s="19">
        <v>0</v>
      </c>
      <c r="AL701" s="19">
        <v>2</v>
      </c>
      <c r="AM701" s="32">
        <v>0</v>
      </c>
      <c r="AN701" s="32">
        <v>0</v>
      </c>
      <c r="AO701" s="32">
        <v>0</v>
      </c>
      <c r="AP701" s="32">
        <v>2.1</v>
      </c>
      <c r="AQ701" s="32">
        <v>2000</v>
      </c>
      <c r="AR701" s="32">
        <v>0.5</v>
      </c>
      <c r="AS701" s="32">
        <v>0</v>
      </c>
      <c r="AT701" s="19">
        <v>0</v>
      </c>
      <c r="AU701" s="32">
        <v>90001021</v>
      </c>
      <c r="AV701" s="32"/>
      <c r="AW701" s="30" t="s">
        <v>1740</v>
      </c>
      <c r="AX701" s="32" t="s">
        <v>1741</v>
      </c>
      <c r="AY701" s="32">
        <v>10001006</v>
      </c>
      <c r="AZ701" s="32">
        <v>21020030</v>
      </c>
      <c r="BA701" s="35" t="s">
        <v>321</v>
      </c>
      <c r="BB701" s="35" t="s">
        <v>1742</v>
      </c>
      <c r="BC701" s="31">
        <v>0</v>
      </c>
      <c r="BD701" s="31">
        <v>0</v>
      </c>
      <c r="BE701" s="185" t="str">
        <f t="shared" si="36"/>
        <v>立即对目标范围内的怪物每秒多次造成220%攻击伤害+2050点固定伤害,并使目标眩晕,持续2秒</v>
      </c>
      <c r="BF701" s="185" t="s">
        <v>5789</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61022401</v>
      </c>
      <c r="D702" s="35" t="s">
        <v>1743</v>
      </c>
      <c r="E702" s="35" t="s">
        <v>1725</v>
      </c>
      <c r="F702" s="21">
        <v>0</v>
      </c>
      <c r="G702" s="32">
        <v>61022401</v>
      </c>
      <c r="H702" s="32">
        <f>C703</f>
        <v>61022402</v>
      </c>
      <c r="I702" s="31">
        <v>0</v>
      </c>
      <c r="J702" s="21">
        <v>35</v>
      </c>
      <c r="K702" s="21">
        <v>5</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37" t="s">
        <v>1744</v>
      </c>
      <c r="AV702" s="21"/>
      <c r="AW702" s="30" t="s">
        <v>1740</v>
      </c>
      <c r="AX702" s="21" t="s">
        <v>221</v>
      </c>
      <c r="AY702" s="32">
        <v>10001007</v>
      </c>
      <c r="AZ702" s="32">
        <v>21020040</v>
      </c>
      <c r="BA702" s="30" t="s">
        <v>222</v>
      </c>
      <c r="BB702" s="35">
        <v>0</v>
      </c>
      <c r="BC702" s="31">
        <v>0</v>
      </c>
      <c r="BD702" s="31">
        <v>0</v>
      </c>
      <c r="BE702" s="185" t="str">
        <f>"对目标快速突击,所经过的直线区域造成"&amp;X702*100&amp;"%伤害+"&amp;Z702&amp;"点固定伤害并眩晕1秒,如果目标是怪物,则对其造成易伤状态,使其受到伤害额外提升20%,持续10秒"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1745</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61022402</v>
      </c>
      <c r="D703" s="35" t="s">
        <v>1743</v>
      </c>
      <c r="E703" s="35" t="s">
        <v>1725</v>
      </c>
      <c r="F703" s="21">
        <v>1</v>
      </c>
      <c r="G703" s="32">
        <v>61022401</v>
      </c>
      <c r="H703" s="32">
        <f t="shared" ref="H703:H704" si="37">C704</f>
        <v>61022403</v>
      </c>
      <c r="I703" s="31">
        <v>0</v>
      </c>
      <c r="J703" s="21">
        <v>42</v>
      </c>
      <c r="K703" s="21">
        <v>2</v>
      </c>
      <c r="L703" s="21">
        <v>0</v>
      </c>
      <c r="M703" s="32">
        <v>0</v>
      </c>
      <c r="N703" s="32">
        <v>0</v>
      </c>
      <c r="O703" s="32">
        <v>1</v>
      </c>
      <c r="P703" s="32">
        <v>0</v>
      </c>
      <c r="Q703" s="32">
        <v>0</v>
      </c>
      <c r="R703" s="32">
        <v>0</v>
      </c>
      <c r="S703" s="19">
        <v>0</v>
      </c>
      <c r="T703" s="31">
        <v>0</v>
      </c>
      <c r="U703" s="21">
        <v>1</v>
      </c>
      <c r="V703" s="32">
        <v>2</v>
      </c>
      <c r="W703" s="32">
        <v>0</v>
      </c>
      <c r="X703" s="32">
        <v>3</v>
      </c>
      <c r="Y703" s="19">
        <v>0</v>
      </c>
      <c r="Z703" s="32">
        <v>900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37" t="s">
        <v>1744</v>
      </c>
      <c r="AV703" s="21"/>
      <c r="AW703" s="30" t="s">
        <v>1740</v>
      </c>
      <c r="AX703" s="21" t="s">
        <v>221</v>
      </c>
      <c r="AY703" s="32">
        <v>10001007</v>
      </c>
      <c r="AZ703" s="32">
        <v>21020040</v>
      </c>
      <c r="BA703" s="30" t="s">
        <v>222</v>
      </c>
      <c r="BB703" s="35">
        <v>0</v>
      </c>
      <c r="BC703" s="31">
        <v>0</v>
      </c>
      <c r="BD703" s="31">
        <v>0</v>
      </c>
      <c r="BE703" s="185" t="str">
        <f t="shared" ref="BE703:BE707" si="38">"对目标快速突击,所经过的直线区域造成"&amp;X703*100&amp;"%伤害+"&amp;Z703&amp;"点固定伤害并眩晕1秒,如果目标是怪物,则对其造成易伤状态,使其受到伤害额外提升20%,持续10秒"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3" s="185" t="s">
        <v>1745</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61022403</v>
      </c>
      <c r="D704" s="35" t="s">
        <v>1743</v>
      </c>
      <c r="E704" s="35" t="s">
        <v>1725</v>
      </c>
      <c r="F704" s="21">
        <v>2</v>
      </c>
      <c r="G704" s="32">
        <v>61022401</v>
      </c>
      <c r="H704" s="32">
        <f t="shared" si="37"/>
        <v>61022404</v>
      </c>
      <c r="I704" s="31">
        <v>0</v>
      </c>
      <c r="J704" s="21">
        <v>47</v>
      </c>
      <c r="K704" s="21">
        <v>2</v>
      </c>
      <c r="L704" s="21">
        <v>0</v>
      </c>
      <c r="M704" s="32">
        <v>0</v>
      </c>
      <c r="N704" s="32">
        <v>0</v>
      </c>
      <c r="O704" s="32">
        <v>1</v>
      </c>
      <c r="P704" s="32">
        <v>0</v>
      </c>
      <c r="Q704" s="32">
        <v>0</v>
      </c>
      <c r="R704" s="32">
        <v>0</v>
      </c>
      <c r="S704" s="19">
        <v>0</v>
      </c>
      <c r="T704" s="31">
        <v>0</v>
      </c>
      <c r="U704" s="21">
        <v>1</v>
      </c>
      <c r="V704" s="32">
        <v>2</v>
      </c>
      <c r="W704" s="32">
        <v>0</v>
      </c>
      <c r="X704" s="32">
        <v>3.25</v>
      </c>
      <c r="Y704" s="19">
        <v>0</v>
      </c>
      <c r="Z704" s="32">
        <v>1800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37" t="s">
        <v>1744</v>
      </c>
      <c r="AV704" s="21"/>
      <c r="AW704" s="30" t="s">
        <v>1740</v>
      </c>
      <c r="AX704" s="21" t="s">
        <v>221</v>
      </c>
      <c r="AY704" s="32">
        <v>10001007</v>
      </c>
      <c r="AZ704" s="32">
        <v>21020040</v>
      </c>
      <c r="BA704" s="30" t="s">
        <v>222</v>
      </c>
      <c r="BB704" s="35">
        <v>0</v>
      </c>
      <c r="BC704" s="31">
        <v>0</v>
      </c>
      <c r="BD704" s="31">
        <v>0</v>
      </c>
      <c r="BE704" s="185" t="str">
        <f t="shared" si="38"/>
        <v>对目标快速突击,所经过的直线区域造成325%伤害+1800点固定伤害并眩晕1秒,如果目标是怪物,则对其造成易伤状态,使其受到伤害额外提升20%,持续10秒</v>
      </c>
      <c r="BF704" s="185" t="s">
        <v>1746</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61022404</v>
      </c>
      <c r="D705" s="35" t="s">
        <v>1743</v>
      </c>
      <c r="E705" s="35" t="s">
        <v>1725</v>
      </c>
      <c r="F705" s="21">
        <v>3</v>
      </c>
      <c r="G705" s="32">
        <v>61022401</v>
      </c>
      <c r="H705" s="21">
        <v>0</v>
      </c>
      <c r="I705" s="31">
        <v>0</v>
      </c>
      <c r="J705" s="32">
        <v>0</v>
      </c>
      <c r="K705" s="182">
        <v>0</v>
      </c>
      <c r="L705" s="21">
        <v>0</v>
      </c>
      <c r="M705" s="32">
        <v>0</v>
      </c>
      <c r="N705" s="32">
        <v>0</v>
      </c>
      <c r="O705" s="32">
        <v>1</v>
      </c>
      <c r="P705" s="32">
        <v>0</v>
      </c>
      <c r="Q705" s="32">
        <v>0</v>
      </c>
      <c r="R705" s="32">
        <v>0</v>
      </c>
      <c r="S705" s="19">
        <v>0</v>
      </c>
      <c r="T705" s="31">
        <v>0</v>
      </c>
      <c r="U705" s="21">
        <v>1</v>
      </c>
      <c r="V705" s="32">
        <v>2</v>
      </c>
      <c r="W705" s="32">
        <v>0</v>
      </c>
      <c r="X705" s="32">
        <v>3.5</v>
      </c>
      <c r="Y705" s="19">
        <v>0</v>
      </c>
      <c r="Z705" s="32">
        <v>2800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37" t="s">
        <v>1744</v>
      </c>
      <c r="AV705" s="21"/>
      <c r="AW705" s="30" t="s">
        <v>1740</v>
      </c>
      <c r="AX705" s="21" t="s">
        <v>221</v>
      </c>
      <c r="AY705" s="32">
        <v>10001007</v>
      </c>
      <c r="AZ705" s="32">
        <v>21020040</v>
      </c>
      <c r="BA705" s="30" t="s">
        <v>222</v>
      </c>
      <c r="BB705" s="35">
        <v>0</v>
      </c>
      <c r="BC705" s="31">
        <v>0</v>
      </c>
      <c r="BD705" s="31">
        <v>0</v>
      </c>
      <c r="BE705" s="185" t="str">
        <f t="shared" si="38"/>
        <v>对目标快速突击,所经过的直线区域造成350%伤害+2800点固定伤害并眩晕1秒,如果目标是怪物,则对其造成易伤状态,使其受到伤害额外提升20%,持续10秒</v>
      </c>
      <c r="BF705" s="185" t="s">
        <v>1747</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61022405</v>
      </c>
      <c r="D706" s="35" t="s">
        <v>1743</v>
      </c>
      <c r="E706" s="35" t="s">
        <v>1725</v>
      </c>
      <c r="F706" s="21">
        <v>4</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3.75</v>
      </c>
      <c r="Y706" s="19">
        <v>0</v>
      </c>
      <c r="Z706" s="32">
        <v>4000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37" t="s">
        <v>1744</v>
      </c>
      <c r="AV706" s="21"/>
      <c r="AW706" s="30" t="s">
        <v>1740</v>
      </c>
      <c r="AX706" s="21" t="s">
        <v>221</v>
      </c>
      <c r="AY706" s="32">
        <v>10001007</v>
      </c>
      <c r="AZ706" s="32">
        <v>21020040</v>
      </c>
      <c r="BA706" s="30" t="s">
        <v>222</v>
      </c>
      <c r="BB706" s="35">
        <v>0</v>
      </c>
      <c r="BC706" s="31">
        <v>0</v>
      </c>
      <c r="BD706" s="31">
        <v>0</v>
      </c>
      <c r="BE706" s="185" t="str">
        <f t="shared" si="38"/>
        <v>对目标快速突击,所经过的直线区域造成375%伤害+4000点固定伤害并眩晕1秒,如果目标是怪物,则对其造成易伤状态,使其受到伤害额外提升20%,持续10秒</v>
      </c>
      <c r="BF706" s="185" t="s">
        <v>1748</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19.5" customHeight="1">
      <c r="C707" s="32">
        <v>61022406</v>
      </c>
      <c r="D707" s="35" t="s">
        <v>1743</v>
      </c>
      <c r="E707" s="35" t="s">
        <v>1725</v>
      </c>
      <c r="F707" s="21">
        <v>5</v>
      </c>
      <c r="G707" s="32">
        <v>61022401</v>
      </c>
      <c r="H707" s="21">
        <v>0</v>
      </c>
      <c r="I707" s="31">
        <v>0</v>
      </c>
      <c r="J707" s="32">
        <v>0</v>
      </c>
      <c r="K707" s="21">
        <v>0</v>
      </c>
      <c r="L707" s="21">
        <v>0</v>
      </c>
      <c r="M707" s="32">
        <v>0</v>
      </c>
      <c r="N707" s="32">
        <v>0</v>
      </c>
      <c r="O707" s="32">
        <v>1</v>
      </c>
      <c r="P707" s="32">
        <v>0</v>
      </c>
      <c r="Q707" s="32">
        <v>0</v>
      </c>
      <c r="R707" s="32">
        <v>0</v>
      </c>
      <c r="S707" s="19">
        <v>0</v>
      </c>
      <c r="T707" s="31">
        <v>0</v>
      </c>
      <c r="U707" s="21">
        <v>1</v>
      </c>
      <c r="V707" s="32">
        <v>2</v>
      </c>
      <c r="W707" s="32">
        <v>0</v>
      </c>
      <c r="X707" s="32">
        <v>4</v>
      </c>
      <c r="Y707" s="19">
        <v>0</v>
      </c>
      <c r="Z707" s="32">
        <v>5200</v>
      </c>
      <c r="AA707" s="32">
        <v>0</v>
      </c>
      <c r="AB707" s="32">
        <v>0</v>
      </c>
      <c r="AC707" s="32">
        <v>0</v>
      </c>
      <c r="AD707" s="32">
        <v>0</v>
      </c>
      <c r="AE707" s="32">
        <v>0</v>
      </c>
      <c r="AF707" s="32">
        <v>15</v>
      </c>
      <c r="AG707" s="32">
        <v>2</v>
      </c>
      <c r="AH707" s="32" t="s">
        <v>938</v>
      </c>
      <c r="AI707" s="19">
        <v>2</v>
      </c>
      <c r="AJ707" s="19">
        <v>2</v>
      </c>
      <c r="AK707" s="19">
        <v>0</v>
      </c>
      <c r="AL707" s="19">
        <v>3</v>
      </c>
      <c r="AM707" s="32">
        <v>0</v>
      </c>
      <c r="AN707" s="32">
        <v>0</v>
      </c>
      <c r="AO707" s="32">
        <v>0</v>
      </c>
      <c r="AP707" s="21">
        <v>0.2</v>
      </c>
      <c r="AQ707" s="21">
        <v>200</v>
      </c>
      <c r="AR707" s="21">
        <v>0</v>
      </c>
      <c r="AS707" s="21">
        <v>50</v>
      </c>
      <c r="AT707" s="19">
        <v>0</v>
      </c>
      <c r="AU707" s="337" t="s">
        <v>1744</v>
      </c>
      <c r="AV707" s="21"/>
      <c r="AW707" s="30" t="s">
        <v>1740</v>
      </c>
      <c r="AX707" s="21" t="s">
        <v>221</v>
      </c>
      <c r="AY707" s="32">
        <v>10001007</v>
      </c>
      <c r="AZ707" s="32">
        <v>21020040</v>
      </c>
      <c r="BA707" s="30" t="s">
        <v>222</v>
      </c>
      <c r="BB707" s="35">
        <v>0</v>
      </c>
      <c r="BC707" s="31">
        <v>0</v>
      </c>
      <c r="BD707" s="31">
        <v>0</v>
      </c>
      <c r="BE707" s="185" t="str">
        <f t="shared" si="38"/>
        <v>对目标快速突击,所经过的直线区域造成400%伤害+5200点固定伤害并眩晕1秒,如果目标是怪物,则对其造成易伤状态,使其受到伤害额外提升20%,持续10秒</v>
      </c>
      <c r="BF707" s="185" t="s">
        <v>1749</v>
      </c>
      <c r="BG707" s="32">
        <v>0</v>
      </c>
      <c r="BH707" s="21">
        <v>0</v>
      </c>
      <c r="BI707" s="32">
        <v>0</v>
      </c>
      <c r="BJ707" s="32">
        <v>0</v>
      </c>
      <c r="BK707" s="32">
        <v>0</v>
      </c>
      <c r="BL707" s="32">
        <v>0</v>
      </c>
      <c r="BM707" s="25">
        <v>0</v>
      </c>
      <c r="BN707" s="19">
        <v>0</v>
      </c>
      <c r="BO707" s="19">
        <v>0</v>
      </c>
      <c r="BP707" s="19">
        <v>0</v>
      </c>
      <c r="BQ707" s="19">
        <v>0</v>
      </c>
      <c r="BR707" s="19">
        <v>0</v>
      </c>
      <c r="BS707" s="19">
        <v>0</v>
      </c>
      <c r="BT707" s="19">
        <v>0</v>
      </c>
      <c r="BU707" s="23">
        <v>0</v>
      </c>
      <c r="BV707" s="23"/>
      <c r="BW707" s="23"/>
      <c r="BX707" s="23"/>
      <c r="BY707" s="23"/>
      <c r="BZ707" s="23"/>
    </row>
    <row r="708" spans="3:78" ht="20.100000000000001" customHeight="1">
      <c r="C708" s="38">
        <v>61022501</v>
      </c>
      <c r="D708" s="42" t="s">
        <v>1750</v>
      </c>
      <c r="E708" s="42" t="s">
        <v>1751</v>
      </c>
      <c r="F708" s="38">
        <v>0</v>
      </c>
      <c r="G708" s="38">
        <v>61023101</v>
      </c>
      <c r="H708" s="38">
        <v>0</v>
      </c>
      <c r="I708" s="38">
        <v>0</v>
      </c>
      <c r="J708" s="38">
        <v>20</v>
      </c>
      <c r="K708" s="38">
        <v>5</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1752</v>
      </c>
      <c r="AU708" s="42" t="s">
        <v>204</v>
      </c>
      <c r="AV708" s="42"/>
      <c r="AW708" s="42" t="s">
        <v>1700</v>
      </c>
      <c r="AX708" s="38" t="s">
        <v>1741</v>
      </c>
      <c r="AY708" s="38">
        <v>10000009</v>
      </c>
      <c r="AZ708" s="38">
        <v>21020050</v>
      </c>
      <c r="BA708" s="42" t="s">
        <v>1753</v>
      </c>
      <c r="BB708" s="42">
        <v>0</v>
      </c>
      <c r="BC708" s="38">
        <v>0</v>
      </c>
      <c r="BD708" s="38">
        <v>0</v>
      </c>
      <c r="BE708" s="183" t="str">
        <f t="shared" ref="BE708:BE713" si="39">"立即对目标范围内的怪物造成"&amp;X708*100&amp;"%攻击伤害+"&amp;Z708&amp;"点固定伤害,并附带1秒眩晕效果"</f>
        <v>立即对目标范围内的怪物造成250%攻击伤害+1500点固定伤害,并附带1秒眩晕效果</v>
      </c>
      <c r="BF708" s="183" t="s">
        <v>1754</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61022502</v>
      </c>
      <c r="D709" s="42" t="s">
        <v>1750</v>
      </c>
      <c r="E709" s="42" t="s">
        <v>1751</v>
      </c>
      <c r="F709" s="38">
        <v>1</v>
      </c>
      <c r="G709" s="38">
        <v>61023101</v>
      </c>
      <c r="H709" s="38">
        <v>0</v>
      </c>
      <c r="I709" s="38">
        <v>0</v>
      </c>
      <c r="J709" s="38">
        <v>27</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1500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1752</v>
      </c>
      <c r="AU709" s="42" t="s">
        <v>204</v>
      </c>
      <c r="AV709" s="42"/>
      <c r="AW709" s="42" t="s">
        <v>1700</v>
      </c>
      <c r="AX709" s="38" t="s">
        <v>1741</v>
      </c>
      <c r="AY709" s="38">
        <v>10000009</v>
      </c>
      <c r="AZ709" s="38">
        <v>21020050</v>
      </c>
      <c r="BA709" s="42" t="s">
        <v>1753</v>
      </c>
      <c r="BB709" s="42">
        <v>0</v>
      </c>
      <c r="BC709" s="38">
        <v>0</v>
      </c>
      <c r="BD709" s="38">
        <v>0</v>
      </c>
      <c r="BE709" s="183" t="str">
        <f t="shared" si="39"/>
        <v>立即对目标范围内的怪物造成250%攻击伤害+1500点固定伤害,并附带1秒眩晕效果</v>
      </c>
      <c r="BF709" s="183" t="s">
        <v>1754</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61022503</v>
      </c>
      <c r="D710" s="42" t="s">
        <v>1750</v>
      </c>
      <c r="E710" s="42" t="s">
        <v>1751</v>
      </c>
      <c r="F710" s="38">
        <v>2</v>
      </c>
      <c r="G710" s="38">
        <v>61023101</v>
      </c>
      <c r="H710" s="38">
        <v>0</v>
      </c>
      <c r="I710" s="38">
        <v>0</v>
      </c>
      <c r="J710" s="38">
        <v>32</v>
      </c>
      <c r="K710" s="38">
        <v>2</v>
      </c>
      <c r="L710" s="38">
        <v>0</v>
      </c>
      <c r="M710" s="38">
        <v>0</v>
      </c>
      <c r="N710" s="38">
        <v>0</v>
      </c>
      <c r="O710" s="38">
        <v>1</v>
      </c>
      <c r="P710" s="38">
        <v>0</v>
      </c>
      <c r="Q710" s="38">
        <v>0</v>
      </c>
      <c r="R710" s="38">
        <v>0</v>
      </c>
      <c r="S710" s="38">
        <v>0</v>
      </c>
      <c r="T710" s="38">
        <v>0</v>
      </c>
      <c r="U710" s="38">
        <v>1</v>
      </c>
      <c r="V710" s="38">
        <v>2</v>
      </c>
      <c r="W710" s="38">
        <v>0</v>
      </c>
      <c r="X710" s="38">
        <v>2.5</v>
      </c>
      <c r="Y710" s="19">
        <v>0</v>
      </c>
      <c r="Z710" s="38">
        <v>2000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1752</v>
      </c>
      <c r="AU710" s="42" t="s">
        <v>204</v>
      </c>
      <c r="AV710" s="42"/>
      <c r="AW710" s="42" t="s">
        <v>1700</v>
      </c>
      <c r="AX710" s="38" t="s">
        <v>1741</v>
      </c>
      <c r="AY710" s="38">
        <v>10000009</v>
      </c>
      <c r="AZ710" s="38">
        <v>21020050</v>
      </c>
      <c r="BA710" s="42" t="s">
        <v>1753</v>
      </c>
      <c r="BB710" s="42">
        <v>0</v>
      </c>
      <c r="BC710" s="38">
        <v>0</v>
      </c>
      <c r="BD710" s="38">
        <v>0</v>
      </c>
      <c r="BE710" s="183" t="str">
        <f t="shared" si="39"/>
        <v>立即对目标范围内的怪物造成250%攻击伤害+2000点固定伤害,并附带1秒眩晕效果</v>
      </c>
      <c r="BF710" s="183" t="s">
        <v>1755</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61022504</v>
      </c>
      <c r="D711" s="42" t="s">
        <v>1750</v>
      </c>
      <c r="E711" s="42" t="s">
        <v>1751</v>
      </c>
      <c r="F711" s="38">
        <v>3</v>
      </c>
      <c r="G711" s="38">
        <v>61023101</v>
      </c>
      <c r="H711" s="38">
        <v>0</v>
      </c>
      <c r="I711" s="38">
        <v>0</v>
      </c>
      <c r="J711" s="38">
        <v>0</v>
      </c>
      <c r="K711" s="184">
        <v>0</v>
      </c>
      <c r="L711" s="38">
        <v>0</v>
      </c>
      <c r="M711" s="38">
        <v>0</v>
      </c>
      <c r="N711" s="38">
        <v>0</v>
      </c>
      <c r="O711" s="38">
        <v>1</v>
      </c>
      <c r="P711" s="38">
        <v>0</v>
      </c>
      <c r="Q711" s="38">
        <v>0</v>
      </c>
      <c r="R711" s="38">
        <v>0</v>
      </c>
      <c r="S711" s="38">
        <v>0</v>
      </c>
      <c r="T711" s="38">
        <v>0</v>
      </c>
      <c r="U711" s="38">
        <v>1</v>
      </c>
      <c r="V711" s="38">
        <v>2</v>
      </c>
      <c r="W711" s="38">
        <v>0</v>
      </c>
      <c r="X711" s="38">
        <v>2.5</v>
      </c>
      <c r="Y711" s="19">
        <v>0</v>
      </c>
      <c r="Z711" s="38">
        <v>2500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1752</v>
      </c>
      <c r="AU711" s="42" t="s">
        <v>204</v>
      </c>
      <c r="AV711" s="42"/>
      <c r="AW711" s="42" t="s">
        <v>1700</v>
      </c>
      <c r="AX711" s="38" t="s">
        <v>1741</v>
      </c>
      <c r="AY711" s="38">
        <v>10000009</v>
      </c>
      <c r="AZ711" s="38">
        <v>21020050</v>
      </c>
      <c r="BA711" s="42" t="s">
        <v>1753</v>
      </c>
      <c r="BB711" s="42">
        <v>0</v>
      </c>
      <c r="BC711" s="38">
        <v>0</v>
      </c>
      <c r="BD711" s="38">
        <v>0</v>
      </c>
      <c r="BE711" s="183" t="str">
        <f t="shared" si="39"/>
        <v>立即对目标范围内的怪物造成250%攻击伤害+2500点固定伤害,并附带1秒眩晕效果</v>
      </c>
      <c r="BF711" s="183" t="s">
        <v>1756</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61022505</v>
      </c>
      <c r="D712" s="42" t="s">
        <v>1750</v>
      </c>
      <c r="E712" s="42" t="s">
        <v>1751</v>
      </c>
      <c r="F712" s="38">
        <v>4</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3000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1752</v>
      </c>
      <c r="AU712" s="42" t="s">
        <v>204</v>
      </c>
      <c r="AV712" s="42"/>
      <c r="AW712" s="42" t="s">
        <v>1700</v>
      </c>
      <c r="AX712" s="38" t="s">
        <v>1741</v>
      </c>
      <c r="AY712" s="38">
        <v>10000009</v>
      </c>
      <c r="AZ712" s="38">
        <v>21020050</v>
      </c>
      <c r="BA712" s="42" t="s">
        <v>1753</v>
      </c>
      <c r="BB712" s="42">
        <v>0</v>
      </c>
      <c r="BC712" s="38">
        <v>0</v>
      </c>
      <c r="BD712" s="38">
        <v>0</v>
      </c>
      <c r="BE712" s="183" t="str">
        <f t="shared" si="39"/>
        <v>立即对目标范围内的怪物造成250%攻击伤害+3000点固定伤害,并附带1秒眩晕效果</v>
      </c>
      <c r="BF712" s="183" t="s">
        <v>1757</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8">
        <v>61022506</v>
      </c>
      <c r="D713" s="42" t="s">
        <v>1750</v>
      </c>
      <c r="E713" s="42" t="s">
        <v>1751</v>
      </c>
      <c r="F713" s="38">
        <v>5</v>
      </c>
      <c r="G713" s="38">
        <v>61023101</v>
      </c>
      <c r="H713" s="38">
        <v>0</v>
      </c>
      <c r="I713" s="38">
        <v>0</v>
      </c>
      <c r="J713" s="38">
        <v>0</v>
      </c>
      <c r="K713" s="38">
        <v>0</v>
      </c>
      <c r="L713" s="38">
        <v>0</v>
      </c>
      <c r="M713" s="38">
        <v>0</v>
      </c>
      <c r="N713" s="38">
        <v>0</v>
      </c>
      <c r="O713" s="38">
        <v>1</v>
      </c>
      <c r="P713" s="38">
        <v>0</v>
      </c>
      <c r="Q713" s="38">
        <v>0</v>
      </c>
      <c r="R713" s="38">
        <v>0</v>
      </c>
      <c r="S713" s="38">
        <v>0</v>
      </c>
      <c r="T713" s="38">
        <v>0</v>
      </c>
      <c r="U713" s="38">
        <v>1</v>
      </c>
      <c r="V713" s="38">
        <v>2</v>
      </c>
      <c r="W713" s="38">
        <v>0</v>
      </c>
      <c r="X713" s="38">
        <v>2.5</v>
      </c>
      <c r="Y713" s="19">
        <v>0</v>
      </c>
      <c r="Z713" s="38">
        <v>3500</v>
      </c>
      <c r="AA713" s="38">
        <v>0</v>
      </c>
      <c r="AB713" s="38">
        <v>0</v>
      </c>
      <c r="AC713" s="38">
        <v>0</v>
      </c>
      <c r="AD713" s="38">
        <v>0</v>
      </c>
      <c r="AE713" s="38">
        <v>0</v>
      </c>
      <c r="AF713" s="38">
        <v>9</v>
      </c>
      <c r="AG713" s="38">
        <v>1</v>
      </c>
      <c r="AH713" s="38">
        <v>3.5</v>
      </c>
      <c r="AI713" s="38">
        <v>0</v>
      </c>
      <c r="AJ713" s="38">
        <v>0</v>
      </c>
      <c r="AK713" s="38">
        <v>0</v>
      </c>
      <c r="AL713" s="38">
        <v>3</v>
      </c>
      <c r="AM713" s="38">
        <v>0</v>
      </c>
      <c r="AN713" s="38">
        <v>0</v>
      </c>
      <c r="AO713" s="38">
        <v>0</v>
      </c>
      <c r="AP713" s="38">
        <v>0.3</v>
      </c>
      <c r="AQ713" s="38">
        <v>3000</v>
      </c>
      <c r="AR713" s="38">
        <v>0.5</v>
      </c>
      <c r="AS713" s="38">
        <v>0</v>
      </c>
      <c r="AT713" s="42" t="s">
        <v>1752</v>
      </c>
      <c r="AU713" s="42" t="s">
        <v>204</v>
      </c>
      <c r="AV713" s="42"/>
      <c r="AW713" s="42" t="s">
        <v>1700</v>
      </c>
      <c r="AX713" s="38" t="s">
        <v>1741</v>
      </c>
      <c r="AY713" s="38">
        <v>10000009</v>
      </c>
      <c r="AZ713" s="38">
        <v>21020050</v>
      </c>
      <c r="BA713" s="42" t="s">
        <v>1753</v>
      </c>
      <c r="BB713" s="42">
        <v>0</v>
      </c>
      <c r="BC713" s="38">
        <v>0</v>
      </c>
      <c r="BD713" s="38">
        <v>0</v>
      </c>
      <c r="BE713" s="183" t="str">
        <f t="shared" si="39"/>
        <v>立即对目标范围内的怪物造成250%攻击伤害+3500点固定伤害,并附带1秒眩晕效果</v>
      </c>
      <c r="BF713" s="183" t="s">
        <v>1758</v>
      </c>
      <c r="BG713" s="38">
        <v>0</v>
      </c>
      <c r="BH713" s="38">
        <v>0</v>
      </c>
      <c r="BI713" s="38">
        <v>0</v>
      </c>
      <c r="BJ713" s="38">
        <v>0</v>
      </c>
      <c r="BK713" s="38">
        <v>0</v>
      </c>
      <c r="BL713" s="38">
        <v>0</v>
      </c>
      <c r="BM713" s="34">
        <v>0</v>
      </c>
      <c r="BN713" s="38">
        <v>1</v>
      </c>
      <c r="BO713" s="38">
        <v>0</v>
      </c>
      <c r="BP713" s="38">
        <v>500</v>
      </c>
      <c r="BQ713" s="38">
        <v>0</v>
      </c>
      <c r="BR713" s="38">
        <v>0</v>
      </c>
      <c r="BS713" s="38">
        <v>0</v>
      </c>
      <c r="BT713" s="19">
        <v>0</v>
      </c>
      <c r="BU713" s="23">
        <v>0</v>
      </c>
      <c r="BV713" s="23"/>
      <c r="BW713" s="23"/>
      <c r="BX713" s="23"/>
      <c r="BY713" s="23"/>
      <c r="BZ713" s="23"/>
    </row>
    <row r="714" spans="3:78" ht="20.100000000000001" customHeight="1">
      <c r="C714" s="32">
        <v>61023101</v>
      </c>
      <c r="D714" s="35" t="s">
        <v>1759</v>
      </c>
      <c r="E714" s="35" t="s">
        <v>1760</v>
      </c>
      <c r="F714" s="21">
        <v>0</v>
      </c>
      <c r="G714" s="32">
        <v>61023101</v>
      </c>
      <c r="H714" s="32">
        <f>C715</f>
        <v>61023102</v>
      </c>
      <c r="I714" s="31">
        <v>0</v>
      </c>
      <c r="J714" s="21">
        <v>18</v>
      </c>
      <c r="K714" s="21">
        <v>5</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39" t="s">
        <v>1761</v>
      </c>
      <c r="AV714" s="32"/>
      <c r="AW714" s="35" t="s">
        <v>1700</v>
      </c>
      <c r="AX714" s="32" t="s">
        <v>540</v>
      </c>
      <c r="AY714" s="32">
        <v>10000009</v>
      </c>
      <c r="AZ714" s="32">
        <v>21020050</v>
      </c>
      <c r="BA714" s="30" t="s">
        <v>1702</v>
      </c>
      <c r="BB714" s="35">
        <v>0</v>
      </c>
      <c r="BC714" s="31">
        <v>0</v>
      </c>
      <c r="BD714" s="31">
        <v>0</v>
      </c>
      <c r="BE714" s="185" t="str">
        <f>"立即对目标范围内的怪物造成"&amp;X714*100&amp;"%攻击伤害+"&amp;Z714&amp;"点固定伤害,并附带1秒眩晕效果,对怪物将怪立即拉近至自身攻击范围并将眩晕效果将提升至2秒"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1762</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61023102</v>
      </c>
      <c r="D715" s="35" t="s">
        <v>1759</v>
      </c>
      <c r="E715" s="35" t="s">
        <v>1760</v>
      </c>
      <c r="F715" s="21">
        <v>1</v>
      </c>
      <c r="G715" s="32">
        <v>61023101</v>
      </c>
      <c r="H715" s="32">
        <f t="shared" ref="H715:H716" si="40">C716</f>
        <v>61023103</v>
      </c>
      <c r="I715" s="31">
        <v>0</v>
      </c>
      <c r="J715" s="21">
        <v>27</v>
      </c>
      <c r="K715" s="21">
        <v>2</v>
      </c>
      <c r="L715" s="21">
        <v>0</v>
      </c>
      <c r="M715" s="32">
        <v>0</v>
      </c>
      <c r="N715" s="32">
        <v>0</v>
      </c>
      <c r="O715" s="32">
        <v>1</v>
      </c>
      <c r="P715" s="32">
        <v>0</v>
      </c>
      <c r="Q715" s="32">
        <v>0</v>
      </c>
      <c r="R715" s="32">
        <v>0</v>
      </c>
      <c r="S715" s="19">
        <v>0</v>
      </c>
      <c r="T715" s="31">
        <v>0</v>
      </c>
      <c r="U715" s="21">
        <v>1</v>
      </c>
      <c r="V715" s="32">
        <v>2</v>
      </c>
      <c r="W715" s="32">
        <v>0</v>
      </c>
      <c r="X715" s="32">
        <v>2.5</v>
      </c>
      <c r="Y715" s="19">
        <v>0</v>
      </c>
      <c r="Z715" s="32">
        <v>900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39" t="s">
        <v>1761</v>
      </c>
      <c r="AV715" s="32"/>
      <c r="AW715" s="35" t="s">
        <v>1700</v>
      </c>
      <c r="AX715" s="32" t="s">
        <v>540</v>
      </c>
      <c r="AY715" s="32">
        <v>10000009</v>
      </c>
      <c r="AZ715" s="32">
        <v>21030010</v>
      </c>
      <c r="BA715" s="30" t="s">
        <v>1702</v>
      </c>
      <c r="BB715" s="35">
        <v>0</v>
      </c>
      <c r="BC715" s="31">
        <v>0</v>
      </c>
      <c r="BD715" s="31">
        <v>0</v>
      </c>
      <c r="BE715" s="185" t="str">
        <f t="shared" ref="BE715:BE719" si="41">"立即对目标范围内的怪物造成"&amp;X715*100&amp;"%攻击伤害+"&amp;Z715&amp;"点固定伤害,并附带1秒眩晕效果,对怪物将怪立即拉近至自身攻击范围并将眩晕效果将提升至2秒"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5" s="185" t="s">
        <v>1762</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61023103</v>
      </c>
      <c r="D716" s="35" t="s">
        <v>1759</v>
      </c>
      <c r="E716" s="35" t="s">
        <v>1760</v>
      </c>
      <c r="F716" s="21">
        <v>2</v>
      </c>
      <c r="G716" s="32">
        <v>61023101</v>
      </c>
      <c r="H716" s="32">
        <f t="shared" si="40"/>
        <v>61023104</v>
      </c>
      <c r="I716" s="31">
        <v>0</v>
      </c>
      <c r="J716" s="21">
        <v>32</v>
      </c>
      <c r="K716" s="21">
        <v>2</v>
      </c>
      <c r="L716" s="21">
        <v>0</v>
      </c>
      <c r="M716" s="32">
        <v>0</v>
      </c>
      <c r="N716" s="32">
        <v>0</v>
      </c>
      <c r="O716" s="32">
        <v>1</v>
      </c>
      <c r="P716" s="32">
        <v>0</v>
      </c>
      <c r="Q716" s="32">
        <v>0</v>
      </c>
      <c r="R716" s="32">
        <v>0</v>
      </c>
      <c r="S716" s="19">
        <v>0</v>
      </c>
      <c r="T716" s="31">
        <v>0</v>
      </c>
      <c r="U716" s="21">
        <v>1</v>
      </c>
      <c r="V716" s="32">
        <v>2</v>
      </c>
      <c r="W716" s="32">
        <v>0</v>
      </c>
      <c r="X716" s="32">
        <v>2.75</v>
      </c>
      <c r="Y716" s="19">
        <v>0</v>
      </c>
      <c r="Z716" s="32">
        <v>1800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39" t="s">
        <v>1761</v>
      </c>
      <c r="AV716" s="32"/>
      <c r="AW716" s="35" t="s">
        <v>1700</v>
      </c>
      <c r="AX716" s="32" t="s">
        <v>540</v>
      </c>
      <c r="AY716" s="32">
        <v>10000009</v>
      </c>
      <c r="AZ716" s="32">
        <v>21030010</v>
      </c>
      <c r="BA716" s="30" t="s">
        <v>1702</v>
      </c>
      <c r="BB716" s="35">
        <v>0</v>
      </c>
      <c r="BC716" s="31">
        <v>0</v>
      </c>
      <c r="BD716" s="31">
        <v>0</v>
      </c>
      <c r="BE716" s="185" t="str">
        <f t="shared" si="41"/>
        <v>立即对目标范围内的怪物造成275%攻击伤害+1800点固定伤害,并附带1秒眩晕效果,对怪物将怪立即拉近至自身攻击范围并将眩晕效果将提升至2秒</v>
      </c>
      <c r="BF716" s="185" t="s">
        <v>1763</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61023104</v>
      </c>
      <c r="D717" s="35" t="s">
        <v>1759</v>
      </c>
      <c r="E717" s="35" t="s">
        <v>1760</v>
      </c>
      <c r="F717" s="21">
        <v>3</v>
      </c>
      <c r="G717" s="32">
        <v>61023101</v>
      </c>
      <c r="H717" s="21">
        <v>0</v>
      </c>
      <c r="I717" s="31">
        <v>0</v>
      </c>
      <c r="J717" s="21">
        <v>0</v>
      </c>
      <c r="K717" s="182">
        <v>0</v>
      </c>
      <c r="L717" s="21">
        <v>0</v>
      </c>
      <c r="M717" s="32">
        <v>0</v>
      </c>
      <c r="N717" s="32">
        <v>0</v>
      </c>
      <c r="O717" s="32">
        <v>1</v>
      </c>
      <c r="P717" s="32">
        <v>0</v>
      </c>
      <c r="Q717" s="32">
        <v>0</v>
      </c>
      <c r="R717" s="32">
        <v>0</v>
      </c>
      <c r="S717" s="19">
        <v>0</v>
      </c>
      <c r="T717" s="31">
        <v>0</v>
      </c>
      <c r="U717" s="21">
        <v>1</v>
      </c>
      <c r="V717" s="32">
        <v>2</v>
      </c>
      <c r="W717" s="32">
        <v>0</v>
      </c>
      <c r="X717" s="32">
        <v>3</v>
      </c>
      <c r="Y717" s="19">
        <v>0</v>
      </c>
      <c r="Z717" s="32">
        <v>2800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39" t="s">
        <v>1761</v>
      </c>
      <c r="AV717" s="32"/>
      <c r="AW717" s="35" t="s">
        <v>1700</v>
      </c>
      <c r="AX717" s="32" t="s">
        <v>540</v>
      </c>
      <c r="AY717" s="32">
        <v>10000009</v>
      </c>
      <c r="AZ717" s="32">
        <v>21030010</v>
      </c>
      <c r="BA717" s="30" t="s">
        <v>1702</v>
      </c>
      <c r="BB717" s="35">
        <v>0</v>
      </c>
      <c r="BC717" s="31">
        <v>0</v>
      </c>
      <c r="BD717" s="31">
        <v>0</v>
      </c>
      <c r="BE717" s="185" t="str">
        <f t="shared" si="41"/>
        <v>立即对目标范围内的怪物造成300%攻击伤害+2800点固定伤害,并附带1秒眩晕效果,对怪物将怪立即拉近至自身攻击范围并将眩晕效果将提升至2秒</v>
      </c>
      <c r="BF717" s="185" t="s">
        <v>1764</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61023105</v>
      </c>
      <c r="D718" s="35" t="s">
        <v>1759</v>
      </c>
      <c r="E718" s="35" t="s">
        <v>1760</v>
      </c>
      <c r="F718" s="21">
        <v>4</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3.25</v>
      </c>
      <c r="Y718" s="19">
        <v>0</v>
      </c>
      <c r="Z718" s="32">
        <v>4000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39" t="s">
        <v>1761</v>
      </c>
      <c r="AV718" s="32"/>
      <c r="AW718" s="35" t="s">
        <v>1700</v>
      </c>
      <c r="AX718" s="32" t="s">
        <v>540</v>
      </c>
      <c r="AY718" s="32">
        <v>10000009</v>
      </c>
      <c r="AZ718" s="32">
        <v>21030010</v>
      </c>
      <c r="BA718" s="30" t="s">
        <v>1702</v>
      </c>
      <c r="BB718" s="35">
        <v>0</v>
      </c>
      <c r="BC718" s="31">
        <v>0</v>
      </c>
      <c r="BD718" s="31">
        <v>0</v>
      </c>
      <c r="BE718" s="185" t="str">
        <f t="shared" si="41"/>
        <v>立即对目标范围内的怪物造成325%攻击伤害+4000点固定伤害,并附带1秒眩晕效果,对怪物将怪立即拉近至自身攻击范围并将眩晕效果将提升至2秒</v>
      </c>
      <c r="BF718" s="185" t="s">
        <v>1765</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32">
        <v>61023106</v>
      </c>
      <c r="D719" s="35" t="s">
        <v>1759</v>
      </c>
      <c r="E719" s="35" t="s">
        <v>1760</v>
      </c>
      <c r="F719" s="21">
        <v>5</v>
      </c>
      <c r="G719" s="32">
        <v>61023101</v>
      </c>
      <c r="H719" s="21">
        <v>0</v>
      </c>
      <c r="I719" s="31">
        <v>0</v>
      </c>
      <c r="J719" s="21">
        <v>0</v>
      </c>
      <c r="K719" s="21">
        <v>0</v>
      </c>
      <c r="L719" s="21">
        <v>0</v>
      </c>
      <c r="M719" s="32">
        <v>0</v>
      </c>
      <c r="N719" s="32">
        <v>0</v>
      </c>
      <c r="O719" s="32">
        <v>1</v>
      </c>
      <c r="P719" s="32">
        <v>0</v>
      </c>
      <c r="Q719" s="32">
        <v>0</v>
      </c>
      <c r="R719" s="32">
        <v>0</v>
      </c>
      <c r="S719" s="19">
        <v>0</v>
      </c>
      <c r="T719" s="31">
        <v>0</v>
      </c>
      <c r="U719" s="21">
        <v>1</v>
      </c>
      <c r="V719" s="32">
        <v>2</v>
      </c>
      <c r="W719" s="32">
        <v>0</v>
      </c>
      <c r="X719" s="32">
        <v>3.5</v>
      </c>
      <c r="Y719" s="19">
        <v>0</v>
      </c>
      <c r="Z719" s="32">
        <v>5200</v>
      </c>
      <c r="AA719" s="32">
        <v>1</v>
      </c>
      <c r="AB719" s="32">
        <v>0</v>
      </c>
      <c r="AC719" s="32">
        <v>0</v>
      </c>
      <c r="AD719" s="32">
        <v>0</v>
      </c>
      <c r="AE719" s="32">
        <v>0</v>
      </c>
      <c r="AF719" s="32">
        <v>9</v>
      </c>
      <c r="AG719" s="32">
        <v>1</v>
      </c>
      <c r="AH719" s="32">
        <v>3.5</v>
      </c>
      <c r="AI719" s="19">
        <v>0</v>
      </c>
      <c r="AJ719" s="19">
        <v>0</v>
      </c>
      <c r="AK719" s="19">
        <v>0</v>
      </c>
      <c r="AL719" s="19">
        <v>3</v>
      </c>
      <c r="AM719" s="32">
        <v>0</v>
      </c>
      <c r="AN719" s="32">
        <v>0</v>
      </c>
      <c r="AO719" s="32">
        <v>0</v>
      </c>
      <c r="AP719" s="32">
        <v>0.3</v>
      </c>
      <c r="AQ719" s="32">
        <v>2000</v>
      </c>
      <c r="AR719" s="32">
        <v>0.5</v>
      </c>
      <c r="AS719" s="32">
        <v>0</v>
      </c>
      <c r="AT719" s="19">
        <v>0</v>
      </c>
      <c r="AU719" s="339" t="s">
        <v>1761</v>
      </c>
      <c r="AV719" s="32"/>
      <c r="AW719" s="35" t="s">
        <v>1700</v>
      </c>
      <c r="AX719" s="32" t="s">
        <v>540</v>
      </c>
      <c r="AY719" s="32">
        <v>10000009</v>
      </c>
      <c r="AZ719" s="32">
        <v>21030010</v>
      </c>
      <c r="BA719" s="30" t="s">
        <v>1702</v>
      </c>
      <c r="BB719" s="35">
        <v>0</v>
      </c>
      <c r="BC719" s="31">
        <v>0</v>
      </c>
      <c r="BD719" s="31">
        <v>0</v>
      </c>
      <c r="BE719" s="185" t="str">
        <f t="shared" si="41"/>
        <v>立即对目标范围内的怪物造成350%攻击伤害+5200点固定伤害,并附带1秒眩晕效果,对怪物将怪立即拉近至自身攻击范围并将眩晕效果将提升至2秒</v>
      </c>
      <c r="BF719" s="185" t="s">
        <v>1766</v>
      </c>
      <c r="BG719" s="32">
        <v>0</v>
      </c>
      <c r="BH719" s="21">
        <v>0</v>
      </c>
      <c r="BI719" s="32">
        <v>0</v>
      </c>
      <c r="BJ719" s="32">
        <v>0</v>
      </c>
      <c r="BK719" s="32">
        <v>0</v>
      </c>
      <c r="BL719" s="32">
        <v>0</v>
      </c>
      <c r="BM719" s="25">
        <v>0</v>
      </c>
      <c r="BN719" s="19">
        <v>1</v>
      </c>
      <c r="BO719" s="19">
        <v>0</v>
      </c>
      <c r="BP719" s="19">
        <v>0</v>
      </c>
      <c r="BQ719" s="19">
        <v>0</v>
      </c>
      <c r="BR719" s="19">
        <v>0</v>
      </c>
      <c r="BS719" s="19">
        <v>0</v>
      </c>
      <c r="BT719" s="19">
        <v>0</v>
      </c>
      <c r="BU719" s="23">
        <v>0</v>
      </c>
      <c r="BV719" s="23"/>
      <c r="BW719" s="23"/>
      <c r="BX719" s="23"/>
      <c r="BY719" s="23"/>
      <c r="BZ719" s="23"/>
    </row>
    <row r="720" spans="3:78" ht="20.100000000000001" customHeight="1">
      <c r="C720" s="19">
        <v>61023201</v>
      </c>
      <c r="D720" s="20" t="s">
        <v>5741</v>
      </c>
      <c r="E720" s="20" t="s">
        <v>1768</v>
      </c>
      <c r="F720" s="19">
        <v>0</v>
      </c>
      <c r="G720" s="19">
        <v>61023201</v>
      </c>
      <c r="H720" s="19">
        <f>C721</f>
        <v>61023202</v>
      </c>
      <c r="I720" s="19">
        <v>0</v>
      </c>
      <c r="J720" s="19">
        <v>25</v>
      </c>
      <c r="K720" s="19">
        <v>5</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29" t="s">
        <v>5742</v>
      </c>
      <c r="AU720" s="19" t="s">
        <v>204</v>
      </c>
      <c r="AV720" s="19"/>
      <c r="AW720" s="20" t="s">
        <v>1769</v>
      </c>
      <c r="AX720" s="19" t="s">
        <v>1415</v>
      </c>
      <c r="AY720" s="19">
        <v>0</v>
      </c>
      <c r="AZ720" s="19">
        <v>21030020</v>
      </c>
      <c r="BA720" s="20" t="s">
        <v>206</v>
      </c>
      <c r="BB720" s="20" t="s">
        <v>204</v>
      </c>
      <c r="BC720" s="19">
        <v>0</v>
      </c>
      <c r="BD720" s="19">
        <v>0</v>
      </c>
      <c r="BE720" s="186" t="s">
        <v>5796</v>
      </c>
      <c r="BF720" s="186" t="s">
        <v>5797</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61023202</v>
      </c>
      <c r="D721" s="20" t="s">
        <v>1767</v>
      </c>
      <c r="E721" s="20" t="s">
        <v>1768</v>
      </c>
      <c r="F721" s="19">
        <v>1</v>
      </c>
      <c r="G721" s="19">
        <v>61023201</v>
      </c>
      <c r="H721" s="19">
        <f t="shared" ref="H721:H722" si="42">C722</f>
        <v>61023203</v>
      </c>
      <c r="I721" s="19">
        <v>0</v>
      </c>
      <c r="J721" s="19">
        <v>32</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29" t="s">
        <v>1770</v>
      </c>
      <c r="AU721" s="19" t="s">
        <v>204</v>
      </c>
      <c r="AV721" s="19"/>
      <c r="AW721" s="20" t="s">
        <v>1769</v>
      </c>
      <c r="AX721" s="19" t="s">
        <v>1415</v>
      </c>
      <c r="AY721" s="19">
        <v>0</v>
      </c>
      <c r="AZ721" s="19">
        <v>21030020</v>
      </c>
      <c r="BA721" s="20" t="s">
        <v>206</v>
      </c>
      <c r="BB721" s="20" t="s">
        <v>204</v>
      </c>
      <c r="BC721" s="19">
        <v>0</v>
      </c>
      <c r="BD721" s="19">
        <v>0</v>
      </c>
      <c r="BE721" s="186" t="s">
        <v>5798</v>
      </c>
      <c r="BF721" s="186" t="s">
        <v>5799</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61023203</v>
      </c>
      <c r="D722" s="20" t="s">
        <v>1767</v>
      </c>
      <c r="E722" s="20" t="s">
        <v>1768</v>
      </c>
      <c r="F722" s="19">
        <v>2</v>
      </c>
      <c r="G722" s="19">
        <v>61023201</v>
      </c>
      <c r="H722" s="19">
        <f t="shared" si="42"/>
        <v>61023204</v>
      </c>
      <c r="I722" s="19">
        <v>0</v>
      </c>
      <c r="J722" s="19">
        <v>37</v>
      </c>
      <c r="K722" s="19">
        <v>2</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29" t="s">
        <v>5744</v>
      </c>
      <c r="AU722" s="19" t="s">
        <v>204</v>
      </c>
      <c r="AV722" s="19"/>
      <c r="AW722" s="20" t="s">
        <v>1769</v>
      </c>
      <c r="AX722" s="19" t="s">
        <v>1415</v>
      </c>
      <c r="AY722" s="19">
        <v>0</v>
      </c>
      <c r="AZ722" s="19">
        <v>21030020</v>
      </c>
      <c r="BA722" s="20" t="s">
        <v>206</v>
      </c>
      <c r="BB722" s="20" t="s">
        <v>204</v>
      </c>
      <c r="BC722" s="19">
        <v>0</v>
      </c>
      <c r="BD722" s="19">
        <v>0</v>
      </c>
      <c r="BE722" s="186" t="s">
        <v>5800</v>
      </c>
      <c r="BF722" s="186" t="s">
        <v>5801</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61023204</v>
      </c>
      <c r="D723" s="20" t="s">
        <v>1767</v>
      </c>
      <c r="E723" s="20" t="s">
        <v>1768</v>
      </c>
      <c r="F723" s="19">
        <v>3</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29" t="s">
        <v>1771</v>
      </c>
      <c r="AU723" s="19" t="s">
        <v>204</v>
      </c>
      <c r="AV723" s="19"/>
      <c r="AW723" s="20" t="s">
        <v>1769</v>
      </c>
      <c r="AX723" s="19" t="s">
        <v>1415</v>
      </c>
      <c r="AY723" s="19">
        <v>0</v>
      </c>
      <c r="AZ723" s="19">
        <v>21030020</v>
      </c>
      <c r="BA723" s="20" t="s">
        <v>206</v>
      </c>
      <c r="BB723" s="20" t="s">
        <v>204</v>
      </c>
      <c r="BC723" s="19">
        <v>0</v>
      </c>
      <c r="BD723" s="19">
        <v>0</v>
      </c>
      <c r="BE723" s="186" t="s">
        <v>5802</v>
      </c>
      <c r="BF723" s="186" t="s">
        <v>5803</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61023205</v>
      </c>
      <c r="D724" s="20" t="s">
        <v>1767</v>
      </c>
      <c r="E724" s="20" t="s">
        <v>1768</v>
      </c>
      <c r="F724" s="19">
        <v>4</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29" t="s">
        <v>5743</v>
      </c>
      <c r="AU724" s="19" t="s">
        <v>204</v>
      </c>
      <c r="AV724" s="19"/>
      <c r="AW724" s="20" t="s">
        <v>1769</v>
      </c>
      <c r="AX724" s="19" t="s">
        <v>1415</v>
      </c>
      <c r="AY724" s="19">
        <v>0</v>
      </c>
      <c r="AZ724" s="19">
        <v>21030020</v>
      </c>
      <c r="BA724" s="20" t="s">
        <v>206</v>
      </c>
      <c r="BB724" s="20" t="s">
        <v>204</v>
      </c>
      <c r="BC724" s="19">
        <v>0</v>
      </c>
      <c r="BD724" s="19">
        <v>0</v>
      </c>
      <c r="BE724" s="186" t="s">
        <v>5804</v>
      </c>
      <c r="BF724" s="186" t="s">
        <v>5805</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19">
        <v>61023206</v>
      </c>
      <c r="D725" s="20" t="s">
        <v>1767</v>
      </c>
      <c r="E725" s="20" t="s">
        <v>1768</v>
      </c>
      <c r="F725" s="19">
        <v>5</v>
      </c>
      <c r="G725" s="19">
        <v>61023201</v>
      </c>
      <c r="H725" s="19">
        <v>0</v>
      </c>
      <c r="I725" s="19">
        <v>0</v>
      </c>
      <c r="J725" s="19">
        <v>0</v>
      </c>
      <c r="K725" s="19">
        <v>0</v>
      </c>
      <c r="L725" s="19">
        <v>0</v>
      </c>
      <c r="M725" s="19">
        <v>1</v>
      </c>
      <c r="N725" s="19">
        <v>0</v>
      </c>
      <c r="O725" s="19">
        <v>1</v>
      </c>
      <c r="P725" s="19">
        <v>0</v>
      </c>
      <c r="Q725" s="19">
        <v>0</v>
      </c>
      <c r="R725" s="19">
        <v>0</v>
      </c>
      <c r="S725" s="19">
        <v>0</v>
      </c>
      <c r="T725" s="19">
        <v>0</v>
      </c>
      <c r="U725" s="19">
        <v>1</v>
      </c>
      <c r="V725" s="19">
        <v>2</v>
      </c>
      <c r="W725" s="19">
        <v>0</v>
      </c>
      <c r="X725" s="19">
        <v>0</v>
      </c>
      <c r="Y725" s="19">
        <v>0</v>
      </c>
      <c r="Z725" s="19">
        <v>0</v>
      </c>
      <c r="AA725" s="19">
        <v>0</v>
      </c>
      <c r="AB725" s="19">
        <v>0</v>
      </c>
      <c r="AC725" s="19">
        <v>0</v>
      </c>
      <c r="AD725" s="19">
        <v>0</v>
      </c>
      <c r="AE725" s="19">
        <v>0</v>
      </c>
      <c r="AF725" s="19">
        <v>18</v>
      </c>
      <c r="AG725" s="19">
        <v>0</v>
      </c>
      <c r="AH725" s="19">
        <v>0</v>
      </c>
      <c r="AI725" s="19">
        <v>2</v>
      </c>
      <c r="AJ725" s="19">
        <v>0</v>
      </c>
      <c r="AK725" s="19">
        <v>0</v>
      </c>
      <c r="AL725" s="19">
        <v>0</v>
      </c>
      <c r="AM725" s="19">
        <v>0</v>
      </c>
      <c r="AN725" s="19">
        <v>0</v>
      </c>
      <c r="AO725" s="19">
        <v>0</v>
      </c>
      <c r="AP725" s="19">
        <v>0</v>
      </c>
      <c r="AQ725" s="19">
        <v>1000</v>
      </c>
      <c r="AR725" s="19">
        <v>0</v>
      </c>
      <c r="AS725" s="19">
        <v>0</v>
      </c>
      <c r="AT725" s="329" t="s">
        <v>1772</v>
      </c>
      <c r="AU725" s="19" t="s">
        <v>204</v>
      </c>
      <c r="AV725" s="19"/>
      <c r="AW725" s="20" t="s">
        <v>1769</v>
      </c>
      <c r="AX725" s="19" t="s">
        <v>1415</v>
      </c>
      <c r="AY725" s="19">
        <v>0</v>
      </c>
      <c r="AZ725" s="19">
        <v>21030020</v>
      </c>
      <c r="BA725" s="20" t="s">
        <v>206</v>
      </c>
      <c r="BB725" s="20" t="s">
        <v>204</v>
      </c>
      <c r="BC725" s="19">
        <v>0</v>
      </c>
      <c r="BD725" s="19">
        <v>0</v>
      </c>
      <c r="BE725" s="186" t="s">
        <v>5806</v>
      </c>
      <c r="BF725" s="186" t="s">
        <v>5807</v>
      </c>
      <c r="BG725" s="19">
        <v>0</v>
      </c>
      <c r="BH725" s="19">
        <v>0</v>
      </c>
      <c r="BI725" s="19">
        <v>0</v>
      </c>
      <c r="BJ725" s="19">
        <v>0</v>
      </c>
      <c r="BK725" s="19">
        <v>0</v>
      </c>
      <c r="BL725" s="19">
        <v>0</v>
      </c>
      <c r="BM725" s="187">
        <v>0</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61023301</v>
      </c>
      <c r="D726" s="35" t="s">
        <v>1773</v>
      </c>
      <c r="E726" s="35" t="s">
        <v>1774</v>
      </c>
      <c r="F726" s="21">
        <v>0</v>
      </c>
      <c r="G726" s="32">
        <v>61023301</v>
      </c>
      <c r="H726" s="32">
        <f>C727</f>
        <v>61023302</v>
      </c>
      <c r="I726" s="31">
        <v>0</v>
      </c>
      <c r="J726" s="21">
        <v>30</v>
      </c>
      <c r="K726" s="32">
        <v>5</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39" t="s">
        <v>1775</v>
      </c>
      <c r="AV726" s="32">
        <v>90001079</v>
      </c>
      <c r="AW726" s="35" t="s">
        <v>205</v>
      </c>
      <c r="AX726" s="32" t="s">
        <v>1047</v>
      </c>
      <c r="AY726" s="32">
        <v>10004004</v>
      </c>
      <c r="AZ726" s="32">
        <v>21030030</v>
      </c>
      <c r="BA726" s="35" t="s">
        <v>1776</v>
      </c>
      <c r="BB726" s="35" t="s">
        <v>867</v>
      </c>
      <c r="BC726" s="31">
        <v>0</v>
      </c>
      <c r="BD726" s="31">
        <v>0</v>
      </c>
      <c r="BE726" s="185" t="str">
        <f>"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1777</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61023302</v>
      </c>
      <c r="D727" s="35" t="s">
        <v>1773</v>
      </c>
      <c r="E727" s="35" t="s">
        <v>1774</v>
      </c>
      <c r="F727" s="21">
        <v>1</v>
      </c>
      <c r="G727" s="32">
        <v>61023301</v>
      </c>
      <c r="H727" s="32">
        <f t="shared" ref="H727:H728" si="43">C728</f>
        <v>61023303</v>
      </c>
      <c r="I727" s="31">
        <v>0</v>
      </c>
      <c r="J727" s="21">
        <v>37</v>
      </c>
      <c r="K727" s="32">
        <v>2</v>
      </c>
      <c r="L727" s="21">
        <v>0</v>
      </c>
      <c r="M727" s="32">
        <v>0</v>
      </c>
      <c r="N727" s="32">
        <v>0</v>
      </c>
      <c r="O727" s="32">
        <v>1</v>
      </c>
      <c r="P727" s="32">
        <v>0</v>
      </c>
      <c r="Q727" s="32">
        <v>0</v>
      </c>
      <c r="R727" s="32">
        <v>0</v>
      </c>
      <c r="S727" s="19">
        <v>0</v>
      </c>
      <c r="T727" s="31">
        <v>0</v>
      </c>
      <c r="U727" s="21">
        <v>1</v>
      </c>
      <c r="V727" s="32">
        <v>2</v>
      </c>
      <c r="W727" s="32">
        <v>0</v>
      </c>
      <c r="X727" s="32">
        <v>1.2</v>
      </c>
      <c r="Y727" s="19">
        <v>0</v>
      </c>
      <c r="Z727" s="32">
        <v>900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39" t="s">
        <v>1775</v>
      </c>
      <c r="AV727" s="32">
        <v>90001079</v>
      </c>
      <c r="AW727" s="35" t="s">
        <v>205</v>
      </c>
      <c r="AX727" s="32" t="s">
        <v>1047</v>
      </c>
      <c r="AY727" s="32">
        <v>10004004</v>
      </c>
      <c r="AZ727" s="32">
        <v>21030030</v>
      </c>
      <c r="BA727" s="35" t="s">
        <v>1776</v>
      </c>
      <c r="BB727" s="35" t="s">
        <v>867</v>
      </c>
      <c r="BC727" s="31">
        <v>0</v>
      </c>
      <c r="BD727" s="31">
        <v>0</v>
      </c>
      <c r="BE727" s="185" t="str">
        <f t="shared" ref="BE727:BE731" si="44">"释放出3个法球,释放时对附近单位造成1秒眩晕,并持续对周围造成每秒造成"&amp;X727*100&amp;"%攻击伤害+"&amp;Z727&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7" s="185" t="s">
        <v>1777</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61023303</v>
      </c>
      <c r="D728" s="35" t="s">
        <v>1773</v>
      </c>
      <c r="E728" s="35" t="s">
        <v>1774</v>
      </c>
      <c r="F728" s="21">
        <v>2</v>
      </c>
      <c r="G728" s="32">
        <v>61023301</v>
      </c>
      <c r="H728" s="32">
        <f t="shared" si="43"/>
        <v>61023304</v>
      </c>
      <c r="I728" s="31">
        <v>0</v>
      </c>
      <c r="J728" s="21">
        <v>42</v>
      </c>
      <c r="K728" s="32">
        <v>2</v>
      </c>
      <c r="L728" s="21">
        <v>0</v>
      </c>
      <c r="M728" s="32">
        <v>0</v>
      </c>
      <c r="N728" s="32">
        <v>0</v>
      </c>
      <c r="O728" s="32">
        <v>1</v>
      </c>
      <c r="P728" s="32">
        <v>0</v>
      </c>
      <c r="Q728" s="32">
        <v>0</v>
      </c>
      <c r="R728" s="32">
        <v>0</v>
      </c>
      <c r="S728" s="19">
        <v>0</v>
      </c>
      <c r="T728" s="31">
        <v>0</v>
      </c>
      <c r="U728" s="21">
        <v>1</v>
      </c>
      <c r="V728" s="32">
        <v>2</v>
      </c>
      <c r="W728" s="32">
        <v>0</v>
      </c>
      <c r="X728" s="32">
        <v>1.35</v>
      </c>
      <c r="Y728" s="19">
        <v>0</v>
      </c>
      <c r="Z728" s="32">
        <v>1800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39" t="s">
        <v>1775</v>
      </c>
      <c r="AV728" s="32">
        <v>90001079</v>
      </c>
      <c r="AW728" s="35" t="s">
        <v>205</v>
      </c>
      <c r="AX728" s="32" t="s">
        <v>1047</v>
      </c>
      <c r="AY728" s="32">
        <v>10004004</v>
      </c>
      <c r="AZ728" s="32">
        <v>21030030</v>
      </c>
      <c r="BA728" s="35" t="s">
        <v>1776</v>
      </c>
      <c r="BB728" s="35" t="s">
        <v>867</v>
      </c>
      <c r="BC728" s="31">
        <v>0</v>
      </c>
      <c r="BD728" s="31">
        <v>0</v>
      </c>
      <c r="BE728"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8" s="185" t="s">
        <v>1778</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61023304</v>
      </c>
      <c r="D729" s="35" t="s">
        <v>1773</v>
      </c>
      <c r="E729" s="35" t="s">
        <v>1774</v>
      </c>
      <c r="F729" s="21">
        <v>3</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1.5</v>
      </c>
      <c r="Y729" s="19">
        <v>0</v>
      </c>
      <c r="Z729" s="32">
        <v>2800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39" t="s">
        <v>1775</v>
      </c>
      <c r="AV729" s="32">
        <v>90001079</v>
      </c>
      <c r="AW729" s="35" t="s">
        <v>205</v>
      </c>
      <c r="AX729" s="32" t="s">
        <v>1047</v>
      </c>
      <c r="AY729" s="32">
        <v>10004004</v>
      </c>
      <c r="AZ729" s="32">
        <v>21030030</v>
      </c>
      <c r="BA729" s="35" t="s">
        <v>1776</v>
      </c>
      <c r="BB729" s="35" t="s">
        <v>867</v>
      </c>
      <c r="BC729" s="31">
        <v>0</v>
      </c>
      <c r="BD729" s="31">
        <v>0</v>
      </c>
      <c r="BE729"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9" s="185" t="s">
        <v>1779</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61023305</v>
      </c>
      <c r="D730" s="35" t="s">
        <v>1773</v>
      </c>
      <c r="E730" s="35" t="s">
        <v>1774</v>
      </c>
      <c r="F730" s="21">
        <v>4</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1.65</v>
      </c>
      <c r="Y730" s="19">
        <v>0</v>
      </c>
      <c r="Z730" s="32">
        <v>4000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39" t="s">
        <v>1775</v>
      </c>
      <c r="AV730" s="32">
        <v>90001079</v>
      </c>
      <c r="AW730" s="35" t="s">
        <v>205</v>
      </c>
      <c r="AX730" s="32" t="s">
        <v>1047</v>
      </c>
      <c r="AY730" s="32">
        <v>10004004</v>
      </c>
      <c r="AZ730" s="32">
        <v>21030030</v>
      </c>
      <c r="BA730" s="35" t="s">
        <v>1776</v>
      </c>
      <c r="BB730" s="35" t="s">
        <v>867</v>
      </c>
      <c r="BC730" s="31">
        <v>0</v>
      </c>
      <c r="BD730" s="31">
        <v>0</v>
      </c>
      <c r="BE730"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30" s="185" t="s">
        <v>1780</v>
      </c>
      <c r="BG730" s="32">
        <v>0</v>
      </c>
      <c r="BH730" s="21">
        <v>0</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61023306</v>
      </c>
      <c r="D731" s="35" t="s">
        <v>1773</v>
      </c>
      <c r="E731" s="35" t="s">
        <v>1774</v>
      </c>
      <c r="F731" s="21">
        <v>5</v>
      </c>
      <c r="G731" s="32">
        <v>61023301</v>
      </c>
      <c r="H731" s="21">
        <v>0</v>
      </c>
      <c r="I731" s="31">
        <v>0</v>
      </c>
      <c r="J731" s="32">
        <v>0</v>
      </c>
      <c r="K731" s="32">
        <v>0</v>
      </c>
      <c r="L731" s="21">
        <v>0</v>
      </c>
      <c r="M731" s="32">
        <v>0</v>
      </c>
      <c r="N731" s="32">
        <v>0</v>
      </c>
      <c r="O731" s="32">
        <v>1</v>
      </c>
      <c r="P731" s="32">
        <v>0</v>
      </c>
      <c r="Q731" s="32">
        <v>0</v>
      </c>
      <c r="R731" s="32">
        <v>0</v>
      </c>
      <c r="S731" s="19">
        <v>0</v>
      </c>
      <c r="T731" s="31">
        <v>0</v>
      </c>
      <c r="U731" s="21">
        <v>1</v>
      </c>
      <c r="V731" s="32">
        <v>2</v>
      </c>
      <c r="W731" s="32">
        <v>0</v>
      </c>
      <c r="X731" s="32">
        <v>1.8</v>
      </c>
      <c r="Y731" s="19">
        <v>0</v>
      </c>
      <c r="Z731" s="32">
        <v>5200</v>
      </c>
      <c r="AA731" s="32">
        <v>0</v>
      </c>
      <c r="AB731" s="32">
        <v>0</v>
      </c>
      <c r="AC731" s="32">
        <v>0</v>
      </c>
      <c r="AD731" s="32">
        <v>0</v>
      </c>
      <c r="AE731" s="32">
        <v>0</v>
      </c>
      <c r="AF731" s="32">
        <v>12</v>
      </c>
      <c r="AG731" s="32">
        <v>1</v>
      </c>
      <c r="AH731" s="32">
        <v>2</v>
      </c>
      <c r="AI731" s="19">
        <v>2</v>
      </c>
      <c r="AJ731" s="19">
        <v>0</v>
      </c>
      <c r="AK731" s="19">
        <v>0</v>
      </c>
      <c r="AL731" s="19">
        <v>2</v>
      </c>
      <c r="AM731" s="32">
        <v>0</v>
      </c>
      <c r="AN731" s="32">
        <v>0</v>
      </c>
      <c r="AO731" s="32">
        <v>0</v>
      </c>
      <c r="AP731" s="32">
        <v>0.5</v>
      </c>
      <c r="AQ731" s="32">
        <v>10000</v>
      </c>
      <c r="AR731" s="32">
        <v>0.5</v>
      </c>
      <c r="AS731" s="32">
        <v>100</v>
      </c>
      <c r="AT731" s="19">
        <v>0</v>
      </c>
      <c r="AU731" s="339" t="s">
        <v>1775</v>
      </c>
      <c r="AV731" s="32">
        <v>90001079</v>
      </c>
      <c r="AW731" s="35" t="s">
        <v>205</v>
      </c>
      <c r="AX731" s="32" t="s">
        <v>1047</v>
      </c>
      <c r="AY731" s="32">
        <v>10004004</v>
      </c>
      <c r="AZ731" s="32">
        <v>21030030</v>
      </c>
      <c r="BA731" s="35" t="s">
        <v>1776</v>
      </c>
      <c r="BB731" s="35" t="s">
        <v>867</v>
      </c>
      <c r="BC731" s="31">
        <v>0</v>
      </c>
      <c r="BD731" s="31">
        <v>0</v>
      </c>
      <c r="BE731"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1" s="185" t="s">
        <v>1781</v>
      </c>
      <c r="BG731" s="32">
        <v>0</v>
      </c>
      <c r="BH731" s="21">
        <v>61023501</v>
      </c>
      <c r="BI731" s="32">
        <v>0</v>
      </c>
      <c r="BJ731" s="32">
        <v>0</v>
      </c>
      <c r="BK731" s="32">
        <v>0</v>
      </c>
      <c r="BL731" s="32">
        <v>0</v>
      </c>
      <c r="BM731" s="187">
        <v>61023311</v>
      </c>
      <c r="BN731" s="19">
        <v>0</v>
      </c>
      <c r="BO731" s="19">
        <v>0</v>
      </c>
      <c r="BP731" s="19">
        <v>0</v>
      </c>
      <c r="BQ731" s="19">
        <v>0</v>
      </c>
      <c r="BR731" s="19">
        <v>0</v>
      </c>
      <c r="BS731" s="19">
        <v>0</v>
      </c>
      <c r="BT731" s="19">
        <v>0</v>
      </c>
      <c r="BU731" s="23">
        <v>0</v>
      </c>
      <c r="BV731" s="23"/>
      <c r="BW731" s="23"/>
      <c r="BX731" s="23"/>
      <c r="BY731" s="23"/>
      <c r="BZ731" s="23"/>
    </row>
    <row r="732" spans="3:78" ht="20.100000000000001" customHeight="1">
      <c r="C732" s="32">
        <v>61023311</v>
      </c>
      <c r="D732" s="35" t="s">
        <v>1759</v>
      </c>
      <c r="E732" s="35" t="s">
        <v>1760</v>
      </c>
      <c r="F732" s="21">
        <v>1</v>
      </c>
      <c r="G732" s="32">
        <v>61023101</v>
      </c>
      <c r="H732" s="32">
        <v>0</v>
      </c>
      <c r="I732" s="31">
        <v>0</v>
      </c>
      <c r="J732" s="21">
        <v>0</v>
      </c>
      <c r="K732" s="21">
        <v>0</v>
      </c>
      <c r="L732" s="21">
        <v>0</v>
      </c>
      <c r="M732" s="32">
        <v>0</v>
      </c>
      <c r="N732" s="32">
        <v>0</v>
      </c>
      <c r="O732" s="32">
        <v>1</v>
      </c>
      <c r="P732" s="32">
        <v>0</v>
      </c>
      <c r="Q732" s="32">
        <v>0</v>
      </c>
      <c r="R732" s="32">
        <v>0</v>
      </c>
      <c r="S732" s="19">
        <v>0</v>
      </c>
      <c r="T732" s="31">
        <v>0</v>
      </c>
      <c r="U732" s="21">
        <v>1</v>
      </c>
      <c r="V732" s="32">
        <v>2</v>
      </c>
      <c r="W732" s="32">
        <v>0</v>
      </c>
      <c r="X732" s="32">
        <v>0</v>
      </c>
      <c r="Y732" s="19">
        <v>0</v>
      </c>
      <c r="Z732" s="32">
        <v>0</v>
      </c>
      <c r="AA732" s="32">
        <v>1</v>
      </c>
      <c r="AB732" s="32">
        <v>0</v>
      </c>
      <c r="AC732" s="32">
        <v>0</v>
      </c>
      <c r="AD732" s="32">
        <v>0</v>
      </c>
      <c r="AE732" s="32">
        <v>0</v>
      </c>
      <c r="AF732" s="32">
        <v>9</v>
      </c>
      <c r="AG732" s="32">
        <v>1</v>
      </c>
      <c r="AH732" s="32">
        <v>3.5</v>
      </c>
      <c r="AI732" s="19">
        <v>0</v>
      </c>
      <c r="AJ732" s="19">
        <v>0</v>
      </c>
      <c r="AK732" s="19">
        <v>0</v>
      </c>
      <c r="AL732" s="19">
        <v>3</v>
      </c>
      <c r="AM732" s="32">
        <v>0</v>
      </c>
      <c r="AN732" s="32">
        <v>0</v>
      </c>
      <c r="AO732" s="32">
        <v>0</v>
      </c>
      <c r="AP732" s="32">
        <v>0.3</v>
      </c>
      <c r="AQ732" s="32">
        <v>2000</v>
      </c>
      <c r="AR732" s="32">
        <v>0.5</v>
      </c>
      <c r="AS732" s="32">
        <v>0</v>
      </c>
      <c r="AT732" s="19">
        <v>0</v>
      </c>
      <c r="AU732" s="339" t="s">
        <v>1782</v>
      </c>
      <c r="AV732" s="32"/>
      <c r="AW732" s="35" t="s">
        <v>204</v>
      </c>
      <c r="AX732" s="32">
        <v>0</v>
      </c>
      <c r="AY732" s="32">
        <v>0</v>
      </c>
      <c r="AZ732" s="32">
        <v>0</v>
      </c>
      <c r="BA732" s="35" t="s">
        <v>206</v>
      </c>
      <c r="BB732" s="35">
        <v>0</v>
      </c>
      <c r="BC732" s="31">
        <v>0</v>
      </c>
      <c r="BD732" s="31">
        <v>0</v>
      </c>
      <c r="BE732" s="185" t="s">
        <v>1783</v>
      </c>
      <c r="BF732" s="185" t="s">
        <v>1784</v>
      </c>
      <c r="BG732" s="32">
        <v>0</v>
      </c>
      <c r="BH732" s="21">
        <v>0</v>
      </c>
      <c r="BI732" s="32">
        <v>0</v>
      </c>
      <c r="BJ732" s="32">
        <v>0</v>
      </c>
      <c r="BK732" s="32">
        <v>0</v>
      </c>
      <c r="BL732" s="32">
        <v>0</v>
      </c>
      <c r="BM732" s="25">
        <v>0</v>
      </c>
      <c r="BN732" s="19">
        <v>1</v>
      </c>
      <c r="BO732" s="19">
        <v>0</v>
      </c>
      <c r="BP732" s="19">
        <v>0</v>
      </c>
      <c r="BQ732" s="19">
        <v>0</v>
      </c>
      <c r="BR732" s="19">
        <v>0</v>
      </c>
      <c r="BS732" s="19">
        <v>0</v>
      </c>
      <c r="BT732" s="19">
        <v>0</v>
      </c>
      <c r="BU732" s="23">
        <v>0</v>
      </c>
      <c r="BV732" s="23"/>
      <c r="BW732" s="23"/>
      <c r="BX732" s="23"/>
      <c r="BY732" s="23"/>
      <c r="BZ732" s="23"/>
    </row>
    <row r="733" spans="3:78" ht="20.100000000000001" customHeight="1">
      <c r="C733" s="32">
        <v>61023401</v>
      </c>
      <c r="D733" s="35" t="s">
        <v>1785</v>
      </c>
      <c r="E733" s="35" t="s">
        <v>1786</v>
      </c>
      <c r="F733" s="21">
        <v>0</v>
      </c>
      <c r="G733" s="32">
        <v>61023401</v>
      </c>
      <c r="H733" s="32">
        <f>C734</f>
        <v>61023402</v>
      </c>
      <c r="I733" s="31">
        <v>0</v>
      </c>
      <c r="J733" s="21">
        <v>35</v>
      </c>
      <c r="K733" s="21">
        <v>5</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39" t="s">
        <v>1787</v>
      </c>
      <c r="AV733" s="32"/>
      <c r="AW733" s="35" t="s">
        <v>1705</v>
      </c>
      <c r="AX733" s="32" t="s">
        <v>1415</v>
      </c>
      <c r="AY733" s="32">
        <v>10002001</v>
      </c>
      <c r="AZ733" s="32">
        <v>21030040</v>
      </c>
      <c r="BA733" s="35" t="s">
        <v>321</v>
      </c>
      <c r="BB733" s="35" t="s">
        <v>377</v>
      </c>
      <c r="BC733" s="31">
        <v>0</v>
      </c>
      <c r="BD733" s="31">
        <v>0</v>
      </c>
      <c r="BE733" s="185" t="str">
        <f>"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1788</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61023402</v>
      </c>
      <c r="D734" s="35" t="s">
        <v>1785</v>
      </c>
      <c r="E734" s="35" t="s">
        <v>1786</v>
      </c>
      <c r="F734" s="21">
        <v>1</v>
      </c>
      <c r="G734" s="32">
        <v>61023401</v>
      </c>
      <c r="H734" s="32">
        <f t="shared" ref="H734:H735" si="45">C735</f>
        <v>61023403</v>
      </c>
      <c r="I734" s="31">
        <v>0</v>
      </c>
      <c r="J734" s="21">
        <v>42</v>
      </c>
      <c r="K734" s="21">
        <v>2</v>
      </c>
      <c r="L734" s="21">
        <v>0</v>
      </c>
      <c r="M734" s="32">
        <v>0</v>
      </c>
      <c r="N734" s="32">
        <v>0</v>
      </c>
      <c r="O734" s="32">
        <v>1</v>
      </c>
      <c r="P734" s="32">
        <v>0</v>
      </c>
      <c r="Q734" s="32">
        <v>0</v>
      </c>
      <c r="R734" s="32">
        <v>0</v>
      </c>
      <c r="S734" s="19">
        <v>0</v>
      </c>
      <c r="T734" s="31">
        <v>0</v>
      </c>
      <c r="U734" s="21">
        <v>1</v>
      </c>
      <c r="V734" s="32">
        <v>2</v>
      </c>
      <c r="W734" s="32">
        <v>0</v>
      </c>
      <c r="X734" s="32">
        <v>1</v>
      </c>
      <c r="Y734" s="19">
        <v>0</v>
      </c>
      <c r="Z734" s="32">
        <v>500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39" t="s">
        <v>1787</v>
      </c>
      <c r="AV734" s="32"/>
      <c r="AW734" s="35" t="s">
        <v>1705</v>
      </c>
      <c r="AX734" s="32" t="s">
        <v>1415</v>
      </c>
      <c r="AY734" s="32">
        <v>10002001</v>
      </c>
      <c r="AZ734" s="32">
        <v>21030040</v>
      </c>
      <c r="BA734" s="35" t="s">
        <v>321</v>
      </c>
      <c r="BB734" s="35" t="s">
        <v>377</v>
      </c>
      <c r="BC734" s="31">
        <v>0</v>
      </c>
      <c r="BD734" s="31">
        <v>0</v>
      </c>
      <c r="BE734" s="185" t="str">
        <f t="shared" ref="BE734:BE738" si="46">"在脚底下立即释放法术,在此范围内的目标每秒造成"&amp;X734*100&amp;"%攻击伤害+"&amp;Z734&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4" s="185" t="s">
        <v>1788</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61023403</v>
      </c>
      <c r="D735" s="35" t="s">
        <v>1785</v>
      </c>
      <c r="E735" s="35" t="s">
        <v>1786</v>
      </c>
      <c r="F735" s="21">
        <v>2</v>
      </c>
      <c r="G735" s="32">
        <v>61023401</v>
      </c>
      <c r="H735" s="32">
        <f t="shared" si="45"/>
        <v>61023404</v>
      </c>
      <c r="I735" s="31">
        <v>0</v>
      </c>
      <c r="J735" s="21">
        <v>47</v>
      </c>
      <c r="K735" s="21">
        <v>2</v>
      </c>
      <c r="L735" s="21">
        <v>0</v>
      </c>
      <c r="M735" s="32">
        <v>0</v>
      </c>
      <c r="N735" s="32">
        <v>0</v>
      </c>
      <c r="O735" s="32">
        <v>1</v>
      </c>
      <c r="P735" s="32">
        <v>0</v>
      </c>
      <c r="Q735" s="32">
        <v>0</v>
      </c>
      <c r="R735" s="32">
        <v>0</v>
      </c>
      <c r="S735" s="19">
        <v>0</v>
      </c>
      <c r="T735" s="31">
        <v>0</v>
      </c>
      <c r="U735" s="21">
        <v>1</v>
      </c>
      <c r="V735" s="32">
        <v>2</v>
      </c>
      <c r="W735" s="32">
        <v>0</v>
      </c>
      <c r="X735" s="32">
        <v>1.1499999999999999</v>
      </c>
      <c r="Y735" s="19">
        <v>0</v>
      </c>
      <c r="Z735" s="32">
        <v>800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39" t="s">
        <v>1789</v>
      </c>
      <c r="AV735" s="32"/>
      <c r="AW735" s="35" t="s">
        <v>1705</v>
      </c>
      <c r="AX735" s="32" t="s">
        <v>1415</v>
      </c>
      <c r="AY735" s="32">
        <v>10002001</v>
      </c>
      <c r="AZ735" s="32">
        <v>21030040</v>
      </c>
      <c r="BA735" s="35" t="s">
        <v>321</v>
      </c>
      <c r="BB735" s="35" t="s">
        <v>377</v>
      </c>
      <c r="BC735" s="31">
        <v>0</v>
      </c>
      <c r="BD735" s="31">
        <v>0</v>
      </c>
      <c r="BE735"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5" s="185" t="s">
        <v>1790</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61023404</v>
      </c>
      <c r="D736" s="35" t="s">
        <v>1785</v>
      </c>
      <c r="E736" s="35" t="s">
        <v>1786</v>
      </c>
      <c r="F736" s="21">
        <v>3</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1.3</v>
      </c>
      <c r="Y736" s="19">
        <v>0</v>
      </c>
      <c r="Z736" s="32">
        <v>1150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39" t="s">
        <v>1791</v>
      </c>
      <c r="AV736" s="32"/>
      <c r="AW736" s="35" t="s">
        <v>1705</v>
      </c>
      <c r="AX736" s="32" t="s">
        <v>1415</v>
      </c>
      <c r="AY736" s="32">
        <v>10002001</v>
      </c>
      <c r="AZ736" s="32">
        <v>21030040</v>
      </c>
      <c r="BA736" s="35" t="s">
        <v>321</v>
      </c>
      <c r="BB736" s="35" t="s">
        <v>377</v>
      </c>
      <c r="BC736" s="31">
        <v>0</v>
      </c>
      <c r="BD736" s="31">
        <v>0</v>
      </c>
      <c r="BE736"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6" s="185" t="s">
        <v>1792</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61023405</v>
      </c>
      <c r="D737" s="35" t="s">
        <v>1785</v>
      </c>
      <c r="E737" s="35" t="s">
        <v>1786</v>
      </c>
      <c r="F737" s="21">
        <v>4</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1.45</v>
      </c>
      <c r="Y737" s="19">
        <v>0</v>
      </c>
      <c r="Z737" s="32">
        <v>1550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39" t="s">
        <v>1793</v>
      </c>
      <c r="AV737" s="32"/>
      <c r="AW737" s="35" t="s">
        <v>1705</v>
      </c>
      <c r="AX737" s="32" t="s">
        <v>1415</v>
      </c>
      <c r="AY737" s="32">
        <v>10002001</v>
      </c>
      <c r="AZ737" s="32">
        <v>21030040</v>
      </c>
      <c r="BA737" s="35" t="s">
        <v>321</v>
      </c>
      <c r="BB737" s="35" t="s">
        <v>377</v>
      </c>
      <c r="BC737" s="31">
        <v>0</v>
      </c>
      <c r="BD737" s="31">
        <v>0</v>
      </c>
      <c r="BE737"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7" s="185" t="s">
        <v>1794</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61023406</v>
      </c>
      <c r="D738" s="35" t="s">
        <v>1785</v>
      </c>
      <c r="E738" s="35" t="s">
        <v>1786</v>
      </c>
      <c r="F738" s="21">
        <v>5</v>
      </c>
      <c r="G738" s="32">
        <v>61023401</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1.6</v>
      </c>
      <c r="Y738" s="19">
        <v>0</v>
      </c>
      <c r="Z738" s="32">
        <v>2050</v>
      </c>
      <c r="AA738" s="32">
        <v>0</v>
      </c>
      <c r="AB738" s="32">
        <v>0</v>
      </c>
      <c r="AC738" s="32">
        <v>0</v>
      </c>
      <c r="AD738" s="32">
        <v>0</v>
      </c>
      <c r="AE738" s="32">
        <v>0</v>
      </c>
      <c r="AF738" s="32">
        <v>30</v>
      </c>
      <c r="AG738" s="32">
        <v>1</v>
      </c>
      <c r="AH738" s="32">
        <v>4</v>
      </c>
      <c r="AI738" s="19">
        <v>2</v>
      </c>
      <c r="AJ738" s="19">
        <v>0</v>
      </c>
      <c r="AK738" s="19">
        <v>0</v>
      </c>
      <c r="AL738" s="19">
        <v>1.5</v>
      </c>
      <c r="AM738" s="32">
        <v>0</v>
      </c>
      <c r="AN738" s="32">
        <v>0</v>
      </c>
      <c r="AO738" s="32">
        <v>0</v>
      </c>
      <c r="AP738" s="32">
        <v>0.5</v>
      </c>
      <c r="AQ738" s="32">
        <v>15000</v>
      </c>
      <c r="AR738" s="32">
        <v>0.5</v>
      </c>
      <c r="AS738" s="32">
        <v>0</v>
      </c>
      <c r="AT738" s="19">
        <v>0</v>
      </c>
      <c r="AU738" s="339" t="s">
        <v>1795</v>
      </c>
      <c r="AV738" s="32"/>
      <c r="AW738" s="35" t="s">
        <v>1705</v>
      </c>
      <c r="AX738" s="32" t="s">
        <v>1415</v>
      </c>
      <c r="AY738" s="32">
        <v>10002001</v>
      </c>
      <c r="AZ738" s="32">
        <v>21030040</v>
      </c>
      <c r="BA738" s="35" t="s">
        <v>321</v>
      </c>
      <c r="BB738" s="35" t="s">
        <v>377</v>
      </c>
      <c r="BC738" s="31">
        <v>0</v>
      </c>
      <c r="BD738" s="31">
        <v>0</v>
      </c>
      <c r="BE738"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8" s="185" t="s">
        <v>1796</v>
      </c>
      <c r="BG738" s="32">
        <v>0</v>
      </c>
      <c r="BH738" s="21">
        <v>61023501</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20.100000000000001" customHeight="1">
      <c r="C739" s="32">
        <v>61023501</v>
      </c>
      <c r="D739" s="35" t="s">
        <v>1797</v>
      </c>
      <c r="E739" s="35" t="s">
        <v>1798</v>
      </c>
      <c r="F739" s="21">
        <v>0</v>
      </c>
      <c r="G739" s="32">
        <v>0</v>
      </c>
      <c r="H739" s="21">
        <v>0</v>
      </c>
      <c r="I739" s="31">
        <v>0</v>
      </c>
      <c r="J739" s="32">
        <v>0</v>
      </c>
      <c r="K739" s="21">
        <v>0</v>
      </c>
      <c r="L739" s="21">
        <v>0</v>
      </c>
      <c r="M739" s="32">
        <v>0</v>
      </c>
      <c r="N739" s="32">
        <v>0</v>
      </c>
      <c r="O739" s="32">
        <v>1</v>
      </c>
      <c r="P739" s="32">
        <v>0</v>
      </c>
      <c r="Q739" s="32">
        <v>0</v>
      </c>
      <c r="R739" s="32">
        <v>0</v>
      </c>
      <c r="S739" s="19">
        <v>0</v>
      </c>
      <c r="T739" s="31">
        <v>0</v>
      </c>
      <c r="U739" s="21">
        <v>1</v>
      </c>
      <c r="V739" s="32">
        <v>2</v>
      </c>
      <c r="W739" s="32">
        <v>0</v>
      </c>
      <c r="X739" s="32">
        <v>0</v>
      </c>
      <c r="Y739" s="19">
        <v>0</v>
      </c>
      <c r="Z739" s="32">
        <v>0</v>
      </c>
      <c r="AA739" s="32">
        <v>0</v>
      </c>
      <c r="AB739" s="32">
        <v>0</v>
      </c>
      <c r="AC739" s="32">
        <v>0</v>
      </c>
      <c r="AD739" s="32">
        <v>0</v>
      </c>
      <c r="AE739" s="32">
        <v>0</v>
      </c>
      <c r="AF739" s="32">
        <v>30</v>
      </c>
      <c r="AG739" s="32">
        <v>1</v>
      </c>
      <c r="AH739" s="32">
        <v>3</v>
      </c>
      <c r="AI739" s="19">
        <v>2</v>
      </c>
      <c r="AJ739" s="19">
        <v>0</v>
      </c>
      <c r="AK739" s="19">
        <v>0</v>
      </c>
      <c r="AL739" s="19">
        <v>1.5</v>
      </c>
      <c r="AM739" s="32">
        <v>0</v>
      </c>
      <c r="AN739" s="32">
        <v>0</v>
      </c>
      <c r="AO739" s="32">
        <v>0</v>
      </c>
      <c r="AP739" s="32">
        <v>0.5</v>
      </c>
      <c r="AQ739" s="32">
        <v>15000</v>
      </c>
      <c r="AR739" s="32">
        <v>0.5</v>
      </c>
      <c r="AS739" s="32">
        <v>0</v>
      </c>
      <c r="AT739" s="19">
        <v>0</v>
      </c>
      <c r="AU739" s="32">
        <v>90001038</v>
      </c>
      <c r="AV739" s="32"/>
      <c r="AW739" s="35"/>
      <c r="AX739" s="32"/>
      <c r="AY739" s="32">
        <v>0</v>
      </c>
      <c r="AZ739" s="32">
        <v>0</v>
      </c>
      <c r="BA739" s="35" t="s">
        <v>206</v>
      </c>
      <c r="BB739" s="35" t="s">
        <v>377</v>
      </c>
      <c r="BC739" s="31">
        <v>0</v>
      </c>
      <c r="BD739" s="31">
        <v>0</v>
      </c>
      <c r="BE739" s="185" t="s">
        <v>1799</v>
      </c>
      <c r="BF739" s="185" t="s">
        <v>1800</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62011101</v>
      </c>
      <c r="D740" s="35" t="s">
        <v>1384</v>
      </c>
      <c r="E740" s="35" t="s">
        <v>1801</v>
      </c>
      <c r="F740" s="21">
        <v>0</v>
      </c>
      <c r="G740" s="32">
        <v>62011101</v>
      </c>
      <c r="H740" s="32">
        <f>C741</f>
        <v>62011102</v>
      </c>
      <c r="I740" s="31">
        <v>3</v>
      </c>
      <c r="J740" s="21">
        <v>1</v>
      </c>
      <c r="K740" s="21">
        <v>5</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90001013</v>
      </c>
      <c r="AV740" s="32"/>
      <c r="AW740" s="35" t="s">
        <v>205</v>
      </c>
      <c r="AX740" s="32" t="s">
        <v>1802</v>
      </c>
      <c r="AY740" s="32">
        <v>10000006</v>
      </c>
      <c r="AZ740" s="32">
        <v>21100010</v>
      </c>
      <c r="BA740" s="35" t="s">
        <v>206</v>
      </c>
      <c r="BB740" s="35">
        <v>0</v>
      </c>
      <c r="BC740" s="31">
        <v>0</v>
      </c>
      <c r="BD740" s="31">
        <v>0</v>
      </c>
      <c r="BE740" s="185" t="str">
        <f>"立即对目标范围内的怪物造成"&amp;X740*100&amp;"%攻击伤害+"&amp;Z740&amp;"点固定伤害,并附加易伤效果，对目标额外造成20%伤害，持续3秒"</f>
        <v>立即对目标范围内的怪物造成225%攻击伤害+900点固定伤害,并附加易伤效果，对目标额外造成20%伤害，持续3秒</v>
      </c>
      <c r="BF740" s="185" t="s">
        <v>1803</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62011102</v>
      </c>
      <c r="D741" s="35" t="s">
        <v>1384</v>
      </c>
      <c r="E741" s="35" t="s">
        <v>1801</v>
      </c>
      <c r="F741" s="21">
        <v>1</v>
      </c>
      <c r="G741" s="32">
        <v>62011101</v>
      </c>
      <c r="H741" s="32">
        <f t="shared" ref="H741:H742" si="47">C742</f>
        <v>62011103</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2.25</v>
      </c>
      <c r="Y741" s="19">
        <v>0</v>
      </c>
      <c r="Z741" s="32">
        <v>900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90001013</v>
      </c>
      <c r="AV741" s="32"/>
      <c r="AW741" s="35" t="s">
        <v>205</v>
      </c>
      <c r="AX741" s="32" t="s">
        <v>1802</v>
      </c>
      <c r="AY741" s="32">
        <v>10000006</v>
      </c>
      <c r="AZ741" s="32">
        <v>21100010</v>
      </c>
      <c r="BA741" s="35" t="s">
        <v>206</v>
      </c>
      <c r="BB741" s="35">
        <v>0</v>
      </c>
      <c r="BC741" s="31">
        <v>0</v>
      </c>
      <c r="BD741" s="31">
        <v>0</v>
      </c>
      <c r="BE741" s="185" t="str">
        <f t="shared" ref="BE741:BE745" si="48">"立即对目标范围内的怪物造成"&amp;X741*100&amp;"%攻击伤害+"&amp;Z741&amp;"点固定伤害,并附加易伤效果，对目标额外造成20%伤害，持续3秒"</f>
        <v>立即对目标范围内的怪物造成225%攻击伤害+900点固定伤害,并附加易伤效果，对目标额外造成20%伤害，持续3秒</v>
      </c>
      <c r="BF741" s="185" t="s">
        <v>1803</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62011103</v>
      </c>
      <c r="D742" s="35" t="s">
        <v>1384</v>
      </c>
      <c r="E742" s="35" t="s">
        <v>1801</v>
      </c>
      <c r="F742" s="21">
        <v>2</v>
      </c>
      <c r="G742" s="32">
        <v>62011101</v>
      </c>
      <c r="H742" s="32">
        <f t="shared" si="47"/>
        <v>62011104</v>
      </c>
      <c r="I742" s="31">
        <v>3</v>
      </c>
      <c r="J742" s="21">
        <v>1</v>
      </c>
      <c r="K742" s="21">
        <v>2</v>
      </c>
      <c r="L742" s="21">
        <v>0</v>
      </c>
      <c r="M742" s="32">
        <v>0</v>
      </c>
      <c r="N742" s="32">
        <v>0</v>
      </c>
      <c r="O742" s="32">
        <v>1</v>
      </c>
      <c r="P742" s="32">
        <v>0</v>
      </c>
      <c r="Q742" s="32">
        <v>0</v>
      </c>
      <c r="R742" s="32">
        <v>0</v>
      </c>
      <c r="S742" s="19">
        <v>0</v>
      </c>
      <c r="T742" s="31">
        <v>0</v>
      </c>
      <c r="U742" s="21">
        <v>1</v>
      </c>
      <c r="V742" s="32">
        <v>2</v>
      </c>
      <c r="W742" s="32">
        <v>0</v>
      </c>
      <c r="X742" s="32">
        <v>2.5</v>
      </c>
      <c r="Y742" s="19">
        <v>0</v>
      </c>
      <c r="Z742" s="32">
        <v>1800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90001013</v>
      </c>
      <c r="AV742" s="32"/>
      <c r="AW742" s="35" t="s">
        <v>205</v>
      </c>
      <c r="AX742" s="32" t="s">
        <v>1802</v>
      </c>
      <c r="AY742" s="32">
        <v>10000006</v>
      </c>
      <c r="AZ742" s="32">
        <v>21100010</v>
      </c>
      <c r="BA742" s="35" t="s">
        <v>206</v>
      </c>
      <c r="BB742" s="35">
        <v>0</v>
      </c>
      <c r="BC742" s="31">
        <v>0</v>
      </c>
      <c r="BD742" s="31">
        <v>0</v>
      </c>
      <c r="BE742" s="185" t="str">
        <f t="shared" si="48"/>
        <v>立即对目标范围内的怪物造成250%攻击伤害+1800点固定伤害,并附加易伤效果，对目标额外造成20%伤害，持续3秒</v>
      </c>
      <c r="BF742" s="185" t="s">
        <v>1804</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62011104</v>
      </c>
      <c r="D743" s="35" t="s">
        <v>1384</v>
      </c>
      <c r="E743" s="35" t="s">
        <v>1801</v>
      </c>
      <c r="F743" s="21">
        <v>3</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2.75</v>
      </c>
      <c r="Y743" s="19">
        <v>0</v>
      </c>
      <c r="Z743" s="32">
        <v>2800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90001013</v>
      </c>
      <c r="AV743" s="32"/>
      <c r="AW743" s="35" t="s">
        <v>205</v>
      </c>
      <c r="AX743" s="32" t="s">
        <v>1802</v>
      </c>
      <c r="AY743" s="32">
        <v>10000006</v>
      </c>
      <c r="AZ743" s="32">
        <v>21100010</v>
      </c>
      <c r="BA743" s="35" t="s">
        <v>206</v>
      </c>
      <c r="BB743" s="35">
        <v>0</v>
      </c>
      <c r="BC743" s="31">
        <v>0</v>
      </c>
      <c r="BD743" s="31">
        <v>0</v>
      </c>
      <c r="BE743" s="185" t="str">
        <f t="shared" si="48"/>
        <v>立即对目标范围内的怪物造成275%攻击伤害+2800点固定伤害,并附加易伤效果，对目标额外造成20%伤害，持续3秒</v>
      </c>
      <c r="BF743" s="185" t="s">
        <v>1805</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62011105</v>
      </c>
      <c r="D744" s="35" t="s">
        <v>1384</v>
      </c>
      <c r="E744" s="35" t="s">
        <v>1801</v>
      </c>
      <c r="F744" s="21">
        <v>4</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v>
      </c>
      <c r="Y744" s="19">
        <v>0</v>
      </c>
      <c r="Z744" s="32">
        <v>4000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90001013</v>
      </c>
      <c r="AV744" s="32"/>
      <c r="AW744" s="35" t="s">
        <v>205</v>
      </c>
      <c r="AX744" s="32" t="s">
        <v>1802</v>
      </c>
      <c r="AY744" s="32">
        <v>10000006</v>
      </c>
      <c r="AZ744" s="32">
        <v>21100010</v>
      </c>
      <c r="BA744" s="35" t="s">
        <v>206</v>
      </c>
      <c r="BB744" s="35">
        <v>0</v>
      </c>
      <c r="BC744" s="31">
        <v>0</v>
      </c>
      <c r="BD744" s="31">
        <v>0</v>
      </c>
      <c r="BE744" s="185" t="str">
        <f t="shared" si="48"/>
        <v>立即对目标范围内的怪物造成300%攻击伤害+4000点固定伤害,并附加易伤效果，对目标额外造成20%伤害，持续3秒</v>
      </c>
      <c r="BF744" s="185" t="s">
        <v>1806</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62011106</v>
      </c>
      <c r="D745" s="35" t="s">
        <v>1384</v>
      </c>
      <c r="E745" s="35" t="s">
        <v>1801</v>
      </c>
      <c r="F745" s="21">
        <v>5</v>
      </c>
      <c r="G745" s="32">
        <v>62011101</v>
      </c>
      <c r="H745" s="21">
        <v>0</v>
      </c>
      <c r="I745" s="31">
        <v>3</v>
      </c>
      <c r="J745" s="21">
        <v>1</v>
      </c>
      <c r="K745" s="21">
        <v>0</v>
      </c>
      <c r="L745" s="21">
        <v>0</v>
      </c>
      <c r="M745" s="32">
        <v>0</v>
      </c>
      <c r="N745" s="32">
        <v>0</v>
      </c>
      <c r="O745" s="32">
        <v>1</v>
      </c>
      <c r="P745" s="32">
        <v>0</v>
      </c>
      <c r="Q745" s="32">
        <v>0</v>
      </c>
      <c r="R745" s="32">
        <v>0</v>
      </c>
      <c r="S745" s="19">
        <v>0</v>
      </c>
      <c r="T745" s="31">
        <v>0</v>
      </c>
      <c r="U745" s="21">
        <v>1</v>
      </c>
      <c r="V745" s="32">
        <v>2</v>
      </c>
      <c r="W745" s="32">
        <v>0</v>
      </c>
      <c r="X745" s="32">
        <v>3.25</v>
      </c>
      <c r="Y745" s="19">
        <v>0</v>
      </c>
      <c r="Z745" s="32">
        <v>5200</v>
      </c>
      <c r="AA745" s="32">
        <v>0</v>
      </c>
      <c r="AB745" s="32">
        <v>0</v>
      </c>
      <c r="AC745" s="32">
        <v>0</v>
      </c>
      <c r="AD745" s="32">
        <v>0</v>
      </c>
      <c r="AE745" s="32">
        <v>0</v>
      </c>
      <c r="AF745" s="32">
        <v>7</v>
      </c>
      <c r="AG745" s="32">
        <v>1</v>
      </c>
      <c r="AH745" s="32">
        <v>3</v>
      </c>
      <c r="AI745" s="19">
        <v>2</v>
      </c>
      <c r="AJ745" s="19">
        <v>1</v>
      </c>
      <c r="AK745" s="19">
        <v>0</v>
      </c>
      <c r="AL745" s="19">
        <v>6</v>
      </c>
      <c r="AM745" s="32">
        <v>0</v>
      </c>
      <c r="AN745" s="32">
        <v>0</v>
      </c>
      <c r="AO745" s="32">
        <v>0</v>
      </c>
      <c r="AP745" s="32">
        <v>0.25</v>
      </c>
      <c r="AQ745" s="32">
        <v>2000</v>
      </c>
      <c r="AR745" s="32">
        <v>0.25</v>
      </c>
      <c r="AS745" s="32">
        <v>0</v>
      </c>
      <c r="AT745" s="19">
        <v>0</v>
      </c>
      <c r="AU745" s="32">
        <v>90001013</v>
      </c>
      <c r="AV745" s="32"/>
      <c r="AW745" s="35" t="s">
        <v>205</v>
      </c>
      <c r="AX745" s="32" t="s">
        <v>1802</v>
      </c>
      <c r="AY745" s="32">
        <v>10000006</v>
      </c>
      <c r="AZ745" s="32">
        <v>21100010</v>
      </c>
      <c r="BA745" s="35" t="s">
        <v>206</v>
      </c>
      <c r="BB745" s="35">
        <v>0</v>
      </c>
      <c r="BC745" s="31">
        <v>0</v>
      </c>
      <c r="BD745" s="31">
        <v>0</v>
      </c>
      <c r="BE745" s="185" t="str">
        <f t="shared" si="48"/>
        <v>立即对目标范围内的怪物造成325%攻击伤害+5200点固定伤害,并附加易伤效果，对目标额外造成20%伤害，持续3秒</v>
      </c>
      <c r="BF745" s="185" t="s">
        <v>1807</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62011201</v>
      </c>
      <c r="D746" s="35" t="s">
        <v>1808</v>
      </c>
      <c r="E746" s="35" t="s">
        <v>1809</v>
      </c>
      <c r="F746" s="21">
        <v>0</v>
      </c>
      <c r="G746" s="21">
        <v>62011201</v>
      </c>
      <c r="H746" s="32">
        <f>C747</f>
        <v>62011202</v>
      </c>
      <c r="I746" s="31">
        <v>4</v>
      </c>
      <c r="J746" s="21">
        <v>3</v>
      </c>
      <c r="K746" s="21">
        <v>5</v>
      </c>
      <c r="L746" s="21">
        <v>0</v>
      </c>
      <c r="M746" s="32">
        <v>0</v>
      </c>
      <c r="N746" s="32">
        <v>0</v>
      </c>
      <c r="O746" s="32">
        <v>1</v>
      </c>
      <c r="P746" s="32">
        <v>0</v>
      </c>
      <c r="Q746" s="32">
        <v>0</v>
      </c>
      <c r="R746" s="32">
        <v>0</v>
      </c>
      <c r="S746" s="19">
        <v>0</v>
      </c>
      <c r="T746" s="31">
        <v>0</v>
      </c>
      <c r="U746" s="21">
        <v>1</v>
      </c>
      <c r="V746" s="32">
        <v>2</v>
      </c>
      <c r="W746" s="32">
        <v>0</v>
      </c>
      <c r="X746" s="32">
        <v>2.25</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1810</v>
      </c>
      <c r="AY746" s="32">
        <v>10003002</v>
      </c>
      <c r="AZ746" s="32">
        <v>21100020</v>
      </c>
      <c r="BA746" s="35" t="s">
        <v>592</v>
      </c>
      <c r="BB746" s="35">
        <v>0</v>
      </c>
      <c r="BC746" s="31">
        <v>0</v>
      </c>
      <c r="BD746" s="31">
        <v>0</v>
      </c>
      <c r="BE746" s="185" t="str">
        <f>"立即对目标范围内的怪物造成"&amp;X746*100&amp;"%攻击伤害+"&amp;Z746&amp;"点固定伤害"&amp;",并使目标移动速度降低50%和额外承受20%伤害,持续3秒"</f>
        <v>立即对目标范围内的怪物造成225%攻击伤害+750点固定伤害,并使目标移动速度降低50%和额外承受20%伤害,持续3秒</v>
      </c>
      <c r="BF746" s="185" t="s">
        <v>1811</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62011202</v>
      </c>
      <c r="D747" s="35" t="s">
        <v>1808</v>
      </c>
      <c r="E747" s="35" t="s">
        <v>1809</v>
      </c>
      <c r="F747" s="21">
        <v>1</v>
      </c>
      <c r="G747" s="21">
        <v>62011201</v>
      </c>
      <c r="H747" s="32">
        <f t="shared" ref="H747:H748" si="49">C748</f>
        <v>62011203</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2.25</v>
      </c>
      <c r="Y747" s="19">
        <v>0</v>
      </c>
      <c r="Z747" s="32">
        <v>750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1810</v>
      </c>
      <c r="AY747" s="32">
        <v>10003002</v>
      </c>
      <c r="AZ747" s="32">
        <v>21100020</v>
      </c>
      <c r="BA747" s="35" t="s">
        <v>592</v>
      </c>
      <c r="BB747" s="35">
        <v>0</v>
      </c>
      <c r="BC747" s="31">
        <v>0</v>
      </c>
      <c r="BD747" s="31">
        <v>0</v>
      </c>
      <c r="BE747" s="185" t="str">
        <f t="shared" ref="BE747:BE751" si="50">"立即对目标范围内的怪物造成"&amp;X747*100&amp;"%攻击伤害+"&amp;Z747&amp;"点固定伤害"&amp;",并使目标移动速度降低50%和额外承受20%伤害,持续3秒"</f>
        <v>立即对目标范围内的怪物造成225%攻击伤害+750点固定伤害,并使目标移动速度降低50%和额外承受20%伤害,持续3秒</v>
      </c>
      <c r="BF747" s="185" t="s">
        <v>1812</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62011203</v>
      </c>
      <c r="D748" s="35" t="s">
        <v>1808</v>
      </c>
      <c r="E748" s="35" t="s">
        <v>1809</v>
      </c>
      <c r="F748" s="21">
        <v>2</v>
      </c>
      <c r="G748" s="21">
        <v>62011201</v>
      </c>
      <c r="H748" s="32">
        <f t="shared" si="49"/>
        <v>62011204</v>
      </c>
      <c r="I748" s="31">
        <v>4</v>
      </c>
      <c r="J748" s="21">
        <v>3</v>
      </c>
      <c r="K748" s="21">
        <v>2</v>
      </c>
      <c r="L748" s="21">
        <v>0</v>
      </c>
      <c r="M748" s="32">
        <v>0</v>
      </c>
      <c r="N748" s="32">
        <v>0</v>
      </c>
      <c r="O748" s="32">
        <v>1</v>
      </c>
      <c r="P748" s="32">
        <v>0</v>
      </c>
      <c r="Q748" s="32">
        <v>0</v>
      </c>
      <c r="R748" s="32">
        <v>0</v>
      </c>
      <c r="S748" s="19">
        <v>0</v>
      </c>
      <c r="T748" s="31">
        <v>0</v>
      </c>
      <c r="U748" s="21">
        <v>1</v>
      </c>
      <c r="V748" s="32">
        <v>2</v>
      </c>
      <c r="W748" s="32">
        <v>0</v>
      </c>
      <c r="X748" s="32">
        <v>2.5</v>
      </c>
      <c r="Y748" s="19">
        <v>0</v>
      </c>
      <c r="Z748" s="32">
        <v>1500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1810</v>
      </c>
      <c r="AY748" s="32">
        <v>10003002</v>
      </c>
      <c r="AZ748" s="32">
        <v>21100020</v>
      </c>
      <c r="BA748" s="35" t="s">
        <v>592</v>
      </c>
      <c r="BB748" s="35">
        <v>0</v>
      </c>
      <c r="BC748" s="31">
        <v>0</v>
      </c>
      <c r="BD748" s="31">
        <v>0</v>
      </c>
      <c r="BE748" s="185" t="str">
        <f t="shared" si="50"/>
        <v>立即对目标范围内的怪物造成250%攻击伤害+1500点固定伤害,并使目标移动速度降低50%和额外承受20%伤害,持续3秒</v>
      </c>
      <c r="BF748" s="185" t="s">
        <v>1813</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62011204</v>
      </c>
      <c r="D749" s="35" t="s">
        <v>1808</v>
      </c>
      <c r="E749" s="35" t="s">
        <v>1809</v>
      </c>
      <c r="F749" s="21">
        <v>3</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2.75</v>
      </c>
      <c r="Y749" s="19">
        <v>0</v>
      </c>
      <c r="Z749" s="32">
        <v>2250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1810</v>
      </c>
      <c r="AY749" s="32">
        <v>10003002</v>
      </c>
      <c r="AZ749" s="32">
        <v>21100020</v>
      </c>
      <c r="BA749" s="35" t="s">
        <v>592</v>
      </c>
      <c r="BB749" s="35">
        <v>0</v>
      </c>
      <c r="BC749" s="31">
        <v>0</v>
      </c>
      <c r="BD749" s="31">
        <v>0</v>
      </c>
      <c r="BE749" s="185" t="str">
        <f t="shared" si="50"/>
        <v>立即对目标范围内的怪物造成275%攻击伤害+2250点固定伤害,并使目标移动速度降低50%和额外承受20%伤害,持续3秒</v>
      </c>
      <c r="BF749" s="185" t="s">
        <v>1814</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62011205</v>
      </c>
      <c r="D750" s="35" t="s">
        <v>1808</v>
      </c>
      <c r="E750" s="35" t="s">
        <v>1809</v>
      </c>
      <c r="F750" s="21">
        <v>4</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3</v>
      </c>
      <c r="Y750" s="19">
        <v>0</v>
      </c>
      <c r="Z750" s="32">
        <v>3250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1810</v>
      </c>
      <c r="AY750" s="32">
        <v>10003002</v>
      </c>
      <c r="AZ750" s="32">
        <v>21100020</v>
      </c>
      <c r="BA750" s="35" t="s">
        <v>592</v>
      </c>
      <c r="BB750" s="35">
        <v>0</v>
      </c>
      <c r="BC750" s="31">
        <v>0</v>
      </c>
      <c r="BD750" s="31">
        <v>0</v>
      </c>
      <c r="BE750" s="185" t="str">
        <f t="shared" si="50"/>
        <v>立即对目标范围内的怪物造成300%攻击伤害+3250点固定伤害,并使目标移动速度降低50%和额外承受20%伤害,持续3秒</v>
      </c>
      <c r="BF750" s="185" t="s">
        <v>1815</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62011206</v>
      </c>
      <c r="D751" s="35" t="s">
        <v>1808</v>
      </c>
      <c r="E751" s="35" t="s">
        <v>1809</v>
      </c>
      <c r="F751" s="21">
        <v>5</v>
      </c>
      <c r="G751" s="21">
        <v>62011201</v>
      </c>
      <c r="H751" s="32">
        <v>0</v>
      </c>
      <c r="I751" s="31">
        <v>4</v>
      </c>
      <c r="J751" s="21">
        <v>3</v>
      </c>
      <c r="K751" s="21">
        <v>0</v>
      </c>
      <c r="L751" s="21">
        <v>0</v>
      </c>
      <c r="M751" s="32">
        <v>0</v>
      </c>
      <c r="N751" s="32">
        <v>0</v>
      </c>
      <c r="O751" s="32">
        <v>1</v>
      </c>
      <c r="P751" s="32">
        <v>0</v>
      </c>
      <c r="Q751" s="32">
        <v>0</v>
      </c>
      <c r="R751" s="32">
        <v>0</v>
      </c>
      <c r="S751" s="19">
        <v>0</v>
      </c>
      <c r="T751" s="31">
        <v>0</v>
      </c>
      <c r="U751" s="21">
        <v>1</v>
      </c>
      <c r="V751" s="32">
        <v>2</v>
      </c>
      <c r="W751" s="32">
        <v>0</v>
      </c>
      <c r="X751" s="32">
        <v>3.25</v>
      </c>
      <c r="Y751" s="19">
        <v>0</v>
      </c>
      <c r="Z751" s="32">
        <v>4250</v>
      </c>
      <c r="AA751" s="32">
        <v>0</v>
      </c>
      <c r="AB751" s="32">
        <v>0</v>
      </c>
      <c r="AC751" s="32">
        <v>0</v>
      </c>
      <c r="AD751" s="32">
        <v>0</v>
      </c>
      <c r="AE751" s="32">
        <v>0</v>
      </c>
      <c r="AF751" s="32">
        <v>9</v>
      </c>
      <c r="AG751" s="32">
        <v>1</v>
      </c>
      <c r="AH751" s="32">
        <v>3</v>
      </c>
      <c r="AI751" s="19">
        <v>2</v>
      </c>
      <c r="AJ751" s="19">
        <v>2</v>
      </c>
      <c r="AK751" s="19">
        <v>0</v>
      </c>
      <c r="AL751" s="19">
        <v>4</v>
      </c>
      <c r="AM751" s="32">
        <v>0</v>
      </c>
      <c r="AN751" s="32">
        <v>0</v>
      </c>
      <c r="AO751" s="32">
        <v>0</v>
      </c>
      <c r="AP751" s="32">
        <v>0.25</v>
      </c>
      <c r="AQ751" s="32">
        <v>3000</v>
      </c>
      <c r="AR751" s="32">
        <v>0.25</v>
      </c>
      <c r="AS751" s="32">
        <v>10</v>
      </c>
      <c r="AT751" s="19">
        <v>0</v>
      </c>
      <c r="AU751" s="32">
        <v>92002001</v>
      </c>
      <c r="AV751" s="32"/>
      <c r="AW751" s="35" t="s">
        <v>205</v>
      </c>
      <c r="AX751" s="32" t="s">
        <v>1810</v>
      </c>
      <c r="AY751" s="32">
        <v>10003002</v>
      </c>
      <c r="AZ751" s="32">
        <v>21100020</v>
      </c>
      <c r="BA751" s="35" t="s">
        <v>592</v>
      </c>
      <c r="BB751" s="35">
        <v>0</v>
      </c>
      <c r="BC751" s="31">
        <v>0</v>
      </c>
      <c r="BD751" s="31">
        <v>0</v>
      </c>
      <c r="BE751" s="185" t="str">
        <f t="shared" si="50"/>
        <v>立即对目标范围内的怪物造成325%攻击伤害+4250点固定伤害,并使目标移动速度降低50%和额外承受20%伤害,持续3秒</v>
      </c>
      <c r="BF751" s="185" t="s">
        <v>1816</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62011301</v>
      </c>
      <c r="D752" s="35" t="s">
        <v>1391</v>
      </c>
      <c r="E752" s="35" t="s">
        <v>1817</v>
      </c>
      <c r="F752" s="21">
        <v>0</v>
      </c>
      <c r="G752" s="21">
        <v>62011301</v>
      </c>
      <c r="H752" s="32">
        <f>C753</f>
        <v>62011302</v>
      </c>
      <c r="I752" s="31">
        <v>3</v>
      </c>
      <c r="J752" s="21">
        <v>5</v>
      </c>
      <c r="K752" s="21">
        <v>5</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"立即对目标范围内的怪物造成"&amp;X752*100&amp;"%攻击伤害+"&amp;Z752&amp;"点固定伤害"&amp;",并造成1秒眩晕效果"</f>
        <v>立即对目标范围内的怪物造成200%攻击伤害+750点固定伤害,并造成1秒眩晕效果</v>
      </c>
      <c r="BF752" s="185" t="s">
        <v>1818</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62011302</v>
      </c>
      <c r="D753" s="35" t="s">
        <v>1391</v>
      </c>
      <c r="E753" s="35" t="s">
        <v>1817</v>
      </c>
      <c r="F753" s="21">
        <v>1</v>
      </c>
      <c r="G753" s="21">
        <v>62011301</v>
      </c>
      <c r="H753" s="32">
        <f t="shared" ref="H753:H754" si="51">C754</f>
        <v>62011303</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v>
      </c>
      <c r="Y753" s="19">
        <v>0</v>
      </c>
      <c r="Z753" s="32">
        <v>750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ref="BE753:BE757" si="52">"立即对目标范围内的怪物造成"&amp;X753*100&amp;"%攻击伤害+"&amp;Z753&amp;"点固定伤害"&amp;",并造成1秒眩晕效果"</f>
        <v>立即对目标范围内的怪物造成200%攻击伤害+750点固定伤害,并造成1秒眩晕效果</v>
      </c>
      <c r="BF753" s="185" t="s">
        <v>1818</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62011303</v>
      </c>
      <c r="D754" s="35" t="s">
        <v>1391</v>
      </c>
      <c r="E754" s="35" t="s">
        <v>1817</v>
      </c>
      <c r="F754" s="21">
        <v>2</v>
      </c>
      <c r="G754" s="21">
        <v>62011301</v>
      </c>
      <c r="H754" s="32">
        <f t="shared" si="51"/>
        <v>62011304</v>
      </c>
      <c r="I754" s="31">
        <v>3</v>
      </c>
      <c r="J754" s="21">
        <v>5</v>
      </c>
      <c r="K754" s="21">
        <v>2</v>
      </c>
      <c r="L754" s="21">
        <v>0</v>
      </c>
      <c r="M754" s="32">
        <v>0</v>
      </c>
      <c r="N754" s="32">
        <v>0</v>
      </c>
      <c r="O754" s="32">
        <v>1</v>
      </c>
      <c r="P754" s="32">
        <v>0</v>
      </c>
      <c r="Q754" s="32">
        <v>0</v>
      </c>
      <c r="R754" s="32">
        <v>0</v>
      </c>
      <c r="S754" s="19">
        <v>0</v>
      </c>
      <c r="T754" s="31">
        <v>0</v>
      </c>
      <c r="U754" s="21">
        <v>1</v>
      </c>
      <c r="V754" s="32">
        <v>2</v>
      </c>
      <c r="W754" s="32">
        <v>0</v>
      </c>
      <c r="X754" s="32">
        <v>2.2000000000000002</v>
      </c>
      <c r="Y754" s="19">
        <v>0</v>
      </c>
      <c r="Z754" s="32">
        <v>1500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立即对目标范围内的怪物造成220%攻击伤害+1500点固定伤害,并造成1秒眩晕效果</v>
      </c>
      <c r="BF754" s="185" t="s">
        <v>1819</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62011304</v>
      </c>
      <c r="D755" s="35" t="s">
        <v>1391</v>
      </c>
      <c r="E755" s="35" t="s">
        <v>1817</v>
      </c>
      <c r="F755" s="21">
        <v>3</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2.4</v>
      </c>
      <c r="Y755" s="19">
        <v>0</v>
      </c>
      <c r="Z755" s="32">
        <v>2250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立即对目标范围内的怪物造成240%攻击伤害+2250点固定伤害,并造成1秒眩晕效果</v>
      </c>
      <c r="BF755" s="185" t="s">
        <v>1820</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62011305</v>
      </c>
      <c r="D756" s="35" t="s">
        <v>1391</v>
      </c>
      <c r="E756" s="35" t="s">
        <v>1817</v>
      </c>
      <c r="F756" s="21">
        <v>4</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2.6</v>
      </c>
      <c r="Y756" s="19">
        <v>0</v>
      </c>
      <c r="Z756" s="32">
        <v>3250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立即对目标范围内的怪物造成260%攻击伤害+3250点固定伤害,并造成1秒眩晕效果</v>
      </c>
      <c r="BF756" s="185" t="s">
        <v>1821</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19.5" customHeight="1">
      <c r="C757" s="21">
        <v>62011306</v>
      </c>
      <c r="D757" s="35" t="s">
        <v>1391</v>
      </c>
      <c r="E757" s="35" t="s">
        <v>1817</v>
      </c>
      <c r="F757" s="21">
        <v>5</v>
      </c>
      <c r="G757" s="21">
        <v>62011301</v>
      </c>
      <c r="H757" s="21">
        <v>0</v>
      </c>
      <c r="I757" s="31">
        <v>3</v>
      </c>
      <c r="J757" s="21">
        <v>5</v>
      </c>
      <c r="K757" s="21">
        <v>0</v>
      </c>
      <c r="L757" s="21">
        <v>0</v>
      </c>
      <c r="M757" s="32">
        <v>0</v>
      </c>
      <c r="N757" s="32">
        <v>0</v>
      </c>
      <c r="O757" s="32">
        <v>1</v>
      </c>
      <c r="P757" s="32">
        <v>0</v>
      </c>
      <c r="Q757" s="32">
        <v>0</v>
      </c>
      <c r="R757" s="32">
        <v>0</v>
      </c>
      <c r="S757" s="19">
        <v>0</v>
      </c>
      <c r="T757" s="31">
        <v>0</v>
      </c>
      <c r="U757" s="21">
        <v>1</v>
      </c>
      <c r="V757" s="32">
        <v>2</v>
      </c>
      <c r="W757" s="32">
        <v>0</v>
      </c>
      <c r="X757" s="32">
        <v>2.8</v>
      </c>
      <c r="Y757" s="19">
        <v>0</v>
      </c>
      <c r="Z757" s="32">
        <v>4250</v>
      </c>
      <c r="AA757" s="32">
        <v>0</v>
      </c>
      <c r="AB757" s="32">
        <v>0</v>
      </c>
      <c r="AC757" s="32">
        <v>0</v>
      </c>
      <c r="AD757" s="32">
        <v>0</v>
      </c>
      <c r="AE757" s="32">
        <v>0</v>
      </c>
      <c r="AF757" s="32">
        <v>9</v>
      </c>
      <c r="AG757" s="32">
        <v>1</v>
      </c>
      <c r="AH757" s="32">
        <v>3</v>
      </c>
      <c r="AI757" s="19">
        <v>2</v>
      </c>
      <c r="AJ757" s="19">
        <v>1</v>
      </c>
      <c r="AK757" s="19">
        <v>0</v>
      </c>
      <c r="AL757" s="19">
        <v>6</v>
      </c>
      <c r="AM757" s="32">
        <v>0</v>
      </c>
      <c r="AN757" s="32">
        <v>1</v>
      </c>
      <c r="AO757" s="32">
        <v>0</v>
      </c>
      <c r="AP757" s="32">
        <v>0.25</v>
      </c>
      <c r="AQ757" s="32">
        <v>2000</v>
      </c>
      <c r="AR757" s="32">
        <v>0.25</v>
      </c>
      <c r="AS757" s="32">
        <v>0</v>
      </c>
      <c r="AT757" s="19">
        <v>0</v>
      </c>
      <c r="AU757" s="32">
        <v>92003001</v>
      </c>
      <c r="AV757" s="32"/>
      <c r="AW757" s="35" t="s">
        <v>205</v>
      </c>
      <c r="AX757" s="32" t="s">
        <v>1047</v>
      </c>
      <c r="AY757" s="32">
        <v>10000006</v>
      </c>
      <c r="AZ757" s="32">
        <v>21100030</v>
      </c>
      <c r="BA757" s="35" t="s">
        <v>206</v>
      </c>
      <c r="BB757" s="35">
        <v>0</v>
      </c>
      <c r="BC757" s="31">
        <v>0</v>
      </c>
      <c r="BD757" s="31">
        <v>0</v>
      </c>
      <c r="BE757" s="185" t="str">
        <f t="shared" si="52"/>
        <v>立即对目标范围内的怪物造成280%攻击伤害+4250点固定伤害,并造成1秒眩晕效果</v>
      </c>
      <c r="BF757" s="185" t="s">
        <v>1822</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62012101</v>
      </c>
      <c r="D758" s="35" t="s">
        <v>1823</v>
      </c>
      <c r="E758" s="35" t="s">
        <v>1824</v>
      </c>
      <c r="F758" s="21">
        <v>0</v>
      </c>
      <c r="G758" s="32">
        <v>62012101</v>
      </c>
      <c r="H758" s="32">
        <f>C759</f>
        <v>62012102</v>
      </c>
      <c r="I758" s="31">
        <v>4</v>
      </c>
      <c r="J758" s="21">
        <v>1</v>
      </c>
      <c r="K758" s="21">
        <v>5</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1415</v>
      </c>
      <c r="AY758" s="32">
        <v>10002001</v>
      </c>
      <c r="AZ758" s="32">
        <v>21100040</v>
      </c>
      <c r="BA758" s="35" t="s">
        <v>321</v>
      </c>
      <c r="BB758" s="35" t="s">
        <v>377</v>
      </c>
      <c r="BC758" s="31">
        <v>0</v>
      </c>
      <c r="BD758" s="31">
        <v>0</v>
      </c>
      <c r="BE758" s="185" t="str">
        <f>"对目标区域释放法术,在此范围内的目标每秒造成"&amp;X758*100&amp;"%攻击伤害+"&amp;Z758&amp;"点固定伤害,持续6秒"</f>
        <v>对目标区域释放法术,在此范围内的目标每秒造成100%攻击伤害+500点固定伤害,持续6秒</v>
      </c>
      <c r="BF758" s="185" t="s">
        <v>1825</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62012102</v>
      </c>
      <c r="D759" s="35" t="s">
        <v>1823</v>
      </c>
      <c r="E759" s="35" t="s">
        <v>1824</v>
      </c>
      <c r="F759" s="21">
        <v>1</v>
      </c>
      <c r="G759" s="32">
        <v>62012101</v>
      </c>
      <c r="H759" s="32">
        <f t="shared" ref="H759:H760" si="53">C760</f>
        <v>62012103</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v>
      </c>
      <c r="Y759" s="19">
        <v>0</v>
      </c>
      <c r="Z759" s="32">
        <v>500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1415</v>
      </c>
      <c r="AY759" s="32">
        <v>10002001</v>
      </c>
      <c r="AZ759" s="32">
        <v>21100040</v>
      </c>
      <c r="BA759" s="35" t="s">
        <v>321</v>
      </c>
      <c r="BB759" s="35" t="s">
        <v>377</v>
      </c>
      <c r="BC759" s="31">
        <v>0</v>
      </c>
      <c r="BD759" s="31">
        <v>0</v>
      </c>
      <c r="BE759" s="185" t="str">
        <f t="shared" ref="BE759:BE763" si="54">"对目标区域释放法术,在此范围内的目标每秒造成"&amp;X759*100&amp;"%攻击伤害+"&amp;Z759&amp;"点固定伤害,持续6秒"</f>
        <v>对目标区域释放法术,在此范围内的目标每秒造成100%攻击伤害+500点固定伤害,持续6秒</v>
      </c>
      <c r="BF759" s="185" t="s">
        <v>1825</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62012103</v>
      </c>
      <c r="D760" s="35" t="s">
        <v>1823</v>
      </c>
      <c r="E760" s="35" t="s">
        <v>1824</v>
      </c>
      <c r="F760" s="21">
        <v>2</v>
      </c>
      <c r="G760" s="32">
        <v>62012101</v>
      </c>
      <c r="H760" s="32">
        <f t="shared" si="53"/>
        <v>62012104</v>
      </c>
      <c r="I760" s="31">
        <v>4</v>
      </c>
      <c r="J760" s="21">
        <v>1</v>
      </c>
      <c r="K760" s="21">
        <v>2</v>
      </c>
      <c r="L760" s="21">
        <v>0</v>
      </c>
      <c r="M760" s="32">
        <v>0</v>
      </c>
      <c r="N760" s="32">
        <v>0</v>
      </c>
      <c r="O760" s="32">
        <v>1</v>
      </c>
      <c r="P760" s="32">
        <v>0</v>
      </c>
      <c r="Q760" s="32">
        <v>0</v>
      </c>
      <c r="R760" s="32">
        <v>0</v>
      </c>
      <c r="S760" s="19">
        <v>0</v>
      </c>
      <c r="T760" s="31">
        <v>0</v>
      </c>
      <c r="U760" s="21">
        <v>1</v>
      </c>
      <c r="V760" s="32">
        <v>2</v>
      </c>
      <c r="W760" s="32">
        <v>0</v>
      </c>
      <c r="X760" s="32">
        <v>1.1000000000000001</v>
      </c>
      <c r="Y760" s="19">
        <v>0</v>
      </c>
      <c r="Z760" s="32">
        <v>800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1415</v>
      </c>
      <c r="AY760" s="32">
        <v>10002001</v>
      </c>
      <c r="AZ760" s="32">
        <v>21100040</v>
      </c>
      <c r="BA760" s="35" t="s">
        <v>321</v>
      </c>
      <c r="BB760" s="35" t="s">
        <v>377</v>
      </c>
      <c r="BC760" s="31">
        <v>0</v>
      </c>
      <c r="BD760" s="31">
        <v>0</v>
      </c>
      <c r="BE760" s="185" t="str">
        <f t="shared" si="54"/>
        <v>对目标区域释放法术,在此范围内的目标每秒造成110%攻击伤害+800点固定伤害,持续6秒</v>
      </c>
      <c r="BF760" s="185" t="s">
        <v>1826</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62012104</v>
      </c>
      <c r="D761" s="35" t="s">
        <v>1823</v>
      </c>
      <c r="E761" s="35" t="s">
        <v>1824</v>
      </c>
      <c r="F761" s="21">
        <v>3</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1.2</v>
      </c>
      <c r="Y761" s="19">
        <v>0</v>
      </c>
      <c r="Z761" s="32">
        <v>1150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1415</v>
      </c>
      <c r="AY761" s="32">
        <v>10002001</v>
      </c>
      <c r="AZ761" s="32">
        <v>21100040</v>
      </c>
      <c r="BA761" s="35" t="s">
        <v>321</v>
      </c>
      <c r="BB761" s="35" t="s">
        <v>377</v>
      </c>
      <c r="BC761" s="31">
        <v>0</v>
      </c>
      <c r="BD761" s="31">
        <v>0</v>
      </c>
      <c r="BE761" s="185" t="str">
        <f t="shared" si="54"/>
        <v>对目标区域释放法术,在此范围内的目标每秒造成120%攻击伤害+1150点固定伤害,持续6秒</v>
      </c>
      <c r="BF761" s="185" t="s">
        <v>1827</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62012105</v>
      </c>
      <c r="D762" s="35" t="s">
        <v>1823</v>
      </c>
      <c r="E762" s="35" t="s">
        <v>1824</v>
      </c>
      <c r="F762" s="21">
        <v>4</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1.3</v>
      </c>
      <c r="Y762" s="19">
        <v>0</v>
      </c>
      <c r="Z762" s="32">
        <v>1550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1415</v>
      </c>
      <c r="AY762" s="32">
        <v>10002001</v>
      </c>
      <c r="AZ762" s="32">
        <v>21100040</v>
      </c>
      <c r="BA762" s="35" t="s">
        <v>321</v>
      </c>
      <c r="BB762" s="35" t="s">
        <v>377</v>
      </c>
      <c r="BC762" s="31">
        <v>0</v>
      </c>
      <c r="BD762" s="31">
        <v>0</v>
      </c>
      <c r="BE762" s="185" t="str">
        <f t="shared" si="54"/>
        <v>对目标区域释放法术,在此范围内的目标每秒造成130%攻击伤害+1550点固定伤害,持续6秒</v>
      </c>
      <c r="BF762" s="185" t="s">
        <v>1828</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62012106</v>
      </c>
      <c r="D763" s="35" t="s">
        <v>1823</v>
      </c>
      <c r="E763" s="35" t="s">
        <v>1824</v>
      </c>
      <c r="F763" s="21">
        <v>5</v>
      </c>
      <c r="G763" s="32">
        <v>62012101</v>
      </c>
      <c r="H763" s="21">
        <v>0</v>
      </c>
      <c r="I763" s="31">
        <v>4</v>
      </c>
      <c r="J763" s="21">
        <v>1</v>
      </c>
      <c r="K763" s="21">
        <v>0</v>
      </c>
      <c r="L763" s="21">
        <v>0</v>
      </c>
      <c r="M763" s="32">
        <v>0</v>
      </c>
      <c r="N763" s="32">
        <v>0</v>
      </c>
      <c r="O763" s="32">
        <v>1</v>
      </c>
      <c r="P763" s="32">
        <v>0</v>
      </c>
      <c r="Q763" s="32">
        <v>0</v>
      </c>
      <c r="R763" s="32">
        <v>0</v>
      </c>
      <c r="S763" s="19">
        <v>0</v>
      </c>
      <c r="T763" s="31">
        <v>0</v>
      </c>
      <c r="U763" s="21">
        <v>1</v>
      </c>
      <c r="V763" s="32">
        <v>2</v>
      </c>
      <c r="W763" s="32">
        <v>0</v>
      </c>
      <c r="X763" s="32">
        <v>1.4</v>
      </c>
      <c r="Y763" s="19">
        <v>0</v>
      </c>
      <c r="Z763" s="32">
        <v>2050</v>
      </c>
      <c r="AA763" s="32">
        <v>0</v>
      </c>
      <c r="AB763" s="32">
        <v>0</v>
      </c>
      <c r="AC763" s="32">
        <v>0</v>
      </c>
      <c r="AD763" s="32">
        <v>0</v>
      </c>
      <c r="AE763" s="32">
        <v>0</v>
      </c>
      <c r="AF763" s="32">
        <v>7</v>
      </c>
      <c r="AG763" s="32">
        <v>1</v>
      </c>
      <c r="AH763" s="32">
        <v>3</v>
      </c>
      <c r="AI763" s="19">
        <v>2</v>
      </c>
      <c r="AJ763" s="19">
        <v>1</v>
      </c>
      <c r="AK763" s="19">
        <v>0</v>
      </c>
      <c r="AL763" s="19">
        <v>6</v>
      </c>
      <c r="AM763" s="32">
        <v>0</v>
      </c>
      <c r="AN763" s="32">
        <v>0</v>
      </c>
      <c r="AO763" s="32">
        <v>0</v>
      </c>
      <c r="AP763" s="32">
        <v>0.25</v>
      </c>
      <c r="AQ763" s="32">
        <v>6000</v>
      </c>
      <c r="AR763" s="32">
        <v>0.25</v>
      </c>
      <c r="AS763" s="32">
        <v>0</v>
      </c>
      <c r="AT763" s="19">
        <v>0</v>
      </c>
      <c r="AU763" s="32">
        <v>0</v>
      </c>
      <c r="AV763" s="32"/>
      <c r="AW763" s="35" t="s">
        <v>205</v>
      </c>
      <c r="AX763" s="32" t="s">
        <v>1415</v>
      </c>
      <c r="AY763" s="32">
        <v>10002001</v>
      </c>
      <c r="AZ763" s="32">
        <v>21100040</v>
      </c>
      <c r="BA763" s="35" t="s">
        <v>321</v>
      </c>
      <c r="BB763" s="35" t="s">
        <v>377</v>
      </c>
      <c r="BC763" s="31">
        <v>0</v>
      </c>
      <c r="BD763" s="31">
        <v>0</v>
      </c>
      <c r="BE763" s="185" t="str">
        <f t="shared" si="54"/>
        <v>对目标区域释放法术,在此范围内的目标每秒造成140%攻击伤害+2050点固定伤害,持续6秒</v>
      </c>
      <c r="BF763" s="185" t="s">
        <v>1829</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62012201</v>
      </c>
      <c r="D764" s="35" t="s">
        <v>1398</v>
      </c>
      <c r="E764" s="35" t="s">
        <v>1399</v>
      </c>
      <c r="F764" s="21">
        <v>0</v>
      </c>
      <c r="G764" s="32">
        <v>62012201</v>
      </c>
      <c r="H764" s="32">
        <f>C765</f>
        <v>62012202</v>
      </c>
      <c r="I764" s="31">
        <v>3</v>
      </c>
      <c r="J764" s="21">
        <v>3</v>
      </c>
      <c r="K764" s="21">
        <v>5</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39" t="s">
        <v>1830</v>
      </c>
      <c r="AV764" s="32"/>
      <c r="AW764" s="35" t="s">
        <v>205</v>
      </c>
      <c r="AX764" s="32" t="s">
        <v>540</v>
      </c>
      <c r="AY764" s="32">
        <v>10000009</v>
      </c>
      <c r="AZ764" s="32">
        <v>21100050</v>
      </c>
      <c r="BA764" s="35" t="s">
        <v>206</v>
      </c>
      <c r="BB764" s="35">
        <v>0</v>
      </c>
      <c r="BC764" s="31">
        <v>0</v>
      </c>
      <c r="BD764" s="31">
        <v>0</v>
      </c>
      <c r="BE764" s="185" t="str">
        <f>"立即对目标范围内的怪物造成"&amp;X764*100&amp;"%攻击伤害+"&amp;Z764&amp;",并击退周围附近敌方目标,此技能为必中技能无视对方闪避属性,并使目标造成1秒眩晕效果"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1831</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62012202</v>
      </c>
      <c r="D765" s="35" t="s">
        <v>1398</v>
      </c>
      <c r="E765" s="35" t="s">
        <v>1399</v>
      </c>
      <c r="F765" s="21">
        <v>1</v>
      </c>
      <c r="G765" s="32">
        <v>62012201</v>
      </c>
      <c r="H765" s="32">
        <f t="shared" ref="H765:H766" si="55">C766</f>
        <v>62012203</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3.25</v>
      </c>
      <c r="Y765" s="19">
        <v>0</v>
      </c>
      <c r="Z765" s="32">
        <v>750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39" t="s">
        <v>1830</v>
      </c>
      <c r="AV765" s="32"/>
      <c r="AW765" s="35" t="s">
        <v>205</v>
      </c>
      <c r="AX765" s="32" t="s">
        <v>540</v>
      </c>
      <c r="AY765" s="32">
        <v>10000009</v>
      </c>
      <c r="AZ765" s="32">
        <v>21100050</v>
      </c>
      <c r="BA765" s="35" t="s">
        <v>206</v>
      </c>
      <c r="BB765" s="35">
        <v>0</v>
      </c>
      <c r="BC765" s="31">
        <v>0</v>
      </c>
      <c r="BD765" s="31">
        <v>0</v>
      </c>
      <c r="BE765" s="185" t="str">
        <f t="shared" ref="BE765:BE769" si="56">"立即对目标范围内的怪物造成"&amp;X765*100&amp;"%攻击伤害+"&amp;Z765&amp;",并击退周围附近敌方目标,此技能为必中技能无视对方闪避属性,并使目标造成1秒眩晕效果"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5" s="185" t="s">
        <v>1831</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62012203</v>
      </c>
      <c r="D766" s="35" t="s">
        <v>1398</v>
      </c>
      <c r="E766" s="35" t="s">
        <v>1399</v>
      </c>
      <c r="F766" s="21">
        <v>2</v>
      </c>
      <c r="G766" s="32">
        <v>62012201</v>
      </c>
      <c r="H766" s="32">
        <f t="shared" si="55"/>
        <v>62012204</v>
      </c>
      <c r="I766" s="31">
        <v>3</v>
      </c>
      <c r="J766" s="21">
        <v>3</v>
      </c>
      <c r="K766" s="21">
        <v>2</v>
      </c>
      <c r="L766" s="21">
        <v>0</v>
      </c>
      <c r="M766" s="32">
        <v>0</v>
      </c>
      <c r="N766" s="32">
        <v>0</v>
      </c>
      <c r="O766" s="32">
        <v>1</v>
      </c>
      <c r="P766" s="32">
        <v>0</v>
      </c>
      <c r="Q766" s="32">
        <v>0</v>
      </c>
      <c r="R766" s="32">
        <v>0</v>
      </c>
      <c r="S766" s="19">
        <v>0</v>
      </c>
      <c r="T766" s="31">
        <v>0</v>
      </c>
      <c r="U766" s="21">
        <v>1</v>
      </c>
      <c r="V766" s="32">
        <v>2</v>
      </c>
      <c r="W766" s="32">
        <v>0</v>
      </c>
      <c r="X766" s="32">
        <v>3.5</v>
      </c>
      <c r="Y766" s="19">
        <v>0</v>
      </c>
      <c r="Z766" s="32">
        <v>1500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39" t="s">
        <v>1830</v>
      </c>
      <c r="AV766" s="32"/>
      <c r="AW766" s="35" t="s">
        <v>205</v>
      </c>
      <c r="AX766" s="32" t="s">
        <v>540</v>
      </c>
      <c r="AY766" s="32">
        <v>10000009</v>
      </c>
      <c r="AZ766" s="32">
        <v>21100050</v>
      </c>
      <c r="BA766" s="35" t="s">
        <v>206</v>
      </c>
      <c r="BB766" s="35">
        <v>0</v>
      </c>
      <c r="BC766" s="31">
        <v>0</v>
      </c>
      <c r="BD766" s="31">
        <v>0</v>
      </c>
      <c r="BE766" s="185" t="str">
        <f t="shared" si="56"/>
        <v>立即对目标范围内的怪物造成350%攻击伤害+1500,并击退周围附近敌方目标,此技能为必中技能无视对方闪避属性,并使目标造成1秒眩晕效果</v>
      </c>
      <c r="BF766" s="185" t="s">
        <v>1832</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62012204</v>
      </c>
      <c r="D767" s="35" t="s">
        <v>1398</v>
      </c>
      <c r="E767" s="35" t="s">
        <v>1399</v>
      </c>
      <c r="F767" s="21">
        <v>3</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3.75</v>
      </c>
      <c r="Y767" s="19">
        <v>0</v>
      </c>
      <c r="Z767" s="32">
        <v>2250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39" t="s">
        <v>1830</v>
      </c>
      <c r="AV767" s="32"/>
      <c r="AW767" s="35" t="s">
        <v>205</v>
      </c>
      <c r="AX767" s="32" t="s">
        <v>540</v>
      </c>
      <c r="AY767" s="32">
        <v>10000009</v>
      </c>
      <c r="AZ767" s="32">
        <v>21100050</v>
      </c>
      <c r="BA767" s="35" t="s">
        <v>206</v>
      </c>
      <c r="BB767" s="35">
        <v>0</v>
      </c>
      <c r="BC767" s="31">
        <v>0</v>
      </c>
      <c r="BD767" s="31">
        <v>0</v>
      </c>
      <c r="BE767" s="185" t="str">
        <f t="shared" si="56"/>
        <v>立即对目标范围内的怪物造成375%攻击伤害+2250,并击退周围附近敌方目标,此技能为必中技能无视对方闪避属性,并使目标造成1秒眩晕效果</v>
      </c>
      <c r="BF767" s="185" t="s">
        <v>1833</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62012205</v>
      </c>
      <c r="D768" s="35" t="s">
        <v>1398</v>
      </c>
      <c r="E768" s="35" t="s">
        <v>1399</v>
      </c>
      <c r="F768" s="21">
        <v>4</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v>
      </c>
      <c r="Y768" s="19">
        <v>0</v>
      </c>
      <c r="Z768" s="32">
        <v>3250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39" t="s">
        <v>1830</v>
      </c>
      <c r="AV768" s="32"/>
      <c r="AW768" s="35" t="s">
        <v>205</v>
      </c>
      <c r="AX768" s="32" t="s">
        <v>540</v>
      </c>
      <c r="AY768" s="32">
        <v>10000009</v>
      </c>
      <c r="AZ768" s="32">
        <v>21100050</v>
      </c>
      <c r="BA768" s="35" t="s">
        <v>206</v>
      </c>
      <c r="BB768" s="35">
        <v>0</v>
      </c>
      <c r="BC768" s="31">
        <v>0</v>
      </c>
      <c r="BD768" s="31">
        <v>0</v>
      </c>
      <c r="BE768" s="185" t="str">
        <f t="shared" si="56"/>
        <v>立即对目标范围内的怪物造成400%攻击伤害+3250,并击退周围附近敌方目标,此技能为必中技能无视对方闪避属性,并使目标造成1秒眩晕效果</v>
      </c>
      <c r="BF768" s="185" t="s">
        <v>1834</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20.100000000000001" customHeight="1">
      <c r="C769" s="21">
        <v>62012206</v>
      </c>
      <c r="D769" s="35" t="s">
        <v>1398</v>
      </c>
      <c r="E769" s="35" t="s">
        <v>1399</v>
      </c>
      <c r="F769" s="21">
        <v>5</v>
      </c>
      <c r="G769" s="32">
        <v>62012201</v>
      </c>
      <c r="H769" s="21">
        <v>0</v>
      </c>
      <c r="I769" s="31">
        <v>3</v>
      </c>
      <c r="J769" s="21">
        <v>3</v>
      </c>
      <c r="K769" s="21">
        <v>0</v>
      </c>
      <c r="L769" s="21">
        <v>0</v>
      </c>
      <c r="M769" s="32">
        <v>0</v>
      </c>
      <c r="N769" s="32">
        <v>0</v>
      </c>
      <c r="O769" s="32">
        <v>1</v>
      </c>
      <c r="P769" s="32">
        <v>0</v>
      </c>
      <c r="Q769" s="32">
        <v>0</v>
      </c>
      <c r="R769" s="32">
        <v>0</v>
      </c>
      <c r="S769" s="19">
        <v>0</v>
      </c>
      <c r="T769" s="31">
        <v>0</v>
      </c>
      <c r="U769" s="21">
        <v>1</v>
      </c>
      <c r="V769" s="32">
        <v>2</v>
      </c>
      <c r="W769" s="32">
        <v>0</v>
      </c>
      <c r="X769" s="32">
        <v>4.25</v>
      </c>
      <c r="Y769" s="19">
        <v>0</v>
      </c>
      <c r="Z769" s="32">
        <v>4250</v>
      </c>
      <c r="AA769" s="32">
        <v>1</v>
      </c>
      <c r="AB769" s="32">
        <v>0</v>
      </c>
      <c r="AC769" s="32">
        <v>0</v>
      </c>
      <c r="AD769" s="32">
        <v>0</v>
      </c>
      <c r="AE769" s="32">
        <v>0</v>
      </c>
      <c r="AF769" s="32">
        <v>12</v>
      </c>
      <c r="AG769" s="32">
        <v>1</v>
      </c>
      <c r="AH769" s="32">
        <v>3.5</v>
      </c>
      <c r="AI769" s="19">
        <v>0</v>
      </c>
      <c r="AJ769" s="19">
        <v>0</v>
      </c>
      <c r="AK769" s="19">
        <v>0</v>
      </c>
      <c r="AL769" s="19">
        <v>4</v>
      </c>
      <c r="AM769" s="32">
        <v>0</v>
      </c>
      <c r="AN769" s="32">
        <v>0</v>
      </c>
      <c r="AO769" s="32">
        <v>0</v>
      </c>
      <c r="AP769" s="32">
        <v>0.25</v>
      </c>
      <c r="AQ769" s="32">
        <v>2000</v>
      </c>
      <c r="AR769" s="32">
        <v>0</v>
      </c>
      <c r="AS769" s="32">
        <v>0</v>
      </c>
      <c r="AT769" s="19">
        <v>0</v>
      </c>
      <c r="AU769" s="339" t="s">
        <v>1830</v>
      </c>
      <c r="AV769" s="32"/>
      <c r="AW769" s="35" t="s">
        <v>205</v>
      </c>
      <c r="AX769" s="32" t="s">
        <v>540</v>
      </c>
      <c r="AY769" s="32">
        <v>10000009</v>
      </c>
      <c r="AZ769" s="32">
        <v>21100050</v>
      </c>
      <c r="BA769" s="35" t="s">
        <v>206</v>
      </c>
      <c r="BB769" s="35">
        <v>0</v>
      </c>
      <c r="BC769" s="31">
        <v>0</v>
      </c>
      <c r="BD769" s="31">
        <v>0</v>
      </c>
      <c r="BE769" s="185" t="str">
        <f t="shared" si="56"/>
        <v>立即对目标范围内的怪物造成425%攻击伤害+4250,并击退周围附近敌方目标,此技能为必中技能无视对方闪避属性,并使目标造成1秒眩晕效果</v>
      </c>
      <c r="BF769" s="185" t="s">
        <v>1835</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62012301</v>
      </c>
      <c r="D770" s="35" t="s">
        <v>1836</v>
      </c>
      <c r="E770" s="35" t="s">
        <v>1837</v>
      </c>
      <c r="F770" s="21">
        <v>0</v>
      </c>
      <c r="G770" s="32">
        <v>62012301</v>
      </c>
      <c r="H770" s="32">
        <f>C771</f>
        <v>62012302</v>
      </c>
      <c r="I770" s="31">
        <v>4</v>
      </c>
      <c r="J770" s="21">
        <v>5</v>
      </c>
      <c r="K770" s="21">
        <v>5</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1838</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62012302</v>
      </c>
      <c r="D771" s="35" t="s">
        <v>1836</v>
      </c>
      <c r="E771" s="35" t="s">
        <v>1837</v>
      </c>
      <c r="F771" s="21">
        <v>1</v>
      </c>
      <c r="G771" s="32">
        <v>62012301</v>
      </c>
      <c r="H771" s="32">
        <f t="shared" ref="H771:H772" si="57">C772</f>
        <v>62012303</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3.25</v>
      </c>
      <c r="Y771" s="19">
        <v>0</v>
      </c>
      <c r="Z771" s="32">
        <v>1350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ref="BE771:BE775" si="58">"立即对目标范围内的怪物造成"&amp;X771*100&amp;"%攻击伤害+"&amp;Z771&amp;"点固定伤害,并使目标产生冰封效果,使其2秒内无法进行移动"</f>
        <v>立即对目标范围内的怪物造成325%攻击伤害+1350点固定伤害,并使目标产生冰封效果,使其2秒内无法进行移动</v>
      </c>
      <c r="BF771" s="185" t="s">
        <v>1838</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62012303</v>
      </c>
      <c r="D772" s="35" t="s">
        <v>1836</v>
      </c>
      <c r="E772" s="35" t="s">
        <v>1837</v>
      </c>
      <c r="F772" s="21">
        <v>2</v>
      </c>
      <c r="G772" s="32">
        <v>62012301</v>
      </c>
      <c r="H772" s="32">
        <f t="shared" si="57"/>
        <v>62012304</v>
      </c>
      <c r="I772" s="31">
        <v>4</v>
      </c>
      <c r="J772" s="21">
        <v>5</v>
      </c>
      <c r="K772" s="21">
        <v>2</v>
      </c>
      <c r="L772" s="21">
        <v>0</v>
      </c>
      <c r="M772" s="32">
        <v>0</v>
      </c>
      <c r="N772" s="32">
        <v>0</v>
      </c>
      <c r="O772" s="32">
        <v>1</v>
      </c>
      <c r="P772" s="32">
        <v>0</v>
      </c>
      <c r="Q772" s="32">
        <v>0</v>
      </c>
      <c r="R772" s="32">
        <v>0</v>
      </c>
      <c r="S772" s="19">
        <v>0</v>
      </c>
      <c r="T772" s="31">
        <v>0</v>
      </c>
      <c r="U772" s="21">
        <v>1</v>
      </c>
      <c r="V772" s="32">
        <v>2</v>
      </c>
      <c r="W772" s="32">
        <v>0</v>
      </c>
      <c r="X772" s="32">
        <v>3.5</v>
      </c>
      <c r="Y772" s="19">
        <v>0</v>
      </c>
      <c r="Z772" s="32">
        <v>2700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立即对目标范围内的怪物造成350%攻击伤害+2700点固定伤害,并使目标产生冰封效果,使其2秒内无法进行移动</v>
      </c>
      <c r="BF772" s="185" t="s">
        <v>1839</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62012304</v>
      </c>
      <c r="D773" s="35" t="s">
        <v>1836</v>
      </c>
      <c r="E773" s="35" t="s">
        <v>1837</v>
      </c>
      <c r="F773" s="21">
        <v>3</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3.75</v>
      </c>
      <c r="Y773" s="19">
        <v>0</v>
      </c>
      <c r="Z773" s="32">
        <v>4200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立即对目标范围内的怪物造成375%攻击伤害+4200点固定伤害,并使目标产生冰封效果,使其2秒内无法进行移动</v>
      </c>
      <c r="BF773" s="185" t="s">
        <v>1840</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62012305</v>
      </c>
      <c r="D774" s="35" t="s">
        <v>1836</v>
      </c>
      <c r="E774" s="35" t="s">
        <v>1837</v>
      </c>
      <c r="F774" s="21">
        <v>4</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v>
      </c>
      <c r="Y774" s="19">
        <v>0</v>
      </c>
      <c r="Z774" s="32">
        <v>6000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立即对目标范围内的怪物造成400%攻击伤害+6000点固定伤害,并使目标产生冰封效果,使其2秒内无法进行移动</v>
      </c>
      <c r="BF774" s="185" t="s">
        <v>1841</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19.5" customHeight="1">
      <c r="C775" s="21">
        <v>62012306</v>
      </c>
      <c r="D775" s="35" t="s">
        <v>1836</v>
      </c>
      <c r="E775" s="35" t="s">
        <v>1837</v>
      </c>
      <c r="F775" s="21">
        <v>5</v>
      </c>
      <c r="G775" s="32">
        <v>62012301</v>
      </c>
      <c r="H775" s="32">
        <v>0</v>
      </c>
      <c r="I775" s="31">
        <v>4</v>
      </c>
      <c r="J775" s="21">
        <v>5</v>
      </c>
      <c r="K775" s="21">
        <v>0</v>
      </c>
      <c r="L775" s="21">
        <v>0</v>
      </c>
      <c r="M775" s="32">
        <v>0</v>
      </c>
      <c r="N775" s="32">
        <v>0</v>
      </c>
      <c r="O775" s="32">
        <v>1</v>
      </c>
      <c r="P775" s="32">
        <v>0</v>
      </c>
      <c r="Q775" s="32">
        <v>0</v>
      </c>
      <c r="R775" s="32">
        <v>0</v>
      </c>
      <c r="S775" s="19">
        <v>0</v>
      </c>
      <c r="T775" s="31">
        <v>0</v>
      </c>
      <c r="U775" s="21">
        <v>1</v>
      </c>
      <c r="V775" s="32">
        <v>2</v>
      </c>
      <c r="W775" s="32">
        <v>0</v>
      </c>
      <c r="X775" s="32">
        <v>4.25</v>
      </c>
      <c r="Y775" s="19">
        <v>0</v>
      </c>
      <c r="Z775" s="32">
        <v>7800</v>
      </c>
      <c r="AA775" s="32">
        <v>0</v>
      </c>
      <c r="AB775" s="32">
        <v>0</v>
      </c>
      <c r="AC775" s="32">
        <v>0</v>
      </c>
      <c r="AD775" s="32">
        <v>0</v>
      </c>
      <c r="AE775" s="32">
        <v>0</v>
      </c>
      <c r="AF775" s="32">
        <v>9</v>
      </c>
      <c r="AG775" s="32">
        <v>1</v>
      </c>
      <c r="AH775" s="32">
        <v>3</v>
      </c>
      <c r="AI775" s="19">
        <v>2</v>
      </c>
      <c r="AJ775" s="19">
        <v>1</v>
      </c>
      <c r="AK775" s="19">
        <v>0</v>
      </c>
      <c r="AL775" s="19">
        <v>6</v>
      </c>
      <c r="AM775" s="32">
        <v>0</v>
      </c>
      <c r="AN775" s="32">
        <v>1</v>
      </c>
      <c r="AO775" s="32">
        <v>0</v>
      </c>
      <c r="AP775" s="32">
        <v>0.25</v>
      </c>
      <c r="AQ775" s="32">
        <v>30000</v>
      </c>
      <c r="AR775" s="32">
        <v>0</v>
      </c>
      <c r="AS775" s="32">
        <v>0</v>
      </c>
      <c r="AT775" s="19">
        <v>0</v>
      </c>
      <c r="AU775" s="32">
        <v>92005003</v>
      </c>
      <c r="AV775" s="32"/>
      <c r="AW775" s="35" t="s">
        <v>205</v>
      </c>
      <c r="AX775" s="32" t="s">
        <v>540</v>
      </c>
      <c r="AY775" s="32">
        <v>10003002</v>
      </c>
      <c r="AZ775" s="32">
        <v>21100060</v>
      </c>
      <c r="BA775" s="35" t="s">
        <v>206</v>
      </c>
      <c r="BB775" s="35">
        <v>0</v>
      </c>
      <c r="BC775" s="31">
        <v>0</v>
      </c>
      <c r="BD775" s="31">
        <v>0</v>
      </c>
      <c r="BE775" s="185" t="str">
        <f t="shared" si="58"/>
        <v>立即对目标范围内的怪物造成425%攻击伤害+7800点固定伤害,并使目标产生冰封效果,使其2秒内无法进行移动</v>
      </c>
      <c r="BF775" s="185" t="s">
        <v>1842</v>
      </c>
      <c r="BG775" s="32">
        <v>0</v>
      </c>
      <c r="BH775" s="21">
        <v>0</v>
      </c>
      <c r="BI775" s="32">
        <v>0</v>
      </c>
      <c r="BJ775" s="32">
        <v>0</v>
      </c>
      <c r="BK775" s="32">
        <v>0</v>
      </c>
      <c r="BL775" s="32">
        <v>0</v>
      </c>
      <c r="BM775" s="25">
        <v>0</v>
      </c>
      <c r="BN775" s="19">
        <v>0</v>
      </c>
      <c r="BO775" s="19">
        <v>0</v>
      </c>
      <c r="BP775" s="19">
        <v>0</v>
      </c>
      <c r="BQ775" s="19">
        <v>0</v>
      </c>
      <c r="BR775" s="19">
        <v>0</v>
      </c>
      <c r="BS775" s="19">
        <v>0</v>
      </c>
      <c r="BT775" s="19">
        <v>0</v>
      </c>
      <c r="BU775" s="23">
        <v>0</v>
      </c>
      <c r="BV775" s="23"/>
      <c r="BW775" s="23"/>
      <c r="BX775" s="23"/>
      <c r="BY775" s="23"/>
      <c r="BZ775" s="23"/>
    </row>
    <row r="776" spans="3:78" ht="20.100000000000001" customHeight="1">
      <c r="C776" s="38">
        <v>620211011</v>
      </c>
      <c r="D776" s="42" t="s">
        <v>1690</v>
      </c>
      <c r="E776" s="42" t="s">
        <v>1691</v>
      </c>
      <c r="F776" s="38">
        <v>0</v>
      </c>
      <c r="G776" s="38">
        <v>62021201</v>
      </c>
      <c r="H776" s="32">
        <v>0</v>
      </c>
      <c r="I776" s="38">
        <v>0</v>
      </c>
      <c r="J776" s="38">
        <v>30</v>
      </c>
      <c r="K776" s="38">
        <v>5</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1641</v>
      </c>
      <c r="AV776" s="38"/>
      <c r="AW776" s="42" t="s">
        <v>768</v>
      </c>
      <c r="AX776" s="38" t="s">
        <v>221</v>
      </c>
      <c r="AY776" s="38">
        <v>10000015</v>
      </c>
      <c r="AZ776" s="38">
        <v>21101021</v>
      </c>
      <c r="BA776" s="42" t="s">
        <v>1378</v>
      </c>
      <c r="BB776" s="38">
        <v>1</v>
      </c>
      <c r="BC776" s="38">
        <v>0</v>
      </c>
      <c r="BD776" s="38">
        <v>0</v>
      </c>
      <c r="BE776" s="183" t="str">
        <f>"立即对当前脚下敌人目标造成"&amp;X776*100&amp;"%攻击伤害+"&amp;Z776&amp;"点固定伤害和使目标眩晕1秒,并迅速跳跃至目标区域"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1692</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620211021</v>
      </c>
      <c r="D777" s="42" t="s">
        <v>1690</v>
      </c>
      <c r="E777" s="42" t="s">
        <v>1691</v>
      </c>
      <c r="F777" s="38">
        <v>1</v>
      </c>
      <c r="G777" s="38">
        <v>62021201</v>
      </c>
      <c r="H777" s="32">
        <v>0</v>
      </c>
      <c r="I777" s="38">
        <v>0</v>
      </c>
      <c r="J777" s="38">
        <v>37</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1050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1641</v>
      </c>
      <c r="AV777" s="38"/>
      <c r="AW777" s="42" t="s">
        <v>768</v>
      </c>
      <c r="AX777" s="38" t="s">
        <v>221</v>
      </c>
      <c r="AY777" s="38">
        <v>10000015</v>
      </c>
      <c r="AZ777" s="38">
        <v>21101021</v>
      </c>
      <c r="BA777" s="42" t="s">
        <v>1378</v>
      </c>
      <c r="BB777" s="38">
        <v>1</v>
      </c>
      <c r="BC777" s="38">
        <v>0</v>
      </c>
      <c r="BD777" s="38">
        <v>0</v>
      </c>
      <c r="BE777" s="183" t="str">
        <f t="shared" ref="BE777:BE781" si="59">"立即对当前脚下敌人目标造成"&amp;X777*100&amp;"%攻击伤害+"&amp;Z777&amp;"点固定伤害和使目标眩晕1秒,并迅速跳跃至目标区域"</f>
        <v>立即对当前脚下敌人目标造成200%攻击伤害+1050点固定伤害和使目标眩晕1秒,并迅速跳跃至目标区域</v>
      </c>
      <c r="BF777" s="183" t="s">
        <v>1692</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620211031</v>
      </c>
      <c r="D778" s="42" t="s">
        <v>1690</v>
      </c>
      <c r="E778" s="42" t="s">
        <v>1691</v>
      </c>
      <c r="F778" s="38">
        <v>2</v>
      </c>
      <c r="G778" s="38">
        <v>62021201</v>
      </c>
      <c r="H778" s="32">
        <v>0</v>
      </c>
      <c r="I778" s="38">
        <v>0</v>
      </c>
      <c r="J778" s="38">
        <v>42</v>
      </c>
      <c r="K778" s="38">
        <v>2</v>
      </c>
      <c r="L778" s="38">
        <v>0</v>
      </c>
      <c r="M778" s="38">
        <v>0</v>
      </c>
      <c r="N778" s="38">
        <v>0</v>
      </c>
      <c r="O778" s="38">
        <v>1</v>
      </c>
      <c r="P778" s="38">
        <v>0</v>
      </c>
      <c r="Q778" s="38">
        <v>0</v>
      </c>
      <c r="R778" s="38">
        <v>0</v>
      </c>
      <c r="S778" s="38">
        <v>0</v>
      </c>
      <c r="T778" s="38">
        <v>0</v>
      </c>
      <c r="U778" s="38">
        <v>1</v>
      </c>
      <c r="V778" s="38">
        <v>2</v>
      </c>
      <c r="W778" s="38">
        <v>0</v>
      </c>
      <c r="X778" s="38">
        <v>2</v>
      </c>
      <c r="Y778" s="19">
        <v>0</v>
      </c>
      <c r="Z778" s="38">
        <v>1400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1641</v>
      </c>
      <c r="AV778" s="38"/>
      <c r="AW778" s="42" t="s">
        <v>768</v>
      </c>
      <c r="AX778" s="38" t="s">
        <v>221</v>
      </c>
      <c r="AY778" s="38">
        <v>10000015</v>
      </c>
      <c r="AZ778" s="38">
        <v>21101021</v>
      </c>
      <c r="BA778" s="42" t="s">
        <v>1378</v>
      </c>
      <c r="BB778" s="38">
        <v>1</v>
      </c>
      <c r="BC778" s="38">
        <v>0</v>
      </c>
      <c r="BD778" s="38">
        <v>0</v>
      </c>
      <c r="BE778" s="183" t="str">
        <f t="shared" si="59"/>
        <v>立即对当前脚下敌人目标造成200%攻击伤害+1400点固定伤害和使目标眩晕1秒,并迅速跳跃至目标区域</v>
      </c>
      <c r="BF778" s="183" t="s">
        <v>1693</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620211041</v>
      </c>
      <c r="D779" s="42" t="s">
        <v>1690</v>
      </c>
      <c r="E779" s="42" t="s">
        <v>1691</v>
      </c>
      <c r="F779" s="38">
        <v>3</v>
      </c>
      <c r="G779" s="38">
        <v>62021201</v>
      </c>
      <c r="H779" s="32">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1750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1641</v>
      </c>
      <c r="AV779" s="38"/>
      <c r="AW779" s="42" t="s">
        <v>768</v>
      </c>
      <c r="AX779" s="38" t="s">
        <v>221</v>
      </c>
      <c r="AY779" s="38">
        <v>10000015</v>
      </c>
      <c r="AZ779" s="38">
        <v>21101021</v>
      </c>
      <c r="BA779" s="42" t="s">
        <v>1378</v>
      </c>
      <c r="BB779" s="38">
        <v>1</v>
      </c>
      <c r="BC779" s="38">
        <v>0</v>
      </c>
      <c r="BD779" s="38">
        <v>0</v>
      </c>
      <c r="BE779" s="183" t="str">
        <f t="shared" si="59"/>
        <v>立即对当前脚下敌人目标造成200%攻击伤害+1750点固定伤害和使目标眩晕1秒,并迅速跳跃至目标区域</v>
      </c>
      <c r="BF779" s="183" t="s">
        <v>1694</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620211051</v>
      </c>
      <c r="D780" s="42" t="s">
        <v>1690</v>
      </c>
      <c r="E780" s="42" t="s">
        <v>1691</v>
      </c>
      <c r="F780" s="38">
        <v>4</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2100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1641</v>
      </c>
      <c r="AV780" s="38"/>
      <c r="AW780" s="42" t="s">
        <v>768</v>
      </c>
      <c r="AX780" s="38" t="s">
        <v>221</v>
      </c>
      <c r="AY780" s="38">
        <v>10000015</v>
      </c>
      <c r="AZ780" s="38">
        <v>21101021</v>
      </c>
      <c r="BA780" s="42" t="s">
        <v>1378</v>
      </c>
      <c r="BB780" s="38">
        <v>1</v>
      </c>
      <c r="BC780" s="38">
        <v>0</v>
      </c>
      <c r="BD780" s="38">
        <v>0</v>
      </c>
      <c r="BE780" s="183" t="str">
        <f t="shared" si="59"/>
        <v>立即对当前脚下敌人目标造成200%攻击伤害+2100点固定伤害和使目标眩晕1秒,并迅速跳跃至目标区域</v>
      </c>
      <c r="BF780" s="183" t="s">
        <v>1695</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38">
        <v>620211061</v>
      </c>
      <c r="D781" s="42" t="s">
        <v>1690</v>
      </c>
      <c r="E781" s="42" t="s">
        <v>1691</v>
      </c>
      <c r="F781" s="38">
        <v>5</v>
      </c>
      <c r="G781" s="38">
        <v>62021201</v>
      </c>
      <c r="H781" s="38">
        <v>0</v>
      </c>
      <c r="I781" s="38">
        <v>0</v>
      </c>
      <c r="J781" s="38">
        <v>0</v>
      </c>
      <c r="K781" s="38">
        <v>0</v>
      </c>
      <c r="L781" s="38">
        <v>0</v>
      </c>
      <c r="M781" s="38">
        <v>0</v>
      </c>
      <c r="N781" s="38">
        <v>0</v>
      </c>
      <c r="O781" s="38">
        <v>1</v>
      </c>
      <c r="P781" s="38">
        <v>0</v>
      </c>
      <c r="Q781" s="38">
        <v>0</v>
      </c>
      <c r="R781" s="38">
        <v>0</v>
      </c>
      <c r="S781" s="38">
        <v>0</v>
      </c>
      <c r="T781" s="38">
        <v>0</v>
      </c>
      <c r="U781" s="38">
        <v>1</v>
      </c>
      <c r="V781" s="38">
        <v>2</v>
      </c>
      <c r="W781" s="38">
        <v>0</v>
      </c>
      <c r="X781" s="38">
        <v>2</v>
      </c>
      <c r="Y781" s="19">
        <v>0</v>
      </c>
      <c r="Z781" s="38">
        <v>2450</v>
      </c>
      <c r="AA781" s="38">
        <v>1</v>
      </c>
      <c r="AB781" s="38">
        <v>0</v>
      </c>
      <c r="AC781" s="38">
        <v>0</v>
      </c>
      <c r="AD781" s="38">
        <v>0</v>
      </c>
      <c r="AE781" s="38">
        <v>0</v>
      </c>
      <c r="AF781" s="38">
        <v>9</v>
      </c>
      <c r="AG781" s="38">
        <v>1</v>
      </c>
      <c r="AH781" s="38">
        <v>3</v>
      </c>
      <c r="AI781" s="38">
        <v>2</v>
      </c>
      <c r="AJ781" s="38">
        <v>1</v>
      </c>
      <c r="AK781" s="38">
        <v>2</v>
      </c>
      <c r="AL781" s="38">
        <v>8</v>
      </c>
      <c r="AM781" s="38">
        <v>0</v>
      </c>
      <c r="AN781" s="38">
        <v>0</v>
      </c>
      <c r="AO781" s="38">
        <v>0</v>
      </c>
      <c r="AP781" s="38">
        <v>0.5</v>
      </c>
      <c r="AQ781" s="38">
        <v>3000</v>
      </c>
      <c r="AR781" s="38">
        <v>0.4</v>
      </c>
      <c r="AS781" s="38">
        <v>0</v>
      </c>
      <c r="AT781" s="38">
        <v>92012001</v>
      </c>
      <c r="AU781" s="38" t="s">
        <v>1641</v>
      </c>
      <c r="AV781" s="38"/>
      <c r="AW781" s="42" t="s">
        <v>768</v>
      </c>
      <c r="AX781" s="38" t="s">
        <v>221</v>
      </c>
      <c r="AY781" s="38">
        <v>10000015</v>
      </c>
      <c r="AZ781" s="38">
        <v>21101021</v>
      </c>
      <c r="BA781" s="42" t="s">
        <v>1378</v>
      </c>
      <c r="BB781" s="38">
        <v>1</v>
      </c>
      <c r="BC781" s="38">
        <v>0</v>
      </c>
      <c r="BD781" s="38">
        <v>0</v>
      </c>
      <c r="BE781" s="183" t="str">
        <f t="shared" si="59"/>
        <v>立即对当前脚下敌人目标造成200%攻击伤害+2450点固定伤害和使目标眩晕1秒,并迅速跳跃至目标区域</v>
      </c>
      <c r="BF781" s="183" t="s">
        <v>1696</v>
      </c>
      <c r="BG781" s="38">
        <v>0</v>
      </c>
      <c r="BH781" s="38">
        <v>0</v>
      </c>
      <c r="BI781" s="38">
        <v>0</v>
      </c>
      <c r="BJ781" s="38">
        <v>0</v>
      </c>
      <c r="BK781" s="38">
        <v>0</v>
      </c>
      <c r="BL781" s="38">
        <v>0</v>
      </c>
      <c r="BM781" s="34">
        <v>0</v>
      </c>
      <c r="BN781" s="38">
        <v>0</v>
      </c>
      <c r="BO781" s="38">
        <v>0</v>
      </c>
      <c r="BP781" s="38">
        <v>0</v>
      </c>
      <c r="BQ781" s="38">
        <v>0</v>
      </c>
      <c r="BR781" s="38">
        <v>0</v>
      </c>
      <c r="BS781" s="38">
        <v>0</v>
      </c>
      <c r="BT781" s="19">
        <v>0</v>
      </c>
      <c r="BU781" s="23">
        <v>0</v>
      </c>
      <c r="BV781" s="23"/>
      <c r="BW781" s="23"/>
      <c r="BX781" s="23"/>
      <c r="BY781" s="23"/>
      <c r="BZ781" s="23"/>
    </row>
    <row r="782" spans="3:78" ht="20.100000000000001" customHeight="1">
      <c r="C782" s="80">
        <v>620211111</v>
      </c>
      <c r="D782" s="80" t="s">
        <v>1843</v>
      </c>
      <c r="E782" s="80" t="s">
        <v>1844</v>
      </c>
      <c r="F782" s="80">
        <v>0</v>
      </c>
      <c r="G782" s="80">
        <v>61021101</v>
      </c>
      <c r="H782" s="38">
        <v>0</v>
      </c>
      <c r="I782" s="80">
        <v>0</v>
      </c>
      <c r="J782" s="80">
        <v>18</v>
      </c>
      <c r="K782" s="80">
        <v>5</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1845</v>
      </c>
      <c r="BF782" s="189" t="s">
        <v>1846</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620211121</v>
      </c>
      <c r="D783" s="80" t="s">
        <v>1843</v>
      </c>
      <c r="E783" s="80" t="s">
        <v>1844</v>
      </c>
      <c r="F783" s="80">
        <v>1</v>
      </c>
      <c r="G783" s="80">
        <v>61021101</v>
      </c>
      <c r="H783" s="38">
        <v>0</v>
      </c>
      <c r="I783" s="80">
        <v>0</v>
      </c>
      <c r="J783" s="80">
        <v>27</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90002001</v>
      </c>
      <c r="AU783" s="80" t="s">
        <v>204</v>
      </c>
      <c r="AV783" s="80"/>
      <c r="AW783" s="80" t="s">
        <v>205</v>
      </c>
      <c r="AX783" s="80" t="s">
        <v>354</v>
      </c>
      <c r="AY783" s="80">
        <v>0</v>
      </c>
      <c r="AZ783" s="80">
        <v>0</v>
      </c>
      <c r="BA783" s="80" t="s">
        <v>206</v>
      </c>
      <c r="BB783" s="80" t="s">
        <v>204</v>
      </c>
      <c r="BC783" s="80">
        <v>0</v>
      </c>
      <c r="BD783" s="80">
        <v>0</v>
      </c>
      <c r="BE783" s="189" t="s">
        <v>1845</v>
      </c>
      <c r="BF783" s="189" t="s">
        <v>1846</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620211131</v>
      </c>
      <c r="D784" s="80" t="s">
        <v>1843</v>
      </c>
      <c r="E784" s="80" t="s">
        <v>1844</v>
      </c>
      <c r="F784" s="80">
        <v>2</v>
      </c>
      <c r="G784" s="80">
        <v>61021101</v>
      </c>
      <c r="H784" s="38">
        <v>0</v>
      </c>
      <c r="I784" s="80">
        <v>0</v>
      </c>
      <c r="J784" s="80">
        <v>32</v>
      </c>
      <c r="K784" s="80">
        <v>2</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90002002</v>
      </c>
      <c r="AU784" s="80" t="s">
        <v>204</v>
      </c>
      <c r="AV784" s="80"/>
      <c r="AW784" s="80" t="s">
        <v>205</v>
      </c>
      <c r="AX784" s="80" t="s">
        <v>354</v>
      </c>
      <c r="AY784" s="80">
        <v>0</v>
      </c>
      <c r="AZ784" s="80">
        <v>0</v>
      </c>
      <c r="BA784" s="80" t="s">
        <v>206</v>
      </c>
      <c r="BB784" s="80" t="s">
        <v>204</v>
      </c>
      <c r="BC784" s="80">
        <v>0</v>
      </c>
      <c r="BD784" s="80">
        <v>0</v>
      </c>
      <c r="BE784" s="189" t="s">
        <v>1847</v>
      </c>
      <c r="BF784" s="189" t="s">
        <v>1848</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620211141</v>
      </c>
      <c r="D785" s="80" t="s">
        <v>1843</v>
      </c>
      <c r="E785" s="80" t="s">
        <v>1844</v>
      </c>
      <c r="F785" s="80">
        <v>3</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90002003</v>
      </c>
      <c r="AU785" s="80" t="s">
        <v>204</v>
      </c>
      <c r="AV785" s="80"/>
      <c r="AW785" s="80" t="s">
        <v>205</v>
      </c>
      <c r="AX785" s="80" t="s">
        <v>354</v>
      </c>
      <c r="AY785" s="80">
        <v>0</v>
      </c>
      <c r="AZ785" s="80">
        <v>0</v>
      </c>
      <c r="BA785" s="80" t="s">
        <v>206</v>
      </c>
      <c r="BB785" s="80" t="s">
        <v>204</v>
      </c>
      <c r="BC785" s="80">
        <v>0</v>
      </c>
      <c r="BD785" s="80">
        <v>0</v>
      </c>
      <c r="BE785" s="189" t="s">
        <v>1849</v>
      </c>
      <c r="BF785" s="189" t="s">
        <v>1850</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620211151</v>
      </c>
      <c r="D786" s="80" t="s">
        <v>1843</v>
      </c>
      <c r="E786" s="80" t="s">
        <v>1844</v>
      </c>
      <c r="F786" s="80">
        <v>4</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90002004</v>
      </c>
      <c r="AU786" s="80" t="s">
        <v>204</v>
      </c>
      <c r="AV786" s="80"/>
      <c r="AW786" s="80" t="s">
        <v>205</v>
      </c>
      <c r="AX786" s="80" t="s">
        <v>354</v>
      </c>
      <c r="AY786" s="80">
        <v>0</v>
      </c>
      <c r="AZ786" s="80">
        <v>0</v>
      </c>
      <c r="BA786" s="80" t="s">
        <v>206</v>
      </c>
      <c r="BB786" s="80" t="s">
        <v>204</v>
      </c>
      <c r="BC786" s="80">
        <v>0</v>
      </c>
      <c r="BD786" s="80">
        <v>0</v>
      </c>
      <c r="BE786" s="189" t="s">
        <v>355</v>
      </c>
      <c r="BF786" s="189" t="s">
        <v>356</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20.100000000000001" customHeight="1">
      <c r="C787" s="80">
        <v>620211161</v>
      </c>
      <c r="D787" s="80" t="s">
        <v>1843</v>
      </c>
      <c r="E787" s="80" t="s">
        <v>1844</v>
      </c>
      <c r="F787" s="80">
        <v>5</v>
      </c>
      <c r="G787" s="80">
        <v>61021101</v>
      </c>
      <c r="H787" s="80">
        <v>0</v>
      </c>
      <c r="I787" s="80">
        <v>0</v>
      </c>
      <c r="J787" s="80">
        <v>0</v>
      </c>
      <c r="K787" s="80">
        <v>0</v>
      </c>
      <c r="L787" s="80">
        <v>0</v>
      </c>
      <c r="M787" s="80">
        <v>0</v>
      </c>
      <c r="N787" s="80">
        <v>0</v>
      </c>
      <c r="O787" s="80">
        <v>1</v>
      </c>
      <c r="P787" s="80">
        <v>0</v>
      </c>
      <c r="Q787" s="80">
        <v>0</v>
      </c>
      <c r="R787" s="80">
        <v>0</v>
      </c>
      <c r="S787" s="80">
        <v>0</v>
      </c>
      <c r="T787" s="80">
        <v>0</v>
      </c>
      <c r="U787" s="80">
        <v>1</v>
      </c>
      <c r="V787" s="80">
        <v>2</v>
      </c>
      <c r="W787" s="80">
        <v>0</v>
      </c>
      <c r="X787" s="80">
        <v>0</v>
      </c>
      <c r="Y787" s="19">
        <v>0</v>
      </c>
      <c r="Z787" s="80">
        <v>0</v>
      </c>
      <c r="AA787" s="80">
        <v>0</v>
      </c>
      <c r="AB787" s="80">
        <v>0</v>
      </c>
      <c r="AC787" s="80">
        <v>0</v>
      </c>
      <c r="AD787" s="80">
        <v>0</v>
      </c>
      <c r="AE787" s="80">
        <v>0</v>
      </c>
      <c r="AF787" s="80">
        <v>30</v>
      </c>
      <c r="AG787" s="80">
        <v>0</v>
      </c>
      <c r="AH787" s="80">
        <v>0</v>
      </c>
      <c r="AI787" s="80">
        <v>2</v>
      </c>
      <c r="AJ787" s="80">
        <v>0</v>
      </c>
      <c r="AK787" s="80">
        <v>0</v>
      </c>
      <c r="AL787" s="80">
        <v>0</v>
      </c>
      <c r="AM787" s="80">
        <v>0</v>
      </c>
      <c r="AN787" s="80">
        <v>0</v>
      </c>
      <c r="AO787" s="80">
        <v>0</v>
      </c>
      <c r="AP787" s="80">
        <v>0</v>
      </c>
      <c r="AQ787" s="80">
        <v>1000</v>
      </c>
      <c r="AR787" s="80">
        <v>0</v>
      </c>
      <c r="AS787" s="80">
        <v>0</v>
      </c>
      <c r="AT787" s="80">
        <v>90002005</v>
      </c>
      <c r="AU787" s="80" t="s">
        <v>204</v>
      </c>
      <c r="AV787" s="80"/>
      <c r="AW787" s="80" t="s">
        <v>205</v>
      </c>
      <c r="AX787" s="80" t="s">
        <v>354</v>
      </c>
      <c r="AY787" s="80">
        <v>0</v>
      </c>
      <c r="AZ787" s="80">
        <v>0</v>
      </c>
      <c r="BA787" s="80" t="s">
        <v>206</v>
      </c>
      <c r="BB787" s="80" t="s">
        <v>204</v>
      </c>
      <c r="BC787" s="80">
        <v>0</v>
      </c>
      <c r="BD787" s="80">
        <v>0</v>
      </c>
      <c r="BE787" s="189" t="s">
        <v>1851</v>
      </c>
      <c r="BF787" s="189" t="s">
        <v>1852</v>
      </c>
      <c r="BG787" s="80">
        <v>0</v>
      </c>
      <c r="BH787" s="80">
        <v>0</v>
      </c>
      <c r="BI787" s="80">
        <v>0</v>
      </c>
      <c r="BJ787" s="80">
        <v>0</v>
      </c>
      <c r="BK787" s="80">
        <v>0</v>
      </c>
      <c r="BL787" s="80">
        <v>0</v>
      </c>
      <c r="BM787" s="80">
        <v>0</v>
      </c>
      <c r="BN787" s="80">
        <v>1</v>
      </c>
      <c r="BO787" s="80">
        <v>0</v>
      </c>
      <c r="BP787" s="80">
        <v>0</v>
      </c>
      <c r="BQ787" s="80">
        <v>0</v>
      </c>
      <c r="BR787" s="80">
        <v>0</v>
      </c>
      <c r="BS787" s="80">
        <v>0</v>
      </c>
      <c r="BT787" s="19">
        <v>0</v>
      </c>
      <c r="BU787" s="23">
        <v>0</v>
      </c>
      <c r="BV787" s="23"/>
      <c r="BW787" s="23"/>
      <c r="BX787" s="23"/>
      <c r="BY787" s="23"/>
      <c r="BZ787" s="23"/>
    </row>
    <row r="788" spans="1:78" ht="19.5" customHeight="1">
      <c r="C788" s="21">
        <v>62021101</v>
      </c>
      <c r="D788" s="190" t="s">
        <v>1673</v>
      </c>
      <c r="E788" s="190" t="s">
        <v>1674</v>
      </c>
      <c r="F788" s="191">
        <v>0</v>
      </c>
      <c r="G788" s="38">
        <v>62021201</v>
      </c>
      <c r="H788" s="192">
        <v>62021102</v>
      </c>
      <c r="I788" s="193">
        <v>0</v>
      </c>
      <c r="J788" s="191">
        <v>18</v>
      </c>
      <c r="K788" s="191">
        <v>5</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40" t="s">
        <v>1699</v>
      </c>
      <c r="AV788" s="194"/>
      <c r="AW788" s="190" t="s">
        <v>1700</v>
      </c>
      <c r="AX788" s="194" t="s">
        <v>1701</v>
      </c>
      <c r="AY788" s="194">
        <v>10000006</v>
      </c>
      <c r="AZ788" s="194">
        <v>21101022</v>
      </c>
      <c r="BA788" s="196" t="s">
        <v>1702</v>
      </c>
      <c r="BB788" s="190">
        <v>0</v>
      </c>
      <c r="BC788" s="193">
        <v>0</v>
      </c>
      <c r="BD788" s="193">
        <v>0</v>
      </c>
      <c r="BE788" s="197" t="str">
        <f>"立即将目标周围的怪物强制拉到技能范围中,并对目标范围内的怪物造成"&amp;X788*100&amp;"%攻击伤害+"&amp;Z788&amp;"点固定伤害"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1853</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62021102</v>
      </c>
      <c r="D789" s="190" t="s">
        <v>1673</v>
      </c>
      <c r="E789" s="190" t="s">
        <v>1674</v>
      </c>
      <c r="F789" s="191">
        <v>1</v>
      </c>
      <c r="G789" s="38">
        <v>62021201</v>
      </c>
      <c r="H789" s="192">
        <v>62021103</v>
      </c>
      <c r="I789" s="193">
        <v>0</v>
      </c>
      <c r="J789" s="191">
        <v>27</v>
      </c>
      <c r="K789" s="191">
        <v>2</v>
      </c>
      <c r="L789" s="191">
        <v>0</v>
      </c>
      <c r="M789" s="194">
        <v>0</v>
      </c>
      <c r="N789" s="194">
        <v>0</v>
      </c>
      <c r="O789" s="194">
        <v>1</v>
      </c>
      <c r="P789" s="194">
        <v>0</v>
      </c>
      <c r="Q789" s="194">
        <v>0</v>
      </c>
      <c r="R789" s="194">
        <v>0</v>
      </c>
      <c r="S789" s="195">
        <v>0</v>
      </c>
      <c r="T789" s="193">
        <v>0</v>
      </c>
      <c r="U789" s="191">
        <v>1</v>
      </c>
      <c r="V789" s="194">
        <v>2</v>
      </c>
      <c r="W789" s="194">
        <v>0</v>
      </c>
      <c r="X789" s="194">
        <v>2.5</v>
      </c>
      <c r="Y789" s="19">
        <v>0</v>
      </c>
      <c r="Z789" s="191">
        <v>900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40" t="s">
        <v>1699</v>
      </c>
      <c r="AV789" s="194"/>
      <c r="AW789" s="190" t="s">
        <v>1700</v>
      </c>
      <c r="AX789" s="194" t="s">
        <v>1701</v>
      </c>
      <c r="AY789" s="194">
        <v>10000006</v>
      </c>
      <c r="AZ789" s="194">
        <v>21101022</v>
      </c>
      <c r="BA789" s="196" t="s">
        <v>1702</v>
      </c>
      <c r="BB789" s="190">
        <v>0</v>
      </c>
      <c r="BC789" s="193">
        <v>0</v>
      </c>
      <c r="BD789" s="193">
        <v>0</v>
      </c>
      <c r="BE789" s="197" t="str">
        <f t="shared" ref="BE789:BE793" si="60">"立即将目标周围的怪物强制拉到技能范围中,并对目标范围内的怪物造成"&amp;X789*100&amp;"%攻击伤害+"&amp;Z789&amp;"点固定伤害"</f>
        <v>立即将目标周围的怪物强制拉到技能范围中,并对目标范围内的怪物造成250%攻击伤害+900点固定伤害</v>
      </c>
      <c r="BF789" s="197" t="s">
        <v>1853</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62021103</v>
      </c>
      <c r="D790" s="190" t="s">
        <v>1673</v>
      </c>
      <c r="E790" s="190" t="s">
        <v>1674</v>
      </c>
      <c r="F790" s="191">
        <v>2</v>
      </c>
      <c r="G790" s="38">
        <v>62021201</v>
      </c>
      <c r="H790" s="192">
        <v>62021104</v>
      </c>
      <c r="I790" s="193">
        <v>0</v>
      </c>
      <c r="J790" s="191">
        <v>32</v>
      </c>
      <c r="K790" s="191">
        <v>2</v>
      </c>
      <c r="L790" s="191">
        <v>0</v>
      </c>
      <c r="M790" s="194">
        <v>0</v>
      </c>
      <c r="N790" s="194">
        <v>0</v>
      </c>
      <c r="O790" s="194">
        <v>1</v>
      </c>
      <c r="P790" s="194">
        <v>0</v>
      </c>
      <c r="Q790" s="194">
        <v>0</v>
      </c>
      <c r="R790" s="194">
        <v>0</v>
      </c>
      <c r="S790" s="195">
        <v>0</v>
      </c>
      <c r="T790" s="193">
        <v>0</v>
      </c>
      <c r="U790" s="191">
        <v>1</v>
      </c>
      <c r="V790" s="194">
        <v>2</v>
      </c>
      <c r="W790" s="194">
        <v>0</v>
      </c>
      <c r="X790" s="194">
        <v>2.75</v>
      </c>
      <c r="Y790" s="19">
        <v>0</v>
      </c>
      <c r="Z790" s="191">
        <v>1800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40" t="s">
        <v>1699</v>
      </c>
      <c r="AV790" s="194"/>
      <c r="AW790" s="190" t="s">
        <v>1700</v>
      </c>
      <c r="AX790" s="194" t="s">
        <v>1701</v>
      </c>
      <c r="AY790" s="194">
        <v>10000006</v>
      </c>
      <c r="AZ790" s="194">
        <v>21101022</v>
      </c>
      <c r="BA790" s="196" t="s">
        <v>1702</v>
      </c>
      <c r="BB790" s="190">
        <v>0</v>
      </c>
      <c r="BC790" s="193">
        <v>0</v>
      </c>
      <c r="BD790" s="193">
        <v>0</v>
      </c>
      <c r="BE790" s="197" t="str">
        <f t="shared" si="60"/>
        <v>立即将目标周围的怪物强制拉到技能范围中,并对目标范围内的怪物造成275%攻击伤害+1800点固定伤害</v>
      </c>
      <c r="BF790" s="197" t="s">
        <v>1854</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62021104</v>
      </c>
      <c r="D791" s="190" t="s">
        <v>1673</v>
      </c>
      <c r="E791" s="190" t="s">
        <v>1674</v>
      </c>
      <c r="F791" s="191">
        <v>3</v>
      </c>
      <c r="G791" s="38">
        <v>62021201</v>
      </c>
      <c r="H791" s="191">
        <v>0</v>
      </c>
      <c r="I791" s="193">
        <v>0</v>
      </c>
      <c r="J791" s="191">
        <v>0</v>
      </c>
      <c r="K791" s="199">
        <v>0</v>
      </c>
      <c r="L791" s="191">
        <v>0</v>
      </c>
      <c r="M791" s="194">
        <v>0</v>
      </c>
      <c r="N791" s="194">
        <v>0</v>
      </c>
      <c r="O791" s="194">
        <v>1</v>
      </c>
      <c r="P791" s="194">
        <v>0</v>
      </c>
      <c r="Q791" s="194">
        <v>0</v>
      </c>
      <c r="R791" s="194">
        <v>0</v>
      </c>
      <c r="S791" s="195">
        <v>0</v>
      </c>
      <c r="T791" s="193">
        <v>0</v>
      </c>
      <c r="U791" s="191">
        <v>1</v>
      </c>
      <c r="V791" s="194">
        <v>2</v>
      </c>
      <c r="W791" s="194">
        <v>0</v>
      </c>
      <c r="X791" s="194">
        <v>3</v>
      </c>
      <c r="Y791" s="19">
        <v>0</v>
      </c>
      <c r="Z791" s="191">
        <v>2800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40" t="s">
        <v>1699</v>
      </c>
      <c r="AV791" s="194"/>
      <c r="AW791" s="190" t="s">
        <v>1700</v>
      </c>
      <c r="AX791" s="194" t="s">
        <v>1701</v>
      </c>
      <c r="AY791" s="194">
        <v>10000006</v>
      </c>
      <c r="AZ791" s="194">
        <v>21101022</v>
      </c>
      <c r="BA791" s="196" t="s">
        <v>1702</v>
      </c>
      <c r="BB791" s="190">
        <v>0</v>
      </c>
      <c r="BC791" s="193">
        <v>0</v>
      </c>
      <c r="BD791" s="193">
        <v>0</v>
      </c>
      <c r="BE791" s="197" t="str">
        <f t="shared" si="60"/>
        <v>立即将目标周围的怪物强制拉到技能范围中,并对目标范围内的怪物造成300%攻击伤害+2800点固定伤害</v>
      </c>
      <c r="BF791" s="197" t="s">
        <v>1855</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62021105</v>
      </c>
      <c r="D792" s="190" t="s">
        <v>1673</v>
      </c>
      <c r="E792" s="190" t="s">
        <v>1674</v>
      </c>
      <c r="F792" s="191">
        <v>4</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3.25</v>
      </c>
      <c r="Y792" s="19">
        <v>0</v>
      </c>
      <c r="Z792" s="191">
        <v>4000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40" t="s">
        <v>1699</v>
      </c>
      <c r="AV792" s="194"/>
      <c r="AW792" s="190" t="s">
        <v>1700</v>
      </c>
      <c r="AX792" s="194" t="s">
        <v>1701</v>
      </c>
      <c r="AY792" s="194">
        <v>10000006</v>
      </c>
      <c r="AZ792" s="194">
        <v>21101022</v>
      </c>
      <c r="BA792" s="196" t="s">
        <v>1702</v>
      </c>
      <c r="BB792" s="190">
        <v>0</v>
      </c>
      <c r="BC792" s="193">
        <v>0</v>
      </c>
      <c r="BD792" s="193">
        <v>0</v>
      </c>
      <c r="BE792" s="197" t="str">
        <f t="shared" si="60"/>
        <v>立即将目标周围的怪物强制拉到技能范围中,并对目标范围内的怪物造成325%攻击伤害+4000点固定伤害</v>
      </c>
      <c r="BF792" s="197" t="s">
        <v>1856</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C793" s="21">
        <v>62021106</v>
      </c>
      <c r="D793" s="190" t="s">
        <v>1673</v>
      </c>
      <c r="E793" s="190" t="s">
        <v>1674</v>
      </c>
      <c r="F793" s="191">
        <v>5</v>
      </c>
      <c r="G793" s="38">
        <v>62021201</v>
      </c>
      <c r="H793" s="191">
        <v>0</v>
      </c>
      <c r="I793" s="193">
        <v>0</v>
      </c>
      <c r="J793" s="191">
        <v>0</v>
      </c>
      <c r="K793" s="191">
        <v>0</v>
      </c>
      <c r="L793" s="191">
        <v>0</v>
      </c>
      <c r="M793" s="194">
        <v>0</v>
      </c>
      <c r="N793" s="194">
        <v>0</v>
      </c>
      <c r="O793" s="194">
        <v>1</v>
      </c>
      <c r="P793" s="194">
        <v>0</v>
      </c>
      <c r="Q793" s="194">
        <v>0</v>
      </c>
      <c r="R793" s="194">
        <v>0</v>
      </c>
      <c r="S793" s="195">
        <v>0</v>
      </c>
      <c r="T793" s="193">
        <v>0</v>
      </c>
      <c r="U793" s="191">
        <v>1</v>
      </c>
      <c r="V793" s="194">
        <v>2</v>
      </c>
      <c r="W793" s="194">
        <v>0</v>
      </c>
      <c r="X793" s="194">
        <v>3.5</v>
      </c>
      <c r="Y793" s="19">
        <v>0</v>
      </c>
      <c r="Z793" s="191">
        <v>5200</v>
      </c>
      <c r="AA793" s="194">
        <v>0</v>
      </c>
      <c r="AB793" s="194">
        <v>0</v>
      </c>
      <c r="AC793" s="194">
        <v>0</v>
      </c>
      <c r="AD793" s="194">
        <v>0</v>
      </c>
      <c r="AE793" s="194">
        <v>0</v>
      </c>
      <c r="AF793" s="194">
        <v>7</v>
      </c>
      <c r="AG793" s="194">
        <v>1</v>
      </c>
      <c r="AH793" s="194">
        <v>4</v>
      </c>
      <c r="AI793" s="195">
        <v>2</v>
      </c>
      <c r="AJ793" s="195">
        <v>1</v>
      </c>
      <c r="AK793" s="195">
        <v>0</v>
      </c>
      <c r="AL793" s="195">
        <v>7</v>
      </c>
      <c r="AM793" s="194">
        <v>0</v>
      </c>
      <c r="AN793" s="194">
        <v>0</v>
      </c>
      <c r="AO793" s="194">
        <v>0</v>
      </c>
      <c r="AP793" s="194">
        <v>0.25</v>
      </c>
      <c r="AQ793" s="194">
        <v>2000</v>
      </c>
      <c r="AR793" s="194">
        <v>0.25</v>
      </c>
      <c r="AS793" s="194">
        <v>0</v>
      </c>
      <c r="AT793" s="195">
        <v>0</v>
      </c>
      <c r="AU793" s="340" t="s">
        <v>1699</v>
      </c>
      <c r="AV793" s="194"/>
      <c r="AW793" s="190" t="s">
        <v>1700</v>
      </c>
      <c r="AX793" s="194" t="s">
        <v>1701</v>
      </c>
      <c r="AY793" s="194">
        <v>10000006</v>
      </c>
      <c r="AZ793" s="194">
        <v>21101022</v>
      </c>
      <c r="BA793" s="196" t="s">
        <v>1702</v>
      </c>
      <c r="BB793" s="190">
        <v>0</v>
      </c>
      <c r="BC793" s="193">
        <v>0</v>
      </c>
      <c r="BD793" s="193">
        <v>0</v>
      </c>
      <c r="BE793" s="197" t="str">
        <f t="shared" si="60"/>
        <v>立即将目标周围的怪物强制拉到技能范围中,并对目标范围内的怪物造成350%攻击伤害+5200点固定伤害</v>
      </c>
      <c r="BF793" s="197" t="s">
        <v>1857</v>
      </c>
      <c r="BG793" s="194">
        <v>0</v>
      </c>
      <c r="BH793" s="191">
        <v>0</v>
      </c>
      <c r="BI793" s="194">
        <v>0</v>
      </c>
      <c r="BJ793" s="194">
        <v>0</v>
      </c>
      <c r="BK793" s="194">
        <v>0</v>
      </c>
      <c r="BL793" s="194">
        <v>0</v>
      </c>
      <c r="BM793" s="198">
        <v>0</v>
      </c>
      <c r="BN793" s="195">
        <v>0</v>
      </c>
      <c r="BO793" s="195">
        <v>0</v>
      </c>
      <c r="BP793" s="195">
        <v>0</v>
      </c>
      <c r="BQ793" s="195">
        <v>0</v>
      </c>
      <c r="BR793" s="195">
        <v>0</v>
      </c>
      <c r="BS793" s="195">
        <v>0</v>
      </c>
      <c r="BT793" s="19">
        <v>0</v>
      </c>
      <c r="BU793" s="23">
        <v>0</v>
      </c>
      <c r="BV793" s="23"/>
      <c r="BW793" s="23"/>
      <c r="BX793" s="23"/>
      <c r="BY793" s="23"/>
      <c r="BZ793" s="23"/>
    </row>
    <row r="794" spans="1:78" ht="19.5" customHeight="1">
      <c r="A794" s="200"/>
      <c r="B794" s="200"/>
      <c r="C794" s="21">
        <v>62021201</v>
      </c>
      <c r="D794" s="35" t="s">
        <v>1330</v>
      </c>
      <c r="E794" s="35" t="s">
        <v>1331</v>
      </c>
      <c r="F794" s="21">
        <v>0</v>
      </c>
      <c r="G794" s="32">
        <v>62021301</v>
      </c>
      <c r="H794" s="21">
        <v>62021202</v>
      </c>
      <c r="I794" s="31">
        <v>0</v>
      </c>
      <c r="J794" s="21">
        <v>25</v>
      </c>
      <c r="K794" s="21">
        <v>5</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39" t="s">
        <v>1858</v>
      </c>
      <c r="AV794" s="32"/>
      <c r="AW794" s="35" t="s">
        <v>205</v>
      </c>
      <c r="AX794" s="32" t="s">
        <v>551</v>
      </c>
      <c r="AY794" s="32">
        <v>10003002</v>
      </c>
      <c r="AZ794" s="32">
        <v>21101030</v>
      </c>
      <c r="BA794" s="35" t="s">
        <v>592</v>
      </c>
      <c r="BB794" s="35">
        <v>0</v>
      </c>
      <c r="BC794" s="31">
        <v>0</v>
      </c>
      <c r="BD794" s="31">
        <v>0</v>
      </c>
      <c r="BE794" s="185" t="str">
        <f>"立即对指定前方区域释放冲击波,冲击波对触碰的怪物造成"&amp;X794*100&amp;"%攻击伤害+"&amp;Z794&amp;"点固定伤害,并对触碰到的敌方目标附带2秒眩晕"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1859</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62021202</v>
      </c>
      <c r="D795" s="35" t="s">
        <v>1330</v>
      </c>
      <c r="E795" s="35" t="s">
        <v>1331</v>
      </c>
      <c r="F795" s="21">
        <v>1</v>
      </c>
      <c r="G795" s="32">
        <v>62021301</v>
      </c>
      <c r="H795" s="21">
        <v>62021203</v>
      </c>
      <c r="I795" s="31">
        <v>0</v>
      </c>
      <c r="J795" s="21">
        <v>32</v>
      </c>
      <c r="K795" s="21">
        <v>2</v>
      </c>
      <c r="L795" s="21">
        <v>0</v>
      </c>
      <c r="M795" s="32">
        <v>0</v>
      </c>
      <c r="N795" s="32">
        <v>0</v>
      </c>
      <c r="O795" s="32">
        <v>1</v>
      </c>
      <c r="P795" s="32">
        <v>0</v>
      </c>
      <c r="Q795" s="32">
        <v>0</v>
      </c>
      <c r="R795" s="32">
        <v>0</v>
      </c>
      <c r="S795" s="19">
        <v>0</v>
      </c>
      <c r="T795" s="31">
        <v>0</v>
      </c>
      <c r="U795" s="21">
        <v>1</v>
      </c>
      <c r="V795" s="32">
        <v>2</v>
      </c>
      <c r="W795" s="32">
        <v>0</v>
      </c>
      <c r="X795" s="32">
        <v>2.5</v>
      </c>
      <c r="Y795" s="19">
        <v>0</v>
      </c>
      <c r="Z795" s="32">
        <v>900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39" t="s">
        <v>1858</v>
      </c>
      <c r="AV795" s="32"/>
      <c r="AW795" s="35" t="s">
        <v>205</v>
      </c>
      <c r="AX795" s="32" t="s">
        <v>551</v>
      </c>
      <c r="AY795" s="32">
        <v>10003002</v>
      </c>
      <c r="AZ795" s="32">
        <v>21101030</v>
      </c>
      <c r="BA795" s="35" t="s">
        <v>592</v>
      </c>
      <c r="BB795" s="35">
        <v>0</v>
      </c>
      <c r="BC795" s="31">
        <v>0</v>
      </c>
      <c r="BD795" s="31">
        <v>0</v>
      </c>
      <c r="BE795" s="185" t="str">
        <f t="shared" ref="BE795:BE799" si="61">"立即对指定前方区域释放冲击波,冲击波对触碰的怪物造成"&amp;X795*100&amp;"%攻击伤害+"&amp;Z795&amp;"点固定伤害,并对触碰到的敌方目标附带2秒眩晕"</f>
        <v>立即对指定前方区域释放冲击波,冲击波对触碰的怪物造成250%攻击伤害+900点固定伤害,并对触碰到的敌方目标附带2秒眩晕</v>
      </c>
      <c r="BF795" s="185" t="s">
        <v>1859</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62021203</v>
      </c>
      <c r="D796" s="35" t="s">
        <v>1330</v>
      </c>
      <c r="E796" s="35" t="s">
        <v>1331</v>
      </c>
      <c r="F796" s="21">
        <v>2</v>
      </c>
      <c r="G796" s="32">
        <v>62021301</v>
      </c>
      <c r="H796" s="21">
        <v>62021204</v>
      </c>
      <c r="I796" s="31">
        <v>0</v>
      </c>
      <c r="J796" s="21">
        <v>37</v>
      </c>
      <c r="K796" s="21">
        <v>2</v>
      </c>
      <c r="L796" s="21">
        <v>0</v>
      </c>
      <c r="M796" s="32">
        <v>0</v>
      </c>
      <c r="N796" s="32">
        <v>0</v>
      </c>
      <c r="O796" s="32">
        <v>1</v>
      </c>
      <c r="P796" s="32">
        <v>0</v>
      </c>
      <c r="Q796" s="32">
        <v>0</v>
      </c>
      <c r="R796" s="32">
        <v>0</v>
      </c>
      <c r="S796" s="19">
        <v>0</v>
      </c>
      <c r="T796" s="31">
        <v>0</v>
      </c>
      <c r="U796" s="21">
        <v>1</v>
      </c>
      <c r="V796" s="32">
        <v>2</v>
      </c>
      <c r="W796" s="32">
        <v>0</v>
      </c>
      <c r="X796" s="32">
        <v>2.75</v>
      </c>
      <c r="Y796" s="19">
        <v>0</v>
      </c>
      <c r="Z796" s="32">
        <v>1800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39" t="s">
        <v>1858</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立即对指定前方区域释放冲击波,冲击波对触碰的怪物造成275%攻击伤害+1800点固定伤害,并对触碰到的敌方目标附带2秒眩晕</v>
      </c>
      <c r="BF796" s="185" t="s">
        <v>1860</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62021204</v>
      </c>
      <c r="D797" s="35" t="s">
        <v>1330</v>
      </c>
      <c r="E797" s="35" t="s">
        <v>1331</v>
      </c>
      <c r="F797" s="21">
        <v>3</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v>
      </c>
      <c r="Y797" s="19">
        <v>0</v>
      </c>
      <c r="Z797" s="32">
        <v>2800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39" t="s">
        <v>1858</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立即对指定前方区域释放冲击波,冲击波对触碰的怪物造成300%攻击伤害+2800点固定伤害,并对触碰到的敌方目标附带2秒眩晕</v>
      </c>
      <c r="BF797" s="185" t="s">
        <v>1861</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62021205</v>
      </c>
      <c r="D798" s="35" t="s">
        <v>1330</v>
      </c>
      <c r="E798" s="35" t="s">
        <v>1331</v>
      </c>
      <c r="F798" s="21">
        <v>4</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3.25</v>
      </c>
      <c r="Y798" s="19">
        <v>0</v>
      </c>
      <c r="Z798" s="32">
        <v>4000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39" t="s">
        <v>1858</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立即对指定前方区域释放冲击波,冲击波对触碰的怪物造成325%攻击伤害+4000点固定伤害,并对触碰到的敌方目标附带2秒眩晕</v>
      </c>
      <c r="BF798" s="185" t="s">
        <v>1862</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19.5" customHeight="1">
      <c r="C799" s="21">
        <v>62021206</v>
      </c>
      <c r="D799" s="35" t="s">
        <v>1330</v>
      </c>
      <c r="E799" s="35" t="s">
        <v>1331</v>
      </c>
      <c r="F799" s="21">
        <v>5</v>
      </c>
      <c r="G799" s="32">
        <v>62021301</v>
      </c>
      <c r="H799" s="32">
        <v>0</v>
      </c>
      <c r="I799" s="31">
        <v>0</v>
      </c>
      <c r="J799" s="21">
        <v>0</v>
      </c>
      <c r="K799" s="21">
        <v>0</v>
      </c>
      <c r="L799" s="21">
        <v>0</v>
      </c>
      <c r="M799" s="32">
        <v>0</v>
      </c>
      <c r="N799" s="32">
        <v>0</v>
      </c>
      <c r="O799" s="32">
        <v>1</v>
      </c>
      <c r="P799" s="32">
        <v>0</v>
      </c>
      <c r="Q799" s="32">
        <v>0</v>
      </c>
      <c r="R799" s="32">
        <v>0</v>
      </c>
      <c r="S799" s="19">
        <v>0</v>
      </c>
      <c r="T799" s="31">
        <v>0</v>
      </c>
      <c r="U799" s="21">
        <v>1</v>
      </c>
      <c r="V799" s="32">
        <v>2</v>
      </c>
      <c r="W799" s="32">
        <v>0</v>
      </c>
      <c r="X799" s="32">
        <v>3.5</v>
      </c>
      <c r="Y799" s="19">
        <v>0</v>
      </c>
      <c r="Z799" s="32">
        <v>5200</v>
      </c>
      <c r="AA799" s="32">
        <v>0</v>
      </c>
      <c r="AB799" s="32">
        <v>0</v>
      </c>
      <c r="AC799" s="32">
        <v>0</v>
      </c>
      <c r="AD799" s="32">
        <v>0</v>
      </c>
      <c r="AE799" s="32">
        <v>0</v>
      </c>
      <c r="AF799" s="32">
        <v>12</v>
      </c>
      <c r="AG799" s="32">
        <v>1</v>
      </c>
      <c r="AH799" s="32">
        <v>3</v>
      </c>
      <c r="AI799" s="19">
        <v>2</v>
      </c>
      <c r="AJ799" s="19">
        <v>2</v>
      </c>
      <c r="AK799" s="19">
        <v>0</v>
      </c>
      <c r="AL799" s="19">
        <v>4</v>
      </c>
      <c r="AM799" s="32">
        <v>0</v>
      </c>
      <c r="AN799" s="32">
        <v>0</v>
      </c>
      <c r="AO799" s="32">
        <v>0</v>
      </c>
      <c r="AP799" s="32">
        <v>0.25</v>
      </c>
      <c r="AQ799" s="32">
        <v>2000</v>
      </c>
      <c r="AR799" s="32">
        <v>0.5</v>
      </c>
      <c r="AS799" s="32">
        <v>15</v>
      </c>
      <c r="AT799" s="19">
        <v>0</v>
      </c>
      <c r="AU799" s="339" t="s">
        <v>1858</v>
      </c>
      <c r="AV799" s="32"/>
      <c r="AW799" s="35" t="s">
        <v>205</v>
      </c>
      <c r="AX799" s="32" t="s">
        <v>551</v>
      </c>
      <c r="AY799" s="32">
        <v>10003002</v>
      </c>
      <c r="AZ799" s="32">
        <v>21101030</v>
      </c>
      <c r="BA799" s="35" t="s">
        <v>592</v>
      </c>
      <c r="BB799" s="35">
        <v>0</v>
      </c>
      <c r="BC799" s="31">
        <v>0</v>
      </c>
      <c r="BD799" s="31">
        <v>0</v>
      </c>
      <c r="BE799" s="185" t="str">
        <f t="shared" si="61"/>
        <v>立即对指定前方区域释放冲击波,冲击波对触碰的怪物造成350%攻击伤害+5200点固定伤害,并对触碰到的敌方目标附带2秒眩晕</v>
      </c>
      <c r="BF799" s="185" t="s">
        <v>1863</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62021301</v>
      </c>
      <c r="D800" s="35" t="s">
        <v>373</v>
      </c>
      <c r="E800" s="35" t="s">
        <v>374</v>
      </c>
      <c r="F800" s="21">
        <v>0</v>
      </c>
      <c r="G800" s="21">
        <v>62021401</v>
      </c>
      <c r="H800" s="32">
        <f>C801</f>
        <v>62021302</v>
      </c>
      <c r="I800" s="31">
        <v>0</v>
      </c>
      <c r="J800" s="21">
        <v>20</v>
      </c>
      <c r="K800" s="21">
        <v>5</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1864</v>
      </c>
      <c r="BC800" s="31">
        <v>0</v>
      </c>
      <c r="BD800" s="31">
        <v>0</v>
      </c>
      <c r="BE800" s="185" t="str">
        <f>"对目标区域持续造成伤害,在此范围内的敌方目标每秒造成2次"&amp;X800*100&amp;"%攻击伤害+"&amp;Z800&amp;"点固定伤害,目标移动速度降低75%,持续6秒,当在施法过程中进行移动会中断此技能施放"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1865</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62021302</v>
      </c>
      <c r="D801" s="35" t="s">
        <v>373</v>
      </c>
      <c r="E801" s="35" t="s">
        <v>374</v>
      </c>
      <c r="F801" s="21">
        <v>1</v>
      </c>
      <c r="G801" s="21">
        <v>62021401</v>
      </c>
      <c r="H801" s="32">
        <f t="shared" ref="H801:H802" si="62">C802</f>
        <v>62021303</v>
      </c>
      <c r="I801" s="31">
        <v>0</v>
      </c>
      <c r="J801" s="21">
        <v>27</v>
      </c>
      <c r="K801" s="21">
        <v>2</v>
      </c>
      <c r="L801" s="21">
        <v>0</v>
      </c>
      <c r="M801" s="32">
        <v>0</v>
      </c>
      <c r="N801" s="32">
        <v>0</v>
      </c>
      <c r="O801" s="32">
        <v>1</v>
      </c>
      <c r="P801" s="32">
        <v>0</v>
      </c>
      <c r="Q801" s="32">
        <v>0</v>
      </c>
      <c r="R801" s="32">
        <v>0</v>
      </c>
      <c r="S801" s="19">
        <v>0</v>
      </c>
      <c r="T801" s="31">
        <v>0</v>
      </c>
      <c r="U801" s="21">
        <v>1</v>
      </c>
      <c r="V801" s="32">
        <v>2</v>
      </c>
      <c r="W801" s="32">
        <v>0</v>
      </c>
      <c r="X801" s="32">
        <v>1.8</v>
      </c>
      <c r="Y801" s="19">
        <v>0</v>
      </c>
      <c r="Z801" s="32">
        <v>1000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1864</v>
      </c>
      <c r="BC801" s="31">
        <v>0</v>
      </c>
      <c r="BD801" s="31">
        <v>0</v>
      </c>
      <c r="BE801" s="185" t="str">
        <f t="shared" ref="BE801:BE805" si="63">"对目标区域持续造成伤害,在此范围内的敌方目标每秒造成2次"&amp;X801*100&amp;"%攻击伤害+"&amp;Z801&amp;"点固定伤害,目标移动速度降低75%,持续6秒,当在施法过程中进行移动会中断此技能施放"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1" s="185" t="s">
        <v>1865</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62021303</v>
      </c>
      <c r="D802" s="35" t="s">
        <v>373</v>
      </c>
      <c r="E802" s="35" t="s">
        <v>374</v>
      </c>
      <c r="F802" s="21">
        <v>2</v>
      </c>
      <c r="G802" s="21">
        <v>62021401</v>
      </c>
      <c r="H802" s="32">
        <f t="shared" si="62"/>
        <v>62021304</v>
      </c>
      <c r="I802" s="31">
        <v>0</v>
      </c>
      <c r="J802" s="21">
        <v>32</v>
      </c>
      <c r="K802" s="21">
        <v>2</v>
      </c>
      <c r="L802" s="21">
        <v>0</v>
      </c>
      <c r="M802" s="32">
        <v>0</v>
      </c>
      <c r="N802" s="32">
        <v>0</v>
      </c>
      <c r="O802" s="32">
        <v>1</v>
      </c>
      <c r="P802" s="32">
        <v>0</v>
      </c>
      <c r="Q802" s="32">
        <v>0</v>
      </c>
      <c r="R802" s="32">
        <v>0</v>
      </c>
      <c r="S802" s="19">
        <v>0</v>
      </c>
      <c r="T802" s="31">
        <v>0</v>
      </c>
      <c r="U802" s="21">
        <v>1</v>
      </c>
      <c r="V802" s="32">
        <v>2</v>
      </c>
      <c r="W802" s="32">
        <v>0</v>
      </c>
      <c r="X802" s="32">
        <v>2</v>
      </c>
      <c r="Y802" s="19">
        <v>0</v>
      </c>
      <c r="Z802" s="32">
        <v>1500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1864</v>
      </c>
      <c r="BC802" s="31">
        <v>0</v>
      </c>
      <c r="BD802" s="31">
        <v>0</v>
      </c>
      <c r="BE802" s="185" t="str">
        <f t="shared" si="63"/>
        <v>对目标区域持续造成伤害,在此范围内的敌方目标每秒造成2次200%攻击伤害+1500点固定伤害,目标移动速度降低75%,持续6秒,当在施法过程中进行移动会中断此技能施放</v>
      </c>
      <c r="BF802" s="185" t="s">
        <v>1866</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62021304</v>
      </c>
      <c r="D803" s="35" t="s">
        <v>373</v>
      </c>
      <c r="E803" s="35" t="s">
        <v>374</v>
      </c>
      <c r="F803" s="21">
        <v>3</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2.2000000000000002</v>
      </c>
      <c r="Y803" s="19">
        <v>0</v>
      </c>
      <c r="Z803" s="32">
        <v>2000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1864</v>
      </c>
      <c r="BC803" s="31">
        <v>0</v>
      </c>
      <c r="BD803" s="31">
        <v>0</v>
      </c>
      <c r="BE803" s="185" t="str">
        <f t="shared" si="63"/>
        <v>对目标区域持续造成伤害,在此范围内的敌方目标每秒造成2次220%攻击伤害+2000点固定伤害,目标移动速度降低75%,持续6秒,当在施法过程中进行移动会中断此技能施放</v>
      </c>
      <c r="BF803" s="185" t="s">
        <v>1867</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62021305</v>
      </c>
      <c r="D804" s="35" t="s">
        <v>373</v>
      </c>
      <c r="E804" s="35" t="s">
        <v>374</v>
      </c>
      <c r="F804" s="21">
        <v>4</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2.4</v>
      </c>
      <c r="Y804" s="19">
        <v>0</v>
      </c>
      <c r="Z804" s="32">
        <v>2750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1864</v>
      </c>
      <c r="BC804" s="31">
        <v>0</v>
      </c>
      <c r="BD804" s="31">
        <v>0</v>
      </c>
      <c r="BE804" s="185" t="str">
        <f t="shared" si="63"/>
        <v>对目标区域持续造成伤害,在此范围内的敌方目标每秒造成2次240%攻击伤害+2750点固定伤害,目标移动速度降低75%,持续6秒,当在施法过程中进行移动会中断此技能施放</v>
      </c>
      <c r="BF804" s="185" t="s">
        <v>1868</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62021306</v>
      </c>
      <c r="D805" s="35" t="s">
        <v>373</v>
      </c>
      <c r="E805" s="35" t="s">
        <v>374</v>
      </c>
      <c r="F805" s="21">
        <v>5</v>
      </c>
      <c r="G805" s="21">
        <v>62021401</v>
      </c>
      <c r="H805" s="21">
        <v>0</v>
      </c>
      <c r="I805" s="31">
        <v>0</v>
      </c>
      <c r="J805" s="32">
        <v>0</v>
      </c>
      <c r="K805" s="21">
        <v>0</v>
      </c>
      <c r="L805" s="21">
        <v>0</v>
      </c>
      <c r="M805" s="32">
        <v>0</v>
      </c>
      <c r="N805" s="32">
        <v>0</v>
      </c>
      <c r="O805" s="32">
        <v>1</v>
      </c>
      <c r="P805" s="32">
        <v>0</v>
      </c>
      <c r="Q805" s="32">
        <v>0</v>
      </c>
      <c r="R805" s="32">
        <v>0</v>
      </c>
      <c r="S805" s="19">
        <v>0</v>
      </c>
      <c r="T805" s="31">
        <v>0</v>
      </c>
      <c r="U805" s="21">
        <v>1</v>
      </c>
      <c r="V805" s="32">
        <v>2</v>
      </c>
      <c r="W805" s="32">
        <v>0</v>
      </c>
      <c r="X805" s="32">
        <v>2.6</v>
      </c>
      <c r="Y805" s="19">
        <v>0</v>
      </c>
      <c r="Z805" s="32">
        <v>3500</v>
      </c>
      <c r="AA805" s="32">
        <v>0</v>
      </c>
      <c r="AB805" s="32">
        <v>0</v>
      </c>
      <c r="AC805" s="32">
        <v>0</v>
      </c>
      <c r="AD805" s="32">
        <v>0</v>
      </c>
      <c r="AE805" s="32">
        <v>0</v>
      </c>
      <c r="AF805" s="32">
        <v>6</v>
      </c>
      <c r="AG805" s="32">
        <v>1</v>
      </c>
      <c r="AH805" s="32">
        <v>3</v>
      </c>
      <c r="AI805" s="19">
        <v>2</v>
      </c>
      <c r="AJ805" s="19">
        <v>1</v>
      </c>
      <c r="AK805" s="19">
        <v>0</v>
      </c>
      <c r="AL805" s="19">
        <v>7</v>
      </c>
      <c r="AM805" s="32">
        <v>0</v>
      </c>
      <c r="AN805" s="32">
        <v>0</v>
      </c>
      <c r="AO805" s="32">
        <v>6</v>
      </c>
      <c r="AP805" s="32">
        <v>0.25</v>
      </c>
      <c r="AQ805" s="32">
        <v>6000</v>
      </c>
      <c r="AR805" s="32">
        <v>0</v>
      </c>
      <c r="AS805" s="32">
        <v>0</v>
      </c>
      <c r="AT805" s="19">
        <v>0</v>
      </c>
      <c r="AU805" s="32">
        <v>92014001</v>
      </c>
      <c r="AV805" s="32"/>
      <c r="AW805" s="35" t="s">
        <v>375</v>
      </c>
      <c r="AX805" s="32" t="s">
        <v>376</v>
      </c>
      <c r="AY805" s="32">
        <v>10002001</v>
      </c>
      <c r="AZ805" s="32">
        <v>21101040</v>
      </c>
      <c r="BA805" s="35" t="s">
        <v>321</v>
      </c>
      <c r="BB805" s="35" t="s">
        <v>1864</v>
      </c>
      <c r="BC805" s="31">
        <v>0</v>
      </c>
      <c r="BD805" s="31">
        <v>0</v>
      </c>
      <c r="BE805" s="185" t="str">
        <f t="shared" si="63"/>
        <v>对目标区域持续造成伤害,在此范围内的敌方目标每秒造成2次260%攻击伤害+3500点固定伤害,目标移动速度降低75%,持续6秒,当在施法过程中进行移动会中断此技能施放</v>
      </c>
      <c r="BF805" s="185" t="s">
        <v>1869</v>
      </c>
      <c r="BG805" s="32">
        <v>0</v>
      </c>
      <c r="BH805" s="21">
        <v>0</v>
      </c>
      <c r="BI805" s="32">
        <v>0</v>
      </c>
      <c r="BJ805" s="32">
        <v>0</v>
      </c>
      <c r="BK805" s="32">
        <v>0</v>
      </c>
      <c r="BL805" s="32">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62021401</v>
      </c>
      <c r="D806" s="30" t="s">
        <v>1870</v>
      </c>
      <c r="E806" s="30" t="s">
        <v>1871</v>
      </c>
      <c r="F806" s="32">
        <v>0</v>
      </c>
      <c r="G806" s="21">
        <v>62021501</v>
      </c>
      <c r="H806" s="21">
        <v>62021402</v>
      </c>
      <c r="I806" s="31">
        <v>0</v>
      </c>
      <c r="J806" s="21">
        <v>35</v>
      </c>
      <c r="K806" s="21">
        <v>5</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41" t="s">
        <v>1872</v>
      </c>
      <c r="BC806" s="31">
        <v>0</v>
      </c>
      <c r="BD806" s="31">
        <v>0</v>
      </c>
      <c r="BE806" s="33" t="s">
        <v>1873</v>
      </c>
      <c r="BF806" s="33" t="s">
        <v>1874</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62021402</v>
      </c>
      <c r="D807" s="30" t="s">
        <v>1870</v>
      </c>
      <c r="E807" s="30" t="s">
        <v>1871</v>
      </c>
      <c r="F807" s="32">
        <v>1</v>
      </c>
      <c r="G807" s="21">
        <v>62021501</v>
      </c>
      <c r="H807" s="21">
        <v>62021403</v>
      </c>
      <c r="I807" s="31">
        <v>0</v>
      </c>
      <c r="J807" s="21">
        <v>42</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41" t="s">
        <v>1872</v>
      </c>
      <c r="BC807" s="31">
        <v>0</v>
      </c>
      <c r="BD807" s="31">
        <v>0</v>
      </c>
      <c r="BE807" s="33" t="s">
        <v>1873</v>
      </c>
      <c r="BF807" s="33" t="s">
        <v>1874</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20.100000000000001" customHeight="1">
      <c r="C808" s="21">
        <v>62021403</v>
      </c>
      <c r="D808" s="30" t="s">
        <v>1870</v>
      </c>
      <c r="E808" s="30" t="s">
        <v>1871</v>
      </c>
      <c r="F808" s="32">
        <v>2</v>
      </c>
      <c r="G808" s="21">
        <v>62021501</v>
      </c>
      <c r="H808" s="21">
        <v>62021404</v>
      </c>
      <c r="I808" s="31">
        <v>0</v>
      </c>
      <c r="J808" s="21">
        <v>47</v>
      </c>
      <c r="K808" s="21">
        <v>2</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41" t="s">
        <v>1875</v>
      </c>
      <c r="BC808" s="31">
        <v>0</v>
      </c>
      <c r="BD808" s="31">
        <v>0</v>
      </c>
      <c r="BE808" s="33" t="s">
        <v>1876</v>
      </c>
      <c r="BF808" s="33" t="s">
        <v>1877</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62021404</v>
      </c>
      <c r="D809" s="30" t="s">
        <v>1870</v>
      </c>
      <c r="E809" s="30" t="s">
        <v>1871</v>
      </c>
      <c r="F809" s="32">
        <v>3</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41" t="s">
        <v>1878</v>
      </c>
      <c r="BC809" s="31">
        <v>0</v>
      </c>
      <c r="BD809" s="31">
        <v>0</v>
      </c>
      <c r="BE809" s="33" t="s">
        <v>1879</v>
      </c>
      <c r="BF809" s="33" t="s">
        <v>1880</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62021405</v>
      </c>
      <c r="D810" s="30" t="s">
        <v>1870</v>
      </c>
      <c r="E810" s="30" t="s">
        <v>1871</v>
      </c>
      <c r="F810" s="32">
        <v>4</v>
      </c>
      <c r="G810" s="21">
        <v>62021501</v>
      </c>
      <c r="H810" s="21">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41" t="s">
        <v>1881</v>
      </c>
      <c r="BC810" s="31">
        <v>0</v>
      </c>
      <c r="BD810" s="31">
        <v>0</v>
      </c>
      <c r="BE810" s="33" t="s">
        <v>1882</v>
      </c>
      <c r="BF810" s="33" t="s">
        <v>1883</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19.5" customHeight="1">
      <c r="C811" s="21">
        <v>62021406</v>
      </c>
      <c r="D811" s="30" t="s">
        <v>1870</v>
      </c>
      <c r="E811" s="30" t="s">
        <v>1871</v>
      </c>
      <c r="F811" s="32">
        <v>5</v>
      </c>
      <c r="G811" s="21">
        <v>62021501</v>
      </c>
      <c r="H811" s="32">
        <v>0</v>
      </c>
      <c r="I811" s="31">
        <v>0</v>
      </c>
      <c r="J811" s="21">
        <v>1</v>
      </c>
      <c r="K811" s="21">
        <v>0</v>
      </c>
      <c r="L811" s="32">
        <v>0</v>
      </c>
      <c r="M811" s="21">
        <v>0</v>
      </c>
      <c r="N811" s="21">
        <v>0</v>
      </c>
      <c r="O811" s="21">
        <v>1</v>
      </c>
      <c r="P811" s="21">
        <v>0</v>
      </c>
      <c r="Q811" s="21">
        <v>0</v>
      </c>
      <c r="R811" s="21">
        <v>0</v>
      </c>
      <c r="S811" s="19">
        <v>0</v>
      </c>
      <c r="T811" s="21">
        <v>0</v>
      </c>
      <c r="U811" s="21">
        <v>1</v>
      </c>
      <c r="V811" s="21">
        <v>2</v>
      </c>
      <c r="W811" s="21">
        <v>0</v>
      </c>
      <c r="X811" s="21">
        <v>0</v>
      </c>
      <c r="Y811" s="19">
        <v>0</v>
      </c>
      <c r="Z811" s="21">
        <v>0</v>
      </c>
      <c r="AA811" s="21">
        <v>0</v>
      </c>
      <c r="AB811" s="21">
        <v>0</v>
      </c>
      <c r="AC811" s="21">
        <v>0</v>
      </c>
      <c r="AD811" s="21">
        <v>0</v>
      </c>
      <c r="AE811" s="21">
        <v>0</v>
      </c>
      <c r="AF811" s="21">
        <v>50</v>
      </c>
      <c r="AG811" s="21">
        <v>0</v>
      </c>
      <c r="AH811" s="21">
        <v>0</v>
      </c>
      <c r="AI811" s="19">
        <v>2</v>
      </c>
      <c r="AJ811" s="19">
        <v>2</v>
      </c>
      <c r="AK811" s="19">
        <v>0</v>
      </c>
      <c r="AL811" s="19">
        <v>1.5</v>
      </c>
      <c r="AM811" s="21">
        <v>0</v>
      </c>
      <c r="AN811" s="21">
        <v>0.5</v>
      </c>
      <c r="AO811" s="21">
        <v>0</v>
      </c>
      <c r="AP811" s="32">
        <v>0.25</v>
      </c>
      <c r="AQ811" s="21">
        <v>3000</v>
      </c>
      <c r="AR811" s="21">
        <v>0</v>
      </c>
      <c r="AS811" s="21">
        <v>0</v>
      </c>
      <c r="AT811" s="19">
        <v>0</v>
      </c>
      <c r="AU811" s="21" t="s">
        <v>204</v>
      </c>
      <c r="AV811" s="21"/>
      <c r="AW811" s="30" t="s">
        <v>205</v>
      </c>
      <c r="AX811" s="21" t="s">
        <v>551</v>
      </c>
      <c r="AY811" s="32">
        <v>0</v>
      </c>
      <c r="AZ811" s="32">
        <v>21101051</v>
      </c>
      <c r="BA811" s="30" t="s">
        <v>1180</v>
      </c>
      <c r="BB811" s="341" t="s">
        <v>1884</v>
      </c>
      <c r="BC811" s="31">
        <v>0</v>
      </c>
      <c r="BD811" s="31">
        <v>0</v>
      </c>
      <c r="BE811" s="33" t="s">
        <v>1885</v>
      </c>
      <c r="BF811" s="33" t="s">
        <v>1886</v>
      </c>
      <c r="BG811" s="21">
        <v>0</v>
      </c>
      <c r="BH811" s="21">
        <v>0</v>
      </c>
      <c r="BI811" s="21">
        <v>0</v>
      </c>
      <c r="BJ811" s="21">
        <v>0</v>
      </c>
      <c r="BK811" s="21">
        <v>0</v>
      </c>
      <c r="BL811" s="21">
        <v>0</v>
      </c>
      <c r="BM811" s="25">
        <v>0</v>
      </c>
      <c r="BN811" s="19">
        <v>0</v>
      </c>
      <c r="BO811" s="19">
        <v>0</v>
      </c>
      <c r="BP811" s="19">
        <v>0</v>
      </c>
      <c r="BQ811" s="19">
        <v>0</v>
      </c>
      <c r="BR811" s="19">
        <v>0</v>
      </c>
      <c r="BS811" s="19">
        <v>0</v>
      </c>
      <c r="BT811" s="19">
        <v>0</v>
      </c>
      <c r="BU811" s="23">
        <v>0</v>
      </c>
      <c r="BV811" s="23"/>
      <c r="BW811" s="23"/>
      <c r="BX811" s="23"/>
      <c r="BY811" s="23"/>
      <c r="BZ811" s="23"/>
    </row>
    <row r="812" spans="3:78" ht="20.100000000000001" customHeight="1">
      <c r="C812" s="21">
        <v>62021511</v>
      </c>
      <c r="D812" s="35" t="s">
        <v>1887</v>
      </c>
      <c r="E812" s="35" t="s">
        <v>1888</v>
      </c>
      <c r="F812" s="21">
        <v>1</v>
      </c>
      <c r="G812" s="32">
        <v>61021101</v>
      </c>
      <c r="H812" s="32">
        <v>0</v>
      </c>
      <c r="I812" s="31">
        <v>0</v>
      </c>
      <c r="J812" s="21">
        <v>1</v>
      </c>
      <c r="K812" s="21">
        <v>0</v>
      </c>
      <c r="L812" s="21">
        <v>0</v>
      </c>
      <c r="M812" s="32">
        <v>0</v>
      </c>
      <c r="N812" s="32">
        <v>0</v>
      </c>
      <c r="O812" s="32">
        <v>2</v>
      </c>
      <c r="P812" s="32">
        <v>2</v>
      </c>
      <c r="Q812" s="32">
        <v>1</v>
      </c>
      <c r="R812" s="32">
        <v>0</v>
      </c>
      <c r="S812" s="19">
        <v>0</v>
      </c>
      <c r="T812" s="31">
        <v>0</v>
      </c>
      <c r="U812" s="21">
        <v>1</v>
      </c>
      <c r="V812" s="32">
        <v>2</v>
      </c>
      <c r="W812" s="32">
        <v>0</v>
      </c>
      <c r="X812" s="32">
        <v>0</v>
      </c>
      <c r="Y812" s="19">
        <v>0</v>
      </c>
      <c r="Z812" s="32">
        <v>0</v>
      </c>
      <c r="AA812" s="32">
        <v>0</v>
      </c>
      <c r="AB812" s="32">
        <v>0</v>
      </c>
      <c r="AC812" s="32">
        <v>0</v>
      </c>
      <c r="AD812" s="32">
        <v>0</v>
      </c>
      <c r="AE812" s="32">
        <v>0</v>
      </c>
      <c r="AF812" s="32">
        <v>9999999</v>
      </c>
      <c r="AG812" s="32">
        <v>0</v>
      </c>
      <c r="AH812" s="32">
        <v>0</v>
      </c>
      <c r="AI812" s="19">
        <v>2</v>
      </c>
      <c r="AJ812" s="19">
        <v>0</v>
      </c>
      <c r="AK812" s="19">
        <v>0</v>
      </c>
      <c r="AL812" s="19">
        <v>0</v>
      </c>
      <c r="AM812" s="32">
        <v>0</v>
      </c>
      <c r="AN812" s="32">
        <v>0</v>
      </c>
      <c r="AO812" s="32">
        <v>0</v>
      </c>
      <c r="AP812" s="32">
        <v>0</v>
      </c>
      <c r="AQ812" s="32">
        <v>1000</v>
      </c>
      <c r="AR812" s="32">
        <v>0</v>
      </c>
      <c r="AS812" s="32">
        <v>0</v>
      </c>
      <c r="AT812" s="19">
        <v>0</v>
      </c>
      <c r="AU812" s="32" t="s">
        <v>204</v>
      </c>
      <c r="AV812" s="32"/>
      <c r="AW812" s="35" t="s">
        <v>205</v>
      </c>
      <c r="AX812" s="32" t="s">
        <v>354</v>
      </c>
      <c r="AY812" s="32">
        <v>0</v>
      </c>
      <c r="AZ812" s="32">
        <v>21101050</v>
      </c>
      <c r="BA812" s="35" t="s">
        <v>206</v>
      </c>
      <c r="BB812" s="35" t="s">
        <v>204</v>
      </c>
      <c r="BC812" s="31">
        <v>0</v>
      </c>
      <c r="BD812" s="31">
        <v>0</v>
      </c>
      <c r="BE812" s="185" t="s">
        <v>355</v>
      </c>
      <c r="BF812" s="185" t="s">
        <v>356</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62021512</v>
      </c>
      <c r="D813" s="35" t="s">
        <v>1889</v>
      </c>
      <c r="E813" s="35" t="s">
        <v>1890</v>
      </c>
      <c r="F813" s="21">
        <v>1</v>
      </c>
      <c r="G813" s="32">
        <v>62021301</v>
      </c>
      <c r="H813" s="32">
        <v>0</v>
      </c>
      <c r="I813" s="31">
        <v>0</v>
      </c>
      <c r="J813" s="21">
        <v>1</v>
      </c>
      <c r="K813" s="32">
        <v>0</v>
      </c>
      <c r="L813" s="21">
        <v>0</v>
      </c>
      <c r="M813" s="32">
        <v>0</v>
      </c>
      <c r="N813" s="32">
        <v>0</v>
      </c>
      <c r="O813" s="32">
        <v>2</v>
      </c>
      <c r="P813" s="32">
        <v>10</v>
      </c>
      <c r="Q813" s="32">
        <v>0.8</v>
      </c>
      <c r="R813" s="32">
        <v>0</v>
      </c>
      <c r="S813" s="19">
        <v>0</v>
      </c>
      <c r="T813" s="31">
        <v>0</v>
      </c>
      <c r="U813" s="21">
        <v>1</v>
      </c>
      <c r="V813" s="32">
        <v>2</v>
      </c>
      <c r="W813" s="32">
        <v>0</v>
      </c>
      <c r="X813" s="32">
        <v>2.5</v>
      </c>
      <c r="Y813" s="19">
        <v>0</v>
      </c>
      <c r="Z813" s="32">
        <v>1500</v>
      </c>
      <c r="AA813" s="32">
        <v>0</v>
      </c>
      <c r="AB813" s="32">
        <v>0</v>
      </c>
      <c r="AC813" s="32">
        <v>0</v>
      </c>
      <c r="AD813" s="32">
        <v>0</v>
      </c>
      <c r="AE813" s="32">
        <v>0</v>
      </c>
      <c r="AF813" s="32">
        <v>5</v>
      </c>
      <c r="AG813" s="32">
        <v>1</v>
      </c>
      <c r="AH813" s="32">
        <v>2</v>
      </c>
      <c r="AI813" s="19">
        <v>2</v>
      </c>
      <c r="AJ813" s="19">
        <v>2</v>
      </c>
      <c r="AK813" s="19">
        <v>0</v>
      </c>
      <c r="AL813" s="19">
        <v>4</v>
      </c>
      <c r="AM813" s="32">
        <v>0</v>
      </c>
      <c r="AN813" s="32">
        <v>0</v>
      </c>
      <c r="AO813" s="32">
        <v>0</v>
      </c>
      <c r="AP813" s="32">
        <v>0.25</v>
      </c>
      <c r="AQ813" s="32">
        <v>5000</v>
      </c>
      <c r="AR813" s="32">
        <v>0.5</v>
      </c>
      <c r="AS813" s="32">
        <v>10</v>
      </c>
      <c r="AT813" s="19">
        <v>0</v>
      </c>
      <c r="AU813" s="32">
        <v>92002001</v>
      </c>
      <c r="AV813" s="32"/>
      <c r="AW813" s="35" t="s">
        <v>205</v>
      </c>
      <c r="AX813" s="32" t="s">
        <v>551</v>
      </c>
      <c r="AY813" s="32">
        <v>10003002</v>
      </c>
      <c r="AZ813" s="32">
        <v>21101030</v>
      </c>
      <c r="BA813" s="35" t="s">
        <v>592</v>
      </c>
      <c r="BB813" s="35">
        <v>0</v>
      </c>
      <c r="BC813" s="31">
        <v>0</v>
      </c>
      <c r="BD813" s="31">
        <v>0</v>
      </c>
      <c r="BE813" s="185" t="str">
        <f t="shared" ref="BE813" si="64">"立即对指定前方区域释放冲击波,冲击波对触碰的怪物造成"&amp;X813*100&amp;"%攻击伤害+"&amp;Z813&amp;"点固定伤害"</f>
        <v>立即对指定前方区域释放冲击波,冲击波对触碰的怪物造成250%攻击伤害+1500点固定伤害</v>
      </c>
      <c r="BF813" s="185" t="s">
        <v>1891</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19.5" customHeight="1">
      <c r="C814" s="21">
        <v>62021513</v>
      </c>
      <c r="D814" s="35" t="s">
        <v>1892</v>
      </c>
      <c r="E814" s="35" t="s">
        <v>1893</v>
      </c>
      <c r="F814" s="21">
        <v>1</v>
      </c>
      <c r="G814" s="32">
        <v>62011101</v>
      </c>
      <c r="H814" s="21">
        <v>0</v>
      </c>
      <c r="I814" s="31">
        <v>0</v>
      </c>
      <c r="J814" s="21">
        <v>1</v>
      </c>
      <c r="K814" s="21">
        <v>0</v>
      </c>
      <c r="L814" s="21">
        <v>0</v>
      </c>
      <c r="M814" s="32">
        <v>0</v>
      </c>
      <c r="N814" s="32">
        <v>0</v>
      </c>
      <c r="O814" s="32">
        <v>2</v>
      </c>
      <c r="P814" s="32">
        <v>10</v>
      </c>
      <c r="Q814" s="32">
        <v>0.8</v>
      </c>
      <c r="R814" s="32">
        <v>0</v>
      </c>
      <c r="S814" s="19">
        <v>0</v>
      </c>
      <c r="T814" s="31">
        <v>0</v>
      </c>
      <c r="U814" s="21">
        <v>1</v>
      </c>
      <c r="V814" s="32">
        <v>2</v>
      </c>
      <c r="W814" s="32">
        <v>0</v>
      </c>
      <c r="X814" s="32">
        <v>2.5</v>
      </c>
      <c r="Y814" s="19">
        <v>0</v>
      </c>
      <c r="Z814" s="32">
        <v>2000</v>
      </c>
      <c r="AA814" s="32">
        <v>0</v>
      </c>
      <c r="AB814" s="32">
        <v>0</v>
      </c>
      <c r="AC814" s="32">
        <v>0</v>
      </c>
      <c r="AD814" s="32">
        <v>0</v>
      </c>
      <c r="AE814" s="32">
        <v>0</v>
      </c>
      <c r="AF814" s="32">
        <v>8</v>
      </c>
      <c r="AG814" s="32">
        <v>1</v>
      </c>
      <c r="AH814" s="32">
        <v>3</v>
      </c>
      <c r="AI814" s="19">
        <v>2</v>
      </c>
      <c r="AJ814" s="19">
        <v>1</v>
      </c>
      <c r="AK814" s="19">
        <v>0</v>
      </c>
      <c r="AL814" s="19">
        <v>6</v>
      </c>
      <c r="AM814" s="32">
        <v>0</v>
      </c>
      <c r="AN814" s="32">
        <v>0</v>
      </c>
      <c r="AO814" s="32">
        <v>0</v>
      </c>
      <c r="AP814" s="32">
        <v>0.25</v>
      </c>
      <c r="AQ814" s="32">
        <v>3000</v>
      </c>
      <c r="AR814" s="32">
        <v>0.5</v>
      </c>
      <c r="AS814" s="32">
        <v>0</v>
      </c>
      <c r="AT814" s="19">
        <v>0</v>
      </c>
      <c r="AU814" s="32">
        <v>0</v>
      </c>
      <c r="AV814" s="32"/>
      <c r="AW814" s="35" t="s">
        <v>205</v>
      </c>
      <c r="AX814" s="32" t="s">
        <v>1802</v>
      </c>
      <c r="AY814" s="32">
        <v>10000006</v>
      </c>
      <c r="AZ814" s="32">
        <v>21100010</v>
      </c>
      <c r="BA814" s="35" t="s">
        <v>206</v>
      </c>
      <c r="BB814" s="35">
        <v>0</v>
      </c>
      <c r="BC814" s="31">
        <v>0</v>
      </c>
      <c r="BD814" s="31">
        <v>0</v>
      </c>
      <c r="BE814" s="185" t="str">
        <f t="shared" ref="BE814" si="65">"立即对目标范围内的怪物造成"&amp;X814*100&amp;"%攻击伤害+"&amp;Z814&amp;"点固定伤害"</f>
        <v>立即对目标范围内的怪物造成250%攻击伤害+2000点固定伤害</v>
      </c>
      <c r="BF814" s="185" t="s">
        <v>1894</v>
      </c>
      <c r="BG814" s="32">
        <v>0</v>
      </c>
      <c r="BH814" s="21">
        <v>0</v>
      </c>
      <c r="BI814" s="32">
        <v>0</v>
      </c>
      <c r="BJ814" s="32">
        <v>0</v>
      </c>
      <c r="BK814" s="32">
        <v>0</v>
      </c>
      <c r="BL814" s="32">
        <v>0</v>
      </c>
      <c r="BM814" s="25">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62021514</v>
      </c>
      <c r="D815" s="30" t="s">
        <v>1895</v>
      </c>
      <c r="E815" s="30" t="s">
        <v>1896</v>
      </c>
      <c r="F815" s="21">
        <v>1</v>
      </c>
      <c r="G815" s="21">
        <v>60010500</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1897</v>
      </c>
      <c r="BC815" s="31">
        <v>0</v>
      </c>
      <c r="BD815" s="31">
        <v>0</v>
      </c>
      <c r="BE815" s="33" t="s">
        <v>1898</v>
      </c>
      <c r="BF815" s="33" t="s">
        <v>1899</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21">
        <v>62021515</v>
      </c>
      <c r="D816" s="30" t="s">
        <v>1895</v>
      </c>
      <c r="E816" s="30" t="s">
        <v>1896</v>
      </c>
      <c r="F816" s="21">
        <v>1</v>
      </c>
      <c r="G816" s="21">
        <v>60011301</v>
      </c>
      <c r="H816" s="32">
        <v>0</v>
      </c>
      <c r="I816" s="31">
        <v>0</v>
      </c>
      <c r="J816" s="32">
        <v>1</v>
      </c>
      <c r="K816" s="32">
        <v>0</v>
      </c>
      <c r="L816" s="32">
        <v>0</v>
      </c>
      <c r="M816" s="21">
        <v>0</v>
      </c>
      <c r="N816" s="21">
        <v>0</v>
      </c>
      <c r="O816" s="21">
        <v>5</v>
      </c>
      <c r="P816" s="21">
        <v>0</v>
      </c>
      <c r="Q816" s="21">
        <v>0</v>
      </c>
      <c r="R816" s="21">
        <v>0</v>
      </c>
      <c r="S816" s="19">
        <v>0</v>
      </c>
      <c r="T816" s="21">
        <v>0</v>
      </c>
      <c r="U816" s="21">
        <v>1</v>
      </c>
      <c r="V816" s="21">
        <v>2</v>
      </c>
      <c r="W816" s="21">
        <v>0</v>
      </c>
      <c r="X816" s="21">
        <v>0</v>
      </c>
      <c r="Y816" s="19">
        <v>0</v>
      </c>
      <c r="Z816" s="21">
        <v>0</v>
      </c>
      <c r="AA816" s="21">
        <v>0</v>
      </c>
      <c r="AB816" s="21">
        <v>0</v>
      </c>
      <c r="AC816" s="21">
        <v>0</v>
      </c>
      <c r="AD816" s="21">
        <v>0</v>
      </c>
      <c r="AE816" s="21">
        <v>0</v>
      </c>
      <c r="AF816" s="21">
        <v>9</v>
      </c>
      <c r="AG816" s="21">
        <v>2</v>
      </c>
      <c r="AH816" s="21" t="s">
        <v>219</v>
      </c>
      <c r="AI816" s="19">
        <v>2</v>
      </c>
      <c r="AJ816" s="19">
        <v>2</v>
      </c>
      <c r="AK816" s="19">
        <v>0</v>
      </c>
      <c r="AL816" s="19">
        <v>1.5</v>
      </c>
      <c r="AM816" s="21">
        <v>0</v>
      </c>
      <c r="AN816" s="21">
        <v>0</v>
      </c>
      <c r="AO816" s="21">
        <v>0</v>
      </c>
      <c r="AP816" s="21">
        <v>0</v>
      </c>
      <c r="AQ816" s="21">
        <v>3000</v>
      </c>
      <c r="AR816" s="21">
        <v>0</v>
      </c>
      <c r="AS816" s="21">
        <v>0</v>
      </c>
      <c r="AT816" s="19">
        <v>0</v>
      </c>
      <c r="AU816" s="21" t="s">
        <v>204</v>
      </c>
      <c r="AV816" s="21"/>
      <c r="AW816" s="30" t="s">
        <v>205</v>
      </c>
      <c r="AX816" s="21">
        <v>0</v>
      </c>
      <c r="AY816" s="32">
        <v>0</v>
      </c>
      <c r="AZ816" s="32">
        <v>0</v>
      </c>
      <c r="BA816" s="30" t="s">
        <v>206</v>
      </c>
      <c r="BB816" s="21" t="s">
        <v>1900</v>
      </c>
      <c r="BC816" s="31">
        <v>0</v>
      </c>
      <c r="BD816" s="31">
        <v>0</v>
      </c>
      <c r="BE816" s="33" t="s">
        <v>1901</v>
      </c>
      <c r="BF816" s="33" t="s">
        <v>1902</v>
      </c>
      <c r="BG816" s="21">
        <v>0</v>
      </c>
      <c r="BH816" s="21">
        <v>0</v>
      </c>
      <c r="BI816" s="21">
        <v>0</v>
      </c>
      <c r="BJ816" s="21">
        <v>0</v>
      </c>
      <c r="BK816" s="21">
        <v>0</v>
      </c>
      <c r="BL816" s="32">
        <v>0</v>
      </c>
      <c r="BM816" s="21">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62022101</v>
      </c>
      <c r="D817" s="20" t="s">
        <v>1903</v>
      </c>
      <c r="E817" s="20" t="s">
        <v>1904</v>
      </c>
      <c r="F817" s="21">
        <v>0</v>
      </c>
      <c r="G817" s="32">
        <v>62022101</v>
      </c>
      <c r="H817" s="32">
        <v>62022102</v>
      </c>
      <c r="I817" s="19">
        <v>0</v>
      </c>
      <c r="J817" s="21">
        <v>18</v>
      </c>
      <c r="K817" s="21">
        <v>5</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29" t="s">
        <v>1905</v>
      </c>
      <c r="AV817" s="19"/>
      <c r="AW817" s="20" t="s">
        <v>262</v>
      </c>
      <c r="AX817" s="19" t="s">
        <v>1802</v>
      </c>
      <c r="AY817" s="19">
        <v>21102010</v>
      </c>
      <c r="AZ817" s="19">
        <v>0</v>
      </c>
      <c r="BA817" s="20" t="s">
        <v>206</v>
      </c>
      <c r="BB817" s="19">
        <v>0</v>
      </c>
      <c r="BC817" s="31">
        <v>0</v>
      </c>
      <c r="BD817" s="31">
        <v>0</v>
      </c>
      <c r="BE817" s="185" t="str">
        <f>"立即对当前目标怪物造成"&amp;X817*100&amp;"%攻击伤害+"&amp;Z817&amp;"点固定伤害,并使目标眩晕1.5秒和双防降低50%,持续6秒"</f>
        <v>立即对当前目标怪物造成250%攻击伤害+750点固定伤害,并使目标眩晕1.5秒和双防降低50%,持续6秒</v>
      </c>
      <c r="BF817" s="185" t="s">
        <v>1906</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62022102</v>
      </c>
      <c r="D818" s="20" t="s">
        <v>1903</v>
      </c>
      <c r="E818" s="20" t="s">
        <v>1904</v>
      </c>
      <c r="F818" s="21">
        <v>1</v>
      </c>
      <c r="G818" s="32">
        <v>62022101</v>
      </c>
      <c r="H818" s="32">
        <v>62022103</v>
      </c>
      <c r="I818" s="19">
        <v>0</v>
      </c>
      <c r="J818" s="21">
        <v>27</v>
      </c>
      <c r="K818" s="21">
        <v>2</v>
      </c>
      <c r="L818" s="21">
        <v>0</v>
      </c>
      <c r="M818" s="19">
        <v>0</v>
      </c>
      <c r="N818" s="19">
        <v>0</v>
      </c>
      <c r="O818" s="19">
        <v>1</v>
      </c>
      <c r="P818" s="19">
        <v>0</v>
      </c>
      <c r="Q818" s="19">
        <v>0</v>
      </c>
      <c r="R818" s="19">
        <v>0</v>
      </c>
      <c r="S818" s="19">
        <v>0</v>
      </c>
      <c r="T818" s="19">
        <v>0</v>
      </c>
      <c r="U818" s="21">
        <v>1</v>
      </c>
      <c r="V818" s="19">
        <v>2</v>
      </c>
      <c r="W818" s="19">
        <v>0</v>
      </c>
      <c r="X818" s="32">
        <v>2.5</v>
      </c>
      <c r="Y818" s="19">
        <v>0</v>
      </c>
      <c r="Z818" s="32">
        <v>750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29" t="s">
        <v>1905</v>
      </c>
      <c r="AV818" s="19"/>
      <c r="AW818" s="20" t="s">
        <v>262</v>
      </c>
      <c r="AX818" s="19" t="s">
        <v>1802</v>
      </c>
      <c r="AY818" s="19">
        <v>21102010</v>
      </c>
      <c r="AZ818" s="19">
        <v>0</v>
      </c>
      <c r="BA818" s="20" t="s">
        <v>206</v>
      </c>
      <c r="BB818" s="19">
        <v>0</v>
      </c>
      <c r="BC818" s="31">
        <v>0</v>
      </c>
      <c r="BD818" s="31">
        <v>0</v>
      </c>
      <c r="BE818" s="185" t="str">
        <f t="shared" ref="BE818:BE822" si="66">"立即对当前目标怪物造成"&amp;X818*100&amp;"%攻击伤害+"&amp;Z818&amp;"点固定伤害,并使目标眩晕1.5秒和双防降低50%,持续6秒"</f>
        <v>立即对当前目标怪物造成250%攻击伤害+750点固定伤害,并使目标眩晕1.5秒和双防降低50%,持续6秒</v>
      </c>
      <c r="BF818" s="185" t="s">
        <v>1906</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62022103</v>
      </c>
      <c r="D819" s="20" t="s">
        <v>1903</v>
      </c>
      <c r="E819" s="20" t="s">
        <v>1904</v>
      </c>
      <c r="F819" s="21">
        <v>2</v>
      </c>
      <c r="G819" s="32">
        <v>62022101</v>
      </c>
      <c r="H819" s="32">
        <v>62022104</v>
      </c>
      <c r="I819" s="19">
        <v>0</v>
      </c>
      <c r="J819" s="21">
        <v>32</v>
      </c>
      <c r="K819" s="21">
        <v>2</v>
      </c>
      <c r="L819" s="21">
        <v>0</v>
      </c>
      <c r="M819" s="19">
        <v>0</v>
      </c>
      <c r="N819" s="19">
        <v>0</v>
      </c>
      <c r="O819" s="19">
        <v>1</v>
      </c>
      <c r="P819" s="19">
        <v>0</v>
      </c>
      <c r="Q819" s="19">
        <v>0</v>
      </c>
      <c r="R819" s="19">
        <v>0</v>
      </c>
      <c r="S819" s="19">
        <v>0</v>
      </c>
      <c r="T819" s="19">
        <v>0</v>
      </c>
      <c r="U819" s="21">
        <v>1</v>
      </c>
      <c r="V819" s="19">
        <v>2</v>
      </c>
      <c r="W819" s="19">
        <v>0</v>
      </c>
      <c r="X819" s="32">
        <v>2.75</v>
      </c>
      <c r="Y819" s="19">
        <v>0</v>
      </c>
      <c r="Z819" s="32">
        <v>1500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29" t="s">
        <v>1905</v>
      </c>
      <c r="AV819" s="19"/>
      <c r="AW819" s="20" t="s">
        <v>262</v>
      </c>
      <c r="AX819" s="19" t="s">
        <v>1802</v>
      </c>
      <c r="AY819" s="19">
        <v>21102010</v>
      </c>
      <c r="AZ819" s="19">
        <v>0</v>
      </c>
      <c r="BA819" s="20" t="s">
        <v>206</v>
      </c>
      <c r="BB819" s="19">
        <v>0</v>
      </c>
      <c r="BC819" s="31">
        <v>0</v>
      </c>
      <c r="BD819" s="31">
        <v>0</v>
      </c>
      <c r="BE819" s="185" t="str">
        <f t="shared" si="66"/>
        <v>立即对当前目标怪物造成275%攻击伤害+1500点固定伤害,并使目标眩晕1.5秒和双防降低50%,持续6秒</v>
      </c>
      <c r="BF819" s="185" t="s">
        <v>1907</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62022104</v>
      </c>
      <c r="D820" s="20" t="s">
        <v>1903</v>
      </c>
      <c r="E820" s="20" t="s">
        <v>1904</v>
      </c>
      <c r="F820" s="21">
        <v>3</v>
      </c>
      <c r="G820" s="32">
        <v>62022101</v>
      </c>
      <c r="H820" s="19">
        <v>0</v>
      </c>
      <c r="I820" s="19">
        <v>0</v>
      </c>
      <c r="J820" s="21">
        <v>0</v>
      </c>
      <c r="K820" s="182">
        <v>0</v>
      </c>
      <c r="L820" s="21">
        <v>0</v>
      </c>
      <c r="M820" s="19">
        <v>0</v>
      </c>
      <c r="N820" s="19">
        <v>0</v>
      </c>
      <c r="O820" s="19">
        <v>1</v>
      </c>
      <c r="P820" s="19">
        <v>0</v>
      </c>
      <c r="Q820" s="19">
        <v>0</v>
      </c>
      <c r="R820" s="19">
        <v>0</v>
      </c>
      <c r="S820" s="19">
        <v>0</v>
      </c>
      <c r="T820" s="19">
        <v>0</v>
      </c>
      <c r="U820" s="21">
        <v>1</v>
      </c>
      <c r="V820" s="19">
        <v>2</v>
      </c>
      <c r="W820" s="19">
        <v>0</v>
      </c>
      <c r="X820" s="32">
        <v>3</v>
      </c>
      <c r="Y820" s="19">
        <v>0</v>
      </c>
      <c r="Z820" s="32">
        <v>2250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29" t="s">
        <v>1905</v>
      </c>
      <c r="AV820" s="19"/>
      <c r="AW820" s="20" t="s">
        <v>262</v>
      </c>
      <c r="AX820" s="19" t="s">
        <v>1802</v>
      </c>
      <c r="AY820" s="19">
        <v>21102010</v>
      </c>
      <c r="AZ820" s="19">
        <v>0</v>
      </c>
      <c r="BA820" s="20" t="s">
        <v>206</v>
      </c>
      <c r="BB820" s="19">
        <v>0</v>
      </c>
      <c r="BC820" s="31">
        <v>0</v>
      </c>
      <c r="BD820" s="31">
        <v>0</v>
      </c>
      <c r="BE820" s="185" t="str">
        <f t="shared" si="66"/>
        <v>立即对当前目标怪物造成300%攻击伤害+2250点固定伤害,并使目标眩晕1.5秒和双防降低50%,持续6秒</v>
      </c>
      <c r="BF820" s="185" t="s">
        <v>1908</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62022105</v>
      </c>
      <c r="D821" s="20" t="s">
        <v>1903</v>
      </c>
      <c r="E821" s="20" t="s">
        <v>1904</v>
      </c>
      <c r="F821" s="21">
        <v>4</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3.25</v>
      </c>
      <c r="Y821" s="19">
        <v>0</v>
      </c>
      <c r="Z821" s="32">
        <v>3250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29" t="s">
        <v>1905</v>
      </c>
      <c r="AV821" s="19"/>
      <c r="AW821" s="20" t="s">
        <v>262</v>
      </c>
      <c r="AX821" s="19" t="s">
        <v>1802</v>
      </c>
      <c r="AY821" s="19">
        <v>21102010</v>
      </c>
      <c r="AZ821" s="19">
        <v>0</v>
      </c>
      <c r="BA821" s="20" t="s">
        <v>206</v>
      </c>
      <c r="BB821" s="19">
        <v>0</v>
      </c>
      <c r="BC821" s="31">
        <v>0</v>
      </c>
      <c r="BD821" s="31">
        <v>0</v>
      </c>
      <c r="BE821" s="185" t="str">
        <f t="shared" si="66"/>
        <v>立即对当前目标怪物造成325%攻击伤害+3250点固定伤害,并使目标眩晕1.5秒和双防降低50%,持续6秒</v>
      </c>
      <c r="BF821" s="185" t="s">
        <v>1909</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62022106</v>
      </c>
      <c r="D822" s="20" t="s">
        <v>1903</v>
      </c>
      <c r="E822" s="20" t="s">
        <v>1904</v>
      </c>
      <c r="F822" s="21">
        <v>5</v>
      </c>
      <c r="G822" s="32">
        <v>62022101</v>
      </c>
      <c r="H822" s="19">
        <v>0</v>
      </c>
      <c r="I822" s="19">
        <v>0</v>
      </c>
      <c r="J822" s="21">
        <v>0</v>
      </c>
      <c r="K822" s="21">
        <v>0</v>
      </c>
      <c r="L822" s="21">
        <v>0</v>
      </c>
      <c r="M822" s="19">
        <v>0</v>
      </c>
      <c r="N822" s="19">
        <v>0</v>
      </c>
      <c r="O822" s="19">
        <v>1</v>
      </c>
      <c r="P822" s="19">
        <v>0</v>
      </c>
      <c r="Q822" s="19">
        <v>0</v>
      </c>
      <c r="R822" s="19">
        <v>0</v>
      </c>
      <c r="S822" s="19">
        <v>0</v>
      </c>
      <c r="T822" s="19">
        <v>0</v>
      </c>
      <c r="U822" s="21">
        <v>1</v>
      </c>
      <c r="V822" s="19">
        <v>2</v>
      </c>
      <c r="W822" s="19">
        <v>0</v>
      </c>
      <c r="X822" s="32">
        <v>3.5</v>
      </c>
      <c r="Y822" s="19">
        <v>0</v>
      </c>
      <c r="Z822" s="32">
        <v>4250</v>
      </c>
      <c r="AA822" s="19">
        <v>0</v>
      </c>
      <c r="AB822" s="19">
        <v>0</v>
      </c>
      <c r="AC822" s="19">
        <v>0</v>
      </c>
      <c r="AD822" s="19">
        <v>0</v>
      </c>
      <c r="AE822" s="19">
        <v>0</v>
      </c>
      <c r="AF822" s="19">
        <v>10</v>
      </c>
      <c r="AG822" s="19">
        <v>0</v>
      </c>
      <c r="AH822" s="19">
        <v>0</v>
      </c>
      <c r="AI822" s="19">
        <v>7</v>
      </c>
      <c r="AJ822" s="19">
        <v>0</v>
      </c>
      <c r="AK822" s="19">
        <v>0</v>
      </c>
      <c r="AL822" s="19">
        <v>9</v>
      </c>
      <c r="AM822" s="19">
        <v>0</v>
      </c>
      <c r="AN822" s="19">
        <v>0</v>
      </c>
      <c r="AO822" s="19">
        <v>0</v>
      </c>
      <c r="AP822" s="19">
        <v>0.25</v>
      </c>
      <c r="AQ822" s="19">
        <v>1000</v>
      </c>
      <c r="AR822" s="19">
        <v>0</v>
      </c>
      <c r="AS822" s="19">
        <v>0</v>
      </c>
      <c r="AT822" s="19">
        <v>0</v>
      </c>
      <c r="AU822" s="329" t="s">
        <v>1905</v>
      </c>
      <c r="AV822" s="19"/>
      <c r="AW822" s="20" t="s">
        <v>262</v>
      </c>
      <c r="AX822" s="19" t="s">
        <v>1802</v>
      </c>
      <c r="AY822" s="19">
        <v>21102010</v>
      </c>
      <c r="AZ822" s="19">
        <v>0</v>
      </c>
      <c r="BA822" s="20" t="s">
        <v>206</v>
      </c>
      <c r="BB822" s="19">
        <v>0</v>
      </c>
      <c r="BC822" s="31">
        <v>0</v>
      </c>
      <c r="BD822" s="31">
        <v>0</v>
      </c>
      <c r="BE822" s="185" t="str">
        <f t="shared" si="66"/>
        <v>立即对当前目标怪物造成350%攻击伤害+4250点固定伤害,并使目标眩晕1.5秒和双防降低50%,持续6秒</v>
      </c>
      <c r="BF822" s="185" t="s">
        <v>1910</v>
      </c>
      <c r="BG822" s="19">
        <v>0</v>
      </c>
      <c r="BH822" s="21">
        <v>0</v>
      </c>
      <c r="BI822" s="19">
        <v>0</v>
      </c>
      <c r="BJ822" s="19">
        <v>0</v>
      </c>
      <c r="BK822" s="19">
        <v>0</v>
      </c>
      <c r="BL822" s="19">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62022201</v>
      </c>
      <c r="D823" s="35" t="s">
        <v>1911</v>
      </c>
      <c r="E823" s="35" t="s">
        <v>1912</v>
      </c>
      <c r="F823" s="21">
        <v>0</v>
      </c>
      <c r="G823" s="32">
        <v>62022201</v>
      </c>
      <c r="H823" s="32">
        <f>C824</f>
        <v>62022202</v>
      </c>
      <c r="I823" s="31">
        <v>0</v>
      </c>
      <c r="J823" s="21">
        <v>25</v>
      </c>
      <c r="K823" s="21">
        <v>5</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1415</v>
      </c>
      <c r="AY823" s="32">
        <v>10002001</v>
      </c>
      <c r="AZ823" s="32">
        <v>21102020</v>
      </c>
      <c r="BA823" s="35" t="s">
        <v>321</v>
      </c>
      <c r="BB823" s="35" t="s">
        <v>377</v>
      </c>
      <c r="BC823" s="31">
        <v>0</v>
      </c>
      <c r="BD823" s="31">
        <v>0</v>
      </c>
      <c r="BE823" s="185" t="str">
        <f>"对目标区域释放法术,在此范围内的目标每秒造成"&amp;X823*100&amp;"%攻击伤害+"&amp;Z823&amp;"点固定伤害,并将目标移动速度降低50%,持续6秒"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1913</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62022202</v>
      </c>
      <c r="D824" s="35" t="s">
        <v>1911</v>
      </c>
      <c r="E824" s="35" t="s">
        <v>1912</v>
      </c>
      <c r="F824" s="21">
        <v>1</v>
      </c>
      <c r="G824" s="32">
        <v>62022201</v>
      </c>
      <c r="H824" s="32">
        <f t="shared" ref="H824:H825" si="67">C825</f>
        <v>62022203</v>
      </c>
      <c r="I824" s="31">
        <v>0</v>
      </c>
      <c r="J824" s="21">
        <v>32</v>
      </c>
      <c r="K824" s="21">
        <v>2</v>
      </c>
      <c r="L824" s="21">
        <v>0</v>
      </c>
      <c r="M824" s="32">
        <v>0</v>
      </c>
      <c r="N824" s="32">
        <v>0</v>
      </c>
      <c r="O824" s="32">
        <v>1</v>
      </c>
      <c r="P824" s="32">
        <v>0</v>
      </c>
      <c r="Q824" s="32">
        <v>0</v>
      </c>
      <c r="R824" s="32">
        <v>0</v>
      </c>
      <c r="S824" s="19">
        <v>0</v>
      </c>
      <c r="T824" s="31">
        <v>0</v>
      </c>
      <c r="U824" s="21">
        <v>1</v>
      </c>
      <c r="V824" s="32">
        <v>2</v>
      </c>
      <c r="W824" s="32">
        <v>0</v>
      </c>
      <c r="X824" s="32">
        <v>1.1000000000000001</v>
      </c>
      <c r="Y824" s="19">
        <v>0</v>
      </c>
      <c r="Z824" s="32">
        <v>1000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1415</v>
      </c>
      <c r="AY824" s="32">
        <v>10002001</v>
      </c>
      <c r="AZ824" s="32">
        <v>21102020</v>
      </c>
      <c r="BA824" s="35" t="s">
        <v>321</v>
      </c>
      <c r="BB824" s="35" t="s">
        <v>377</v>
      </c>
      <c r="BC824" s="31">
        <v>0</v>
      </c>
      <c r="BD824" s="31">
        <v>0</v>
      </c>
      <c r="BE824" s="185" t="str">
        <f t="shared" ref="BE824:BE828" si="68">"对目标区域释放法术,在此范围内的目标每秒造成"&amp;X824*100&amp;"%攻击伤害+"&amp;Z824&amp;"点固定伤害,并将目标移动速度降低50%,持续6秒"</f>
        <v>对目标区域释放法术,在此范围内的目标每秒造成110%攻击伤害+1000点固定伤害,并将目标移动速度降低50%,持续6秒</v>
      </c>
      <c r="BF824" s="185" t="s">
        <v>1913</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62022203</v>
      </c>
      <c r="D825" s="35" t="s">
        <v>1911</v>
      </c>
      <c r="E825" s="35" t="s">
        <v>1912</v>
      </c>
      <c r="F825" s="21">
        <v>2</v>
      </c>
      <c r="G825" s="32">
        <v>62022201</v>
      </c>
      <c r="H825" s="32">
        <f t="shared" si="67"/>
        <v>62022204</v>
      </c>
      <c r="I825" s="31">
        <v>0</v>
      </c>
      <c r="J825" s="21">
        <v>37</v>
      </c>
      <c r="K825" s="21">
        <v>2</v>
      </c>
      <c r="L825" s="21">
        <v>0</v>
      </c>
      <c r="M825" s="32">
        <v>0</v>
      </c>
      <c r="N825" s="32">
        <v>0</v>
      </c>
      <c r="O825" s="32">
        <v>1</v>
      </c>
      <c r="P825" s="32">
        <v>0</v>
      </c>
      <c r="Q825" s="32">
        <v>0</v>
      </c>
      <c r="R825" s="32">
        <v>0</v>
      </c>
      <c r="S825" s="19">
        <v>0</v>
      </c>
      <c r="T825" s="31">
        <v>0</v>
      </c>
      <c r="U825" s="21">
        <v>1</v>
      </c>
      <c r="V825" s="32">
        <v>2</v>
      </c>
      <c r="W825" s="32">
        <v>0</v>
      </c>
      <c r="X825" s="32">
        <v>1.2</v>
      </c>
      <c r="Y825" s="19">
        <v>0</v>
      </c>
      <c r="Z825" s="32">
        <v>1500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1415</v>
      </c>
      <c r="AY825" s="32">
        <v>10002001</v>
      </c>
      <c r="AZ825" s="32">
        <v>21102020</v>
      </c>
      <c r="BA825" s="35" t="s">
        <v>321</v>
      </c>
      <c r="BB825" s="35" t="s">
        <v>377</v>
      </c>
      <c r="BC825" s="31">
        <v>0</v>
      </c>
      <c r="BD825" s="31">
        <v>0</v>
      </c>
      <c r="BE825" s="185" t="str">
        <f t="shared" si="68"/>
        <v>对目标区域释放法术,在此范围内的目标每秒造成120%攻击伤害+1500点固定伤害,并将目标移动速度降低50%,持续6秒</v>
      </c>
      <c r="BF825" s="185" t="s">
        <v>1914</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62022204</v>
      </c>
      <c r="D826" s="35" t="s">
        <v>1911</v>
      </c>
      <c r="E826" s="35" t="s">
        <v>1912</v>
      </c>
      <c r="F826" s="21">
        <v>3</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1.3</v>
      </c>
      <c r="Y826" s="19">
        <v>0</v>
      </c>
      <c r="Z826" s="32">
        <v>2000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1415</v>
      </c>
      <c r="AY826" s="32">
        <v>10002001</v>
      </c>
      <c r="AZ826" s="32">
        <v>21102020</v>
      </c>
      <c r="BA826" s="35" t="s">
        <v>321</v>
      </c>
      <c r="BB826" s="35" t="s">
        <v>377</v>
      </c>
      <c r="BC826" s="31">
        <v>0</v>
      </c>
      <c r="BD826" s="31">
        <v>0</v>
      </c>
      <c r="BE826" s="185" t="str">
        <f t="shared" si="68"/>
        <v>对目标区域释放法术,在此范围内的目标每秒造成130%攻击伤害+2000点固定伤害,并将目标移动速度降低50%,持续6秒</v>
      </c>
      <c r="BF826" s="185" t="s">
        <v>1915</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62022205</v>
      </c>
      <c r="D827" s="35" t="s">
        <v>1911</v>
      </c>
      <c r="E827" s="35" t="s">
        <v>1912</v>
      </c>
      <c r="F827" s="21">
        <v>4</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1.4</v>
      </c>
      <c r="Y827" s="19">
        <v>0</v>
      </c>
      <c r="Z827" s="32">
        <v>2750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1415</v>
      </c>
      <c r="AY827" s="32">
        <v>10002001</v>
      </c>
      <c r="AZ827" s="32">
        <v>21102020</v>
      </c>
      <c r="BA827" s="35" t="s">
        <v>321</v>
      </c>
      <c r="BB827" s="35" t="s">
        <v>377</v>
      </c>
      <c r="BC827" s="31">
        <v>0</v>
      </c>
      <c r="BD827" s="31">
        <v>0</v>
      </c>
      <c r="BE827" s="185" t="str">
        <f t="shared" si="68"/>
        <v>对目标区域释放法术,在此范围内的目标每秒造成140%攻击伤害+2750点固定伤害,并将目标移动速度降低50%,持续6秒</v>
      </c>
      <c r="BF827" s="185" t="s">
        <v>1916</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62022206</v>
      </c>
      <c r="D828" s="35" t="s">
        <v>1911</v>
      </c>
      <c r="E828" s="35" t="s">
        <v>1912</v>
      </c>
      <c r="F828" s="21">
        <v>5</v>
      </c>
      <c r="G828" s="32">
        <v>62022201</v>
      </c>
      <c r="H828" s="21">
        <v>0</v>
      </c>
      <c r="I828" s="31">
        <v>0</v>
      </c>
      <c r="J828" s="21">
        <v>0</v>
      </c>
      <c r="K828" s="21">
        <v>0</v>
      </c>
      <c r="L828" s="21">
        <v>0</v>
      </c>
      <c r="M828" s="32">
        <v>0</v>
      </c>
      <c r="N828" s="32">
        <v>0</v>
      </c>
      <c r="O828" s="32">
        <v>1</v>
      </c>
      <c r="P828" s="32">
        <v>0</v>
      </c>
      <c r="Q828" s="32">
        <v>0</v>
      </c>
      <c r="R828" s="32">
        <v>0</v>
      </c>
      <c r="S828" s="19">
        <v>0</v>
      </c>
      <c r="T828" s="31">
        <v>0</v>
      </c>
      <c r="U828" s="21">
        <v>1</v>
      </c>
      <c r="V828" s="32">
        <v>2</v>
      </c>
      <c r="W828" s="32">
        <v>0</v>
      </c>
      <c r="X828" s="32">
        <v>1.5</v>
      </c>
      <c r="Y828" s="19">
        <v>0</v>
      </c>
      <c r="Z828" s="32">
        <v>3500</v>
      </c>
      <c r="AA828" s="32">
        <v>0</v>
      </c>
      <c r="AB828" s="32">
        <v>0</v>
      </c>
      <c r="AC828" s="32">
        <v>0</v>
      </c>
      <c r="AD828" s="32">
        <v>0</v>
      </c>
      <c r="AE828" s="32">
        <v>0</v>
      </c>
      <c r="AF828" s="19">
        <v>9</v>
      </c>
      <c r="AG828" s="32">
        <v>1</v>
      </c>
      <c r="AH828" s="32">
        <v>3</v>
      </c>
      <c r="AI828" s="19">
        <v>2</v>
      </c>
      <c r="AJ828" s="19">
        <v>1</v>
      </c>
      <c r="AK828" s="19">
        <v>0</v>
      </c>
      <c r="AL828" s="19">
        <v>6</v>
      </c>
      <c r="AM828" s="32">
        <v>0</v>
      </c>
      <c r="AN828" s="32">
        <v>0</v>
      </c>
      <c r="AO828" s="32">
        <v>0</v>
      </c>
      <c r="AP828" s="19">
        <v>0.25</v>
      </c>
      <c r="AQ828" s="32">
        <v>6000</v>
      </c>
      <c r="AR828" s="32">
        <v>0.5</v>
      </c>
      <c r="AS828" s="32">
        <v>0</v>
      </c>
      <c r="AT828" s="19">
        <v>0</v>
      </c>
      <c r="AU828" s="32">
        <v>92023001</v>
      </c>
      <c r="AV828" s="32"/>
      <c r="AW828" s="35" t="s">
        <v>205</v>
      </c>
      <c r="AX828" s="32" t="s">
        <v>1415</v>
      </c>
      <c r="AY828" s="32">
        <v>10002001</v>
      </c>
      <c r="AZ828" s="32">
        <v>21102020</v>
      </c>
      <c r="BA828" s="35" t="s">
        <v>321</v>
      </c>
      <c r="BB828" s="35" t="s">
        <v>377</v>
      </c>
      <c r="BC828" s="31">
        <v>0</v>
      </c>
      <c r="BD828" s="31">
        <v>0</v>
      </c>
      <c r="BE828" s="185" t="str">
        <f t="shared" si="68"/>
        <v>对目标区域释放法术,在此范围内的目标每秒造成150%攻击伤害+3500点固定伤害,并将目标移动速度降低50%,持续6秒</v>
      </c>
      <c r="BF828" s="185" t="s">
        <v>1917</v>
      </c>
      <c r="BG828" s="32">
        <v>0</v>
      </c>
      <c r="BH828" s="21">
        <v>0</v>
      </c>
      <c r="BI828" s="32">
        <v>0</v>
      </c>
      <c r="BJ828" s="32">
        <v>0</v>
      </c>
      <c r="BK828" s="32">
        <v>0</v>
      </c>
      <c r="BL828" s="32">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62022301</v>
      </c>
      <c r="D829" s="20" t="s">
        <v>1918</v>
      </c>
      <c r="E829" s="20" t="s">
        <v>1919</v>
      </c>
      <c r="F829" s="21">
        <v>0</v>
      </c>
      <c r="G829" s="32">
        <v>62022301</v>
      </c>
      <c r="H829" s="32">
        <v>62022302</v>
      </c>
      <c r="I829" s="19">
        <v>0</v>
      </c>
      <c r="J829" s="21">
        <v>30</v>
      </c>
      <c r="K829" s="32">
        <v>5</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39" t="s">
        <v>1920</v>
      </c>
      <c r="AV829" s="32"/>
      <c r="AW829" s="20" t="s">
        <v>262</v>
      </c>
      <c r="AX829" s="19" t="s">
        <v>1921</v>
      </c>
      <c r="AY829" s="19" t="s">
        <v>204</v>
      </c>
      <c r="AZ829" s="19">
        <v>0</v>
      </c>
      <c r="BA829" s="20" t="s">
        <v>206</v>
      </c>
      <c r="BB829" s="19">
        <v>0</v>
      </c>
      <c r="BC829" s="31">
        <v>0</v>
      </c>
      <c r="BD829" s="31">
        <v>0</v>
      </c>
      <c r="BE829" s="185" t="str">
        <f t="shared" ref="BE829" si="69">"给目标释放一个持续8秒的灼烧效果,此效果每2秒会自动释放一个范围伤害,对敌方目标造成"&amp;X835*100&amp;"%攻击伤害+"&amp;Z835&amp;"点固定伤害,如果目标为怪物,会对其额外造成50%的伤害"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9" s="185" t="s">
        <v>1922</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62022302</v>
      </c>
      <c r="D830" s="20" t="s">
        <v>1918</v>
      </c>
      <c r="E830" s="20" t="s">
        <v>1919</v>
      </c>
      <c r="F830" s="21">
        <v>1</v>
      </c>
      <c r="G830" s="32">
        <v>62022301</v>
      </c>
      <c r="H830" s="32">
        <v>62022303</v>
      </c>
      <c r="I830" s="19">
        <v>0</v>
      </c>
      <c r="J830" s="21">
        <v>37</v>
      </c>
      <c r="K830" s="32">
        <v>2</v>
      </c>
      <c r="L830" s="21">
        <v>0</v>
      </c>
      <c r="M830" s="19">
        <v>0</v>
      </c>
      <c r="N830" s="19">
        <v>0</v>
      </c>
      <c r="O830" s="19">
        <v>1</v>
      </c>
      <c r="P830" s="19">
        <v>0</v>
      </c>
      <c r="Q830" s="19">
        <v>0</v>
      </c>
      <c r="R830" s="19">
        <v>0</v>
      </c>
      <c r="S830" s="19">
        <v>0</v>
      </c>
      <c r="T830" s="19">
        <v>0</v>
      </c>
      <c r="U830" s="21">
        <v>1</v>
      </c>
      <c r="V830" s="19">
        <v>2</v>
      </c>
      <c r="W830" s="19">
        <v>0</v>
      </c>
      <c r="X830" s="32">
        <v>2</v>
      </c>
      <c r="Y830" s="19">
        <v>0</v>
      </c>
      <c r="Z830" s="32">
        <v>1500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39" t="s">
        <v>1920</v>
      </c>
      <c r="AV830" s="32"/>
      <c r="AW830" s="20" t="s">
        <v>262</v>
      </c>
      <c r="AX830" s="19" t="s">
        <v>1921</v>
      </c>
      <c r="AY830" s="19" t="s">
        <v>204</v>
      </c>
      <c r="AZ830" s="19">
        <v>0</v>
      </c>
      <c r="BA830" s="20" t="s">
        <v>206</v>
      </c>
      <c r="BB830" s="19">
        <v>0</v>
      </c>
      <c r="BC830" s="31">
        <v>0</v>
      </c>
      <c r="BD830" s="31">
        <v>0</v>
      </c>
      <c r="BE830" s="185" t="str">
        <f>"给目标释放一个持续8秒的灼烧效果,此效果每2秒会自动释放一个范围伤害,对敌方目标造成"&amp;X835*100&amp;"%攻击伤害+"&amp;Z835&amp;"点固定伤害,如果目标为怪物,会对其额外造成50%的伤害"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30" s="185" t="s">
        <v>1923</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62022303</v>
      </c>
      <c r="D831" s="20" t="s">
        <v>1918</v>
      </c>
      <c r="E831" s="20" t="s">
        <v>1919</v>
      </c>
      <c r="F831" s="21">
        <v>2</v>
      </c>
      <c r="G831" s="32">
        <v>62022301</v>
      </c>
      <c r="H831" s="32">
        <v>62022304</v>
      </c>
      <c r="I831" s="19">
        <v>0</v>
      </c>
      <c r="J831" s="21">
        <v>42</v>
      </c>
      <c r="K831" s="32">
        <v>2</v>
      </c>
      <c r="L831" s="21">
        <v>0</v>
      </c>
      <c r="M831" s="19">
        <v>0</v>
      </c>
      <c r="N831" s="19">
        <v>0</v>
      </c>
      <c r="O831" s="19">
        <v>1</v>
      </c>
      <c r="P831" s="19">
        <v>0</v>
      </c>
      <c r="Q831" s="19">
        <v>0</v>
      </c>
      <c r="R831" s="19">
        <v>0</v>
      </c>
      <c r="S831" s="19">
        <v>0</v>
      </c>
      <c r="T831" s="19">
        <v>0</v>
      </c>
      <c r="U831" s="21">
        <v>1</v>
      </c>
      <c r="V831" s="19">
        <v>2</v>
      </c>
      <c r="W831" s="19">
        <v>0</v>
      </c>
      <c r="X831" s="32">
        <v>2.25</v>
      </c>
      <c r="Y831" s="19">
        <v>0</v>
      </c>
      <c r="Z831" s="32">
        <v>2000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39" t="s">
        <v>1924</v>
      </c>
      <c r="AV831" s="32"/>
      <c r="AW831" s="20" t="s">
        <v>262</v>
      </c>
      <c r="AX831" s="19" t="s">
        <v>1921</v>
      </c>
      <c r="AY831" s="19" t="s">
        <v>204</v>
      </c>
      <c r="AZ831" s="19">
        <v>0</v>
      </c>
      <c r="BA831" s="20" t="s">
        <v>206</v>
      </c>
      <c r="BB831" s="19">
        <v>0</v>
      </c>
      <c r="BC831" s="31">
        <v>0</v>
      </c>
      <c r="BD831" s="31">
        <v>0</v>
      </c>
      <c r="BE831" s="185" t="str">
        <f>"给目标释放一个持续8秒的灼烧效果,此效果每2秒会自动释放一个范围伤害,对敌方目标造成"&amp;X836*100&amp;"%攻击伤害+"&amp;Z836&amp;"点固定伤害,如果目标为怪物,会对其额外造成50%的伤害"</f>
        <v>给目标释放一个持续8秒的灼烧效果,此效果每2秒会自动释放一个范围伤害,对敌方目标造成225%攻击伤害+1800点固定伤害,如果目标为怪物,会对其额外造成50%的伤害</v>
      </c>
      <c r="BF831" s="185" t="s">
        <v>1925</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62022304</v>
      </c>
      <c r="D832" s="20" t="s">
        <v>1918</v>
      </c>
      <c r="E832" s="20" t="s">
        <v>1919</v>
      </c>
      <c r="F832" s="21">
        <v>3</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2.5</v>
      </c>
      <c r="Y832" s="19">
        <v>0</v>
      </c>
      <c r="Z832" s="32">
        <v>2500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39" t="s">
        <v>1926</v>
      </c>
      <c r="AV832" s="32"/>
      <c r="AW832" s="20" t="s">
        <v>262</v>
      </c>
      <c r="AX832" s="19" t="s">
        <v>1921</v>
      </c>
      <c r="AY832" s="19" t="s">
        <v>204</v>
      </c>
      <c r="AZ832" s="19">
        <v>0</v>
      </c>
      <c r="BA832" s="20" t="s">
        <v>206</v>
      </c>
      <c r="BB832" s="19">
        <v>0</v>
      </c>
      <c r="BC832" s="31">
        <v>0</v>
      </c>
      <c r="BD832" s="31">
        <v>0</v>
      </c>
      <c r="BE832" s="185" t="str">
        <f>"给目标释放一个持续8秒的灼烧效果,此效果每2秒会自动释放一个范围伤害,对敌方目标造成"&amp;X837*100&amp;"%攻击伤害+"&amp;Z837&amp;"点固定伤害,如果目标为怪物,会对其额外造成50%的伤害"</f>
        <v>给目标释放一个持续8秒的灼烧效果,此效果每2秒会自动释放一个范围伤害,对敌方目标造成250%攻击伤害+2800点固定伤害,如果目标为怪物,会对其额外造成50%的伤害</v>
      </c>
      <c r="BF832" s="185" t="s">
        <v>1927</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62022305</v>
      </c>
      <c r="D833" s="20" t="s">
        <v>1918</v>
      </c>
      <c r="E833" s="20" t="s">
        <v>1919</v>
      </c>
      <c r="F833" s="21">
        <v>4</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2.75</v>
      </c>
      <c r="Y833" s="19">
        <v>0</v>
      </c>
      <c r="Z833" s="32">
        <v>3000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39" t="s">
        <v>1928</v>
      </c>
      <c r="AV833" s="32"/>
      <c r="AW833" s="20" t="s">
        <v>262</v>
      </c>
      <c r="AX833" s="19" t="s">
        <v>1921</v>
      </c>
      <c r="AY833" s="19" t="s">
        <v>204</v>
      </c>
      <c r="AZ833" s="19">
        <v>0</v>
      </c>
      <c r="BA833" s="20" t="s">
        <v>206</v>
      </c>
      <c r="BB833" s="19">
        <v>0</v>
      </c>
      <c r="BC833" s="31">
        <v>0</v>
      </c>
      <c r="BD833" s="31">
        <v>0</v>
      </c>
      <c r="BE833" s="185" t="str">
        <f>"给目标释放一个持续8秒的灼烧效果,此效果每2秒会自动释放一个范围伤害,对敌方目标造成"&amp;X838*100&amp;"%攻击伤害+"&amp;Z838&amp;"点固定伤害,如果目标为怪物,会对其额外造成50%的伤害"</f>
        <v>给目标释放一个持续8秒的灼烧效果,此效果每2秒会自动释放一个范围伤害,对敌方目标造成275%攻击伤害+4000点固定伤害,如果目标为怪物,会对其额外造成50%的伤害</v>
      </c>
      <c r="BF833" s="185" t="s">
        <v>1929</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20.100000000000001" customHeight="1">
      <c r="C834" s="32">
        <v>62022306</v>
      </c>
      <c r="D834" s="20" t="s">
        <v>1918</v>
      </c>
      <c r="E834" s="20" t="s">
        <v>1919</v>
      </c>
      <c r="F834" s="21">
        <v>5</v>
      </c>
      <c r="G834" s="32">
        <v>62022301</v>
      </c>
      <c r="H834" s="19">
        <v>0</v>
      </c>
      <c r="I834" s="19">
        <v>0</v>
      </c>
      <c r="J834" s="32">
        <v>0</v>
      </c>
      <c r="K834" s="32">
        <v>0</v>
      </c>
      <c r="L834" s="21">
        <v>0</v>
      </c>
      <c r="M834" s="19">
        <v>0</v>
      </c>
      <c r="N834" s="19">
        <v>0</v>
      </c>
      <c r="O834" s="19">
        <v>1</v>
      </c>
      <c r="P834" s="19">
        <v>0</v>
      </c>
      <c r="Q834" s="19">
        <v>0</v>
      </c>
      <c r="R834" s="19">
        <v>0</v>
      </c>
      <c r="S834" s="19">
        <v>0</v>
      </c>
      <c r="T834" s="19">
        <v>0</v>
      </c>
      <c r="U834" s="21">
        <v>1</v>
      </c>
      <c r="V834" s="19">
        <v>2</v>
      </c>
      <c r="W834" s="19">
        <v>0</v>
      </c>
      <c r="X834" s="32">
        <v>3</v>
      </c>
      <c r="Y834" s="19">
        <v>0</v>
      </c>
      <c r="Z834" s="32">
        <v>3500</v>
      </c>
      <c r="AA834" s="19">
        <v>0</v>
      </c>
      <c r="AB834" s="19">
        <v>0</v>
      </c>
      <c r="AC834" s="19">
        <v>0</v>
      </c>
      <c r="AD834" s="19">
        <v>0</v>
      </c>
      <c r="AE834" s="19">
        <v>0</v>
      </c>
      <c r="AF834" s="19">
        <v>15</v>
      </c>
      <c r="AG834" s="19">
        <v>0</v>
      </c>
      <c r="AH834" s="19">
        <v>0</v>
      </c>
      <c r="AI834" s="19">
        <v>7</v>
      </c>
      <c r="AJ834" s="19">
        <v>0</v>
      </c>
      <c r="AK834" s="19">
        <v>0</v>
      </c>
      <c r="AL834" s="19">
        <v>8</v>
      </c>
      <c r="AM834" s="19">
        <v>0</v>
      </c>
      <c r="AN834" s="19">
        <v>0</v>
      </c>
      <c r="AO834" s="19">
        <v>0</v>
      </c>
      <c r="AP834" s="19">
        <v>0.25</v>
      </c>
      <c r="AQ834" s="19">
        <v>1000</v>
      </c>
      <c r="AR834" s="19">
        <v>0</v>
      </c>
      <c r="AS834" s="19">
        <v>0</v>
      </c>
      <c r="AT834" s="19">
        <v>0</v>
      </c>
      <c r="AU834" s="339" t="s">
        <v>1930</v>
      </c>
      <c r="AV834" s="32"/>
      <c r="AW834" s="20" t="s">
        <v>262</v>
      </c>
      <c r="AX834" s="19" t="s">
        <v>1921</v>
      </c>
      <c r="AY834" s="19" t="s">
        <v>204</v>
      </c>
      <c r="AZ834" s="19">
        <v>0</v>
      </c>
      <c r="BA834" s="20" t="s">
        <v>206</v>
      </c>
      <c r="BB834" s="19">
        <v>0</v>
      </c>
      <c r="BC834" s="31">
        <v>0</v>
      </c>
      <c r="BD834" s="31">
        <v>0</v>
      </c>
      <c r="BE834" s="185" t="str">
        <f>"给目标释放一个持续8秒的灼烧效果,此效果每2秒会自动释放一个范围伤害,对敌方目标造成"&amp;X839*100&amp;"%攻击伤害+"&amp;Z839&amp;"点固定伤害,如果目标为怪物,会对其额外造成50%的伤害"</f>
        <v>给目标释放一个持续8秒的灼烧效果,此效果每2秒会自动释放一个范围伤害,对敌方目标造成300%攻击伤害+5200点固定伤害,如果目标为怪物,会对其额外造成50%的伤害</v>
      </c>
      <c r="BF834" s="185" t="s">
        <v>1931</v>
      </c>
      <c r="BG834" s="19">
        <v>0</v>
      </c>
      <c r="BH834" s="21">
        <v>0</v>
      </c>
      <c r="BI834" s="19">
        <v>0</v>
      </c>
      <c r="BJ834" s="19">
        <v>0</v>
      </c>
      <c r="BK834" s="19">
        <v>0</v>
      </c>
      <c r="BL834" s="19">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62022311</v>
      </c>
      <c r="D835" s="35" t="s">
        <v>1932</v>
      </c>
      <c r="E835" s="35" t="s">
        <v>1933</v>
      </c>
      <c r="F835" s="21">
        <v>0</v>
      </c>
      <c r="G835" s="32">
        <v>62022401</v>
      </c>
      <c r="H835" s="32">
        <f>C836</f>
        <v>62022312</v>
      </c>
      <c r="I835" s="31">
        <v>0</v>
      </c>
      <c r="J835" s="21">
        <v>35</v>
      </c>
      <c r="K835" s="32">
        <v>0</v>
      </c>
      <c r="L835" s="21">
        <v>0</v>
      </c>
      <c r="M835" s="32">
        <v>0</v>
      </c>
      <c r="N835" s="32">
        <v>0</v>
      </c>
      <c r="O835" s="32">
        <v>1</v>
      </c>
      <c r="P835" s="32">
        <v>0</v>
      </c>
      <c r="Q835" s="32">
        <v>0</v>
      </c>
      <c r="R835" s="32">
        <v>0</v>
      </c>
      <c r="S835" s="19">
        <v>0</v>
      </c>
      <c r="T835" s="31">
        <v>0</v>
      </c>
      <c r="U835" s="21">
        <v>1</v>
      </c>
      <c r="V835" s="32">
        <v>2</v>
      </c>
      <c r="W835" s="32">
        <v>0</v>
      </c>
      <c r="X835" s="32">
        <v>2</v>
      </c>
      <c r="Y835" s="19">
        <v>0</v>
      </c>
      <c r="Z835" s="32">
        <v>900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1934</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62022312</v>
      </c>
      <c r="D836" s="35" t="s">
        <v>1932</v>
      </c>
      <c r="E836" s="35" t="s">
        <v>1933</v>
      </c>
      <c r="F836" s="21">
        <v>1</v>
      </c>
      <c r="G836" s="32">
        <v>62022401</v>
      </c>
      <c r="H836" s="32">
        <f t="shared" ref="H836:H837" si="70">C837</f>
        <v>62022313</v>
      </c>
      <c r="I836" s="31">
        <v>0</v>
      </c>
      <c r="J836" s="21">
        <v>42</v>
      </c>
      <c r="K836" s="32">
        <v>0</v>
      </c>
      <c r="L836" s="21">
        <v>0</v>
      </c>
      <c r="M836" s="32">
        <v>0</v>
      </c>
      <c r="N836" s="32">
        <v>0</v>
      </c>
      <c r="O836" s="32">
        <v>1</v>
      </c>
      <c r="P836" s="32">
        <v>0</v>
      </c>
      <c r="Q836" s="32">
        <v>0</v>
      </c>
      <c r="R836" s="32">
        <v>0</v>
      </c>
      <c r="S836" s="19">
        <v>0</v>
      </c>
      <c r="T836" s="31">
        <v>0</v>
      </c>
      <c r="U836" s="21">
        <v>1</v>
      </c>
      <c r="V836" s="32">
        <v>2</v>
      </c>
      <c r="W836" s="32">
        <v>0</v>
      </c>
      <c r="X836" s="32">
        <v>2.25</v>
      </c>
      <c r="Y836" s="19">
        <v>0</v>
      </c>
      <c r="Z836" s="32">
        <v>1800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1934</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62022313</v>
      </c>
      <c r="D837" s="35" t="s">
        <v>1932</v>
      </c>
      <c r="E837" s="35" t="s">
        <v>1933</v>
      </c>
      <c r="F837" s="21">
        <v>2</v>
      </c>
      <c r="G837" s="32">
        <v>62022401</v>
      </c>
      <c r="H837" s="32">
        <f t="shared" si="70"/>
        <v>62022314</v>
      </c>
      <c r="I837" s="31">
        <v>0</v>
      </c>
      <c r="J837" s="21">
        <v>47</v>
      </c>
      <c r="K837" s="32">
        <v>0</v>
      </c>
      <c r="L837" s="21">
        <v>0</v>
      </c>
      <c r="M837" s="32">
        <v>0</v>
      </c>
      <c r="N837" s="32">
        <v>0</v>
      </c>
      <c r="O837" s="32">
        <v>1</v>
      </c>
      <c r="P837" s="32">
        <v>0</v>
      </c>
      <c r="Q837" s="32">
        <v>0</v>
      </c>
      <c r="R837" s="32">
        <v>0</v>
      </c>
      <c r="S837" s="19">
        <v>0</v>
      </c>
      <c r="T837" s="31">
        <v>0</v>
      </c>
      <c r="U837" s="21">
        <v>1</v>
      </c>
      <c r="V837" s="32">
        <v>2</v>
      </c>
      <c r="W837" s="32">
        <v>0</v>
      </c>
      <c r="X837" s="32">
        <v>2.5</v>
      </c>
      <c r="Y837" s="19">
        <v>0</v>
      </c>
      <c r="Z837" s="32">
        <v>2800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1934</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62022314</v>
      </c>
      <c r="D838" s="35" t="s">
        <v>1932</v>
      </c>
      <c r="E838" s="35" t="s">
        <v>1933</v>
      </c>
      <c r="F838" s="21">
        <v>3</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2.75</v>
      </c>
      <c r="Y838" s="19">
        <v>0</v>
      </c>
      <c r="Z838" s="32">
        <v>4000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1934</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62022315</v>
      </c>
      <c r="D839" s="35" t="s">
        <v>1932</v>
      </c>
      <c r="E839" s="35" t="s">
        <v>1933</v>
      </c>
      <c r="F839" s="21">
        <v>4</v>
      </c>
      <c r="G839" s="32">
        <v>62022401</v>
      </c>
      <c r="H839" s="32">
        <v>0</v>
      </c>
      <c r="I839" s="31">
        <v>0</v>
      </c>
      <c r="J839" s="32">
        <v>0</v>
      </c>
      <c r="K839" s="32">
        <v>0</v>
      </c>
      <c r="L839" s="21">
        <v>0</v>
      </c>
      <c r="M839" s="32">
        <v>0</v>
      </c>
      <c r="N839" s="32">
        <v>0</v>
      </c>
      <c r="O839" s="32">
        <v>1</v>
      </c>
      <c r="P839" s="32">
        <v>0</v>
      </c>
      <c r="Q839" s="32">
        <v>0</v>
      </c>
      <c r="R839" s="32">
        <v>0</v>
      </c>
      <c r="S839" s="19">
        <v>0</v>
      </c>
      <c r="T839" s="31">
        <v>0</v>
      </c>
      <c r="U839" s="21">
        <v>1</v>
      </c>
      <c r="V839" s="32">
        <v>2</v>
      </c>
      <c r="W839" s="32">
        <v>0</v>
      </c>
      <c r="X839" s="32">
        <v>3</v>
      </c>
      <c r="Y839" s="19">
        <v>0</v>
      </c>
      <c r="Z839" s="32">
        <v>5200</v>
      </c>
      <c r="AA839" s="32">
        <v>0</v>
      </c>
      <c r="AB839" s="32">
        <v>0</v>
      </c>
      <c r="AC839" s="32">
        <v>0</v>
      </c>
      <c r="AD839" s="32">
        <v>1</v>
      </c>
      <c r="AE839" s="32">
        <v>0</v>
      </c>
      <c r="AF839" s="32">
        <v>1</v>
      </c>
      <c r="AG839" s="32">
        <v>1</v>
      </c>
      <c r="AH839" s="32">
        <v>4</v>
      </c>
      <c r="AI839" s="19">
        <v>2</v>
      </c>
      <c r="AJ839" s="19">
        <v>1</v>
      </c>
      <c r="AK839" s="19">
        <v>0</v>
      </c>
      <c r="AL839" s="19">
        <v>6</v>
      </c>
      <c r="AM839" s="32">
        <v>0</v>
      </c>
      <c r="AN839" s="32">
        <v>0</v>
      </c>
      <c r="AO839" s="32">
        <v>0</v>
      </c>
      <c r="AP839" s="32">
        <v>0</v>
      </c>
      <c r="AQ839" s="32">
        <v>30000</v>
      </c>
      <c r="AR839" s="32">
        <v>0</v>
      </c>
      <c r="AS839" s="32">
        <v>0</v>
      </c>
      <c r="AT839" s="19">
        <v>0</v>
      </c>
      <c r="AU839" s="32">
        <v>0</v>
      </c>
      <c r="AV839" s="32"/>
      <c r="AW839" s="35" t="s">
        <v>205</v>
      </c>
      <c r="AX839" s="32" t="s">
        <v>1934</v>
      </c>
      <c r="AY839" s="32">
        <v>10003002</v>
      </c>
      <c r="AZ839" s="32">
        <v>21102031</v>
      </c>
      <c r="BA839" s="35" t="s">
        <v>206</v>
      </c>
      <c r="BB839" s="35">
        <v>0</v>
      </c>
      <c r="BC839" s="31">
        <v>0</v>
      </c>
      <c r="BD839" s="31">
        <v>0</v>
      </c>
      <c r="BE839" s="185"/>
      <c r="BF839" s="185"/>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62022401</v>
      </c>
      <c r="D840" s="35" t="s">
        <v>5745</v>
      </c>
      <c r="E840" s="35" t="s">
        <v>1936</v>
      </c>
      <c r="F840" s="21">
        <v>0</v>
      </c>
      <c r="G840" s="32">
        <v>62022401</v>
      </c>
      <c r="H840" s="32">
        <f>C841</f>
        <v>62022402</v>
      </c>
      <c r="I840" s="31">
        <v>0</v>
      </c>
      <c r="J840" s="32">
        <v>35</v>
      </c>
      <c r="K840" s="32">
        <v>5</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18</v>
      </c>
      <c r="AG840" s="32">
        <v>1</v>
      </c>
      <c r="AH840" s="32">
        <v>3</v>
      </c>
      <c r="AI840" s="19">
        <v>2</v>
      </c>
      <c r="AJ840" s="19">
        <v>1</v>
      </c>
      <c r="AK840" s="19">
        <v>0</v>
      </c>
      <c r="AL840" s="19">
        <v>6</v>
      </c>
      <c r="AM840" s="32">
        <v>0</v>
      </c>
      <c r="AN840" s="32">
        <v>0</v>
      </c>
      <c r="AO840" s="32">
        <v>0</v>
      </c>
      <c r="AP840" s="32">
        <v>0</v>
      </c>
      <c r="AQ840" s="32">
        <v>30000</v>
      </c>
      <c r="AR840" s="32">
        <v>0</v>
      </c>
      <c r="AS840" s="32">
        <v>0</v>
      </c>
      <c r="AT840" s="19">
        <v>0</v>
      </c>
      <c r="AU840" s="339" t="s">
        <v>1937</v>
      </c>
      <c r="AV840" s="32"/>
      <c r="AW840" s="35" t="s">
        <v>205</v>
      </c>
      <c r="AX840" s="32" t="s">
        <v>1934</v>
      </c>
      <c r="AY840" s="32">
        <v>10003002</v>
      </c>
      <c r="AZ840" s="32">
        <v>21102031</v>
      </c>
      <c r="BA840" s="35" t="s">
        <v>206</v>
      </c>
      <c r="BB840" s="35">
        <v>0</v>
      </c>
      <c r="BC840" s="31">
        <v>0</v>
      </c>
      <c r="BD840" s="31">
        <v>0</v>
      </c>
      <c r="BE840" s="185" t="str">
        <f>"立即对目标范围内的怪物造成"&amp;X840*100&amp;"%攻击伤害+"&amp;Z840&amp;"点固定伤害,并造成2秒眩晕,并使其受到暴击伤害额外提升30%"</f>
        <v>立即对目标范围内的怪物造成350%攻击伤害+900点固定伤害,并造成2秒眩晕,并使其受到暴击伤害额外提升30%</v>
      </c>
      <c r="BF840" s="185" t="s">
        <v>5746</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62022402</v>
      </c>
      <c r="D841" s="35" t="s">
        <v>1935</v>
      </c>
      <c r="E841" s="35" t="s">
        <v>1936</v>
      </c>
      <c r="F841" s="21">
        <v>1</v>
      </c>
      <c r="G841" s="32">
        <v>62022401</v>
      </c>
      <c r="H841" s="32">
        <f t="shared" ref="H841:H842" si="71">C842</f>
        <v>62022403</v>
      </c>
      <c r="I841" s="31">
        <v>0</v>
      </c>
      <c r="J841" s="21">
        <v>42</v>
      </c>
      <c r="K841" s="32">
        <v>2</v>
      </c>
      <c r="L841" s="21">
        <v>0</v>
      </c>
      <c r="M841" s="32">
        <v>0</v>
      </c>
      <c r="N841" s="32">
        <v>0</v>
      </c>
      <c r="O841" s="32">
        <v>1</v>
      </c>
      <c r="P841" s="32">
        <v>0</v>
      </c>
      <c r="Q841" s="32">
        <v>0</v>
      </c>
      <c r="R841" s="32">
        <v>0</v>
      </c>
      <c r="S841" s="19">
        <v>0</v>
      </c>
      <c r="T841" s="31">
        <v>0</v>
      </c>
      <c r="U841" s="21">
        <v>1</v>
      </c>
      <c r="V841" s="32">
        <v>2</v>
      </c>
      <c r="W841" s="32">
        <v>0</v>
      </c>
      <c r="X841" s="32">
        <v>3.5</v>
      </c>
      <c r="Y841" s="19">
        <v>0</v>
      </c>
      <c r="Z841" s="32">
        <v>900</v>
      </c>
      <c r="AA841" s="32">
        <v>0</v>
      </c>
      <c r="AB841" s="32">
        <v>0</v>
      </c>
      <c r="AC841" s="32">
        <v>0</v>
      </c>
      <c r="AD841" s="32">
        <v>0</v>
      </c>
      <c r="AE841" s="32">
        <v>0</v>
      </c>
      <c r="AF841" s="19">
        <v>18</v>
      </c>
      <c r="AG841" s="32">
        <v>1</v>
      </c>
      <c r="AH841" s="32">
        <v>4</v>
      </c>
      <c r="AI841" s="19">
        <v>2</v>
      </c>
      <c r="AJ841" s="19">
        <v>1</v>
      </c>
      <c r="AK841" s="19">
        <v>0</v>
      </c>
      <c r="AL841" s="19">
        <v>6</v>
      </c>
      <c r="AM841" s="32">
        <v>0</v>
      </c>
      <c r="AN841" s="32">
        <v>0</v>
      </c>
      <c r="AO841" s="32">
        <v>0</v>
      </c>
      <c r="AP841" s="32">
        <v>0</v>
      </c>
      <c r="AQ841" s="32">
        <v>30000</v>
      </c>
      <c r="AR841" s="32">
        <v>0</v>
      </c>
      <c r="AS841" s="32">
        <v>0</v>
      </c>
      <c r="AT841" s="19">
        <v>0</v>
      </c>
      <c r="AU841" s="339" t="s">
        <v>1937</v>
      </c>
      <c r="AV841" s="32"/>
      <c r="AW841" s="35" t="s">
        <v>205</v>
      </c>
      <c r="AX841" s="32" t="s">
        <v>1934</v>
      </c>
      <c r="AY841" s="32">
        <v>10003002</v>
      </c>
      <c r="AZ841" s="32">
        <v>21102040</v>
      </c>
      <c r="BA841" s="35" t="s">
        <v>206</v>
      </c>
      <c r="BB841" s="35">
        <v>0</v>
      </c>
      <c r="BC841" s="31">
        <v>0</v>
      </c>
      <c r="BD841" s="31">
        <v>0</v>
      </c>
      <c r="BE841" s="185" t="str">
        <f t="shared" ref="BE841:BE845" si="72">"立即对目标范围内的怪物造成"&amp;X841*100&amp;"%攻击伤害+"&amp;Z841&amp;"点固定伤害,并造成2秒眩晕,并使其受到暴击伤害额外提升30%"</f>
        <v>立即对目标范围内的怪物造成350%攻击伤害+900点固定伤害,并造成2秒眩晕,并使其受到暴击伤害额外提升30%</v>
      </c>
      <c r="BF841" s="185" t="s">
        <v>5746</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62022403</v>
      </c>
      <c r="D842" s="35" t="s">
        <v>1935</v>
      </c>
      <c r="E842" s="35" t="s">
        <v>1936</v>
      </c>
      <c r="F842" s="21">
        <v>2</v>
      </c>
      <c r="G842" s="32">
        <v>62022401</v>
      </c>
      <c r="H842" s="32">
        <f t="shared" si="71"/>
        <v>62022404</v>
      </c>
      <c r="I842" s="31">
        <v>0</v>
      </c>
      <c r="J842" s="21">
        <v>47</v>
      </c>
      <c r="K842" s="32">
        <v>2</v>
      </c>
      <c r="L842" s="21">
        <v>0</v>
      </c>
      <c r="M842" s="32">
        <v>0</v>
      </c>
      <c r="N842" s="32">
        <v>0</v>
      </c>
      <c r="O842" s="32">
        <v>1</v>
      </c>
      <c r="P842" s="32">
        <v>0</v>
      </c>
      <c r="Q842" s="32">
        <v>0</v>
      </c>
      <c r="R842" s="32">
        <v>0</v>
      </c>
      <c r="S842" s="19">
        <v>0</v>
      </c>
      <c r="T842" s="31">
        <v>0</v>
      </c>
      <c r="U842" s="21">
        <v>1</v>
      </c>
      <c r="V842" s="32">
        <v>2</v>
      </c>
      <c r="W842" s="32">
        <v>0</v>
      </c>
      <c r="X842" s="32">
        <v>3.75</v>
      </c>
      <c r="Y842" s="19">
        <v>0</v>
      </c>
      <c r="Z842" s="32">
        <v>1800</v>
      </c>
      <c r="AA842" s="32">
        <v>0</v>
      </c>
      <c r="AB842" s="32">
        <v>0</v>
      </c>
      <c r="AC842" s="32">
        <v>0</v>
      </c>
      <c r="AD842" s="32">
        <v>0</v>
      </c>
      <c r="AE842" s="32">
        <v>0</v>
      </c>
      <c r="AF842" s="19">
        <v>18</v>
      </c>
      <c r="AG842" s="32">
        <v>1</v>
      </c>
      <c r="AH842" s="32">
        <v>4</v>
      </c>
      <c r="AI842" s="19">
        <v>2</v>
      </c>
      <c r="AJ842" s="19">
        <v>1</v>
      </c>
      <c r="AK842" s="19">
        <v>0</v>
      </c>
      <c r="AL842" s="19">
        <v>6</v>
      </c>
      <c r="AM842" s="32">
        <v>0</v>
      </c>
      <c r="AN842" s="32">
        <v>0</v>
      </c>
      <c r="AO842" s="32">
        <v>0</v>
      </c>
      <c r="AP842" s="32">
        <v>0</v>
      </c>
      <c r="AQ842" s="32">
        <v>30000</v>
      </c>
      <c r="AR842" s="32">
        <v>0</v>
      </c>
      <c r="AS842" s="32">
        <v>0</v>
      </c>
      <c r="AT842" s="19">
        <v>0</v>
      </c>
      <c r="AU842" s="339" t="s">
        <v>1937</v>
      </c>
      <c r="AV842" s="32"/>
      <c r="AW842" s="35" t="s">
        <v>205</v>
      </c>
      <c r="AX842" s="32" t="s">
        <v>1934</v>
      </c>
      <c r="AY842" s="32">
        <v>10003002</v>
      </c>
      <c r="AZ842" s="32">
        <v>21102040</v>
      </c>
      <c r="BA842" s="35" t="s">
        <v>206</v>
      </c>
      <c r="BB842" s="35">
        <v>0</v>
      </c>
      <c r="BC842" s="31">
        <v>0</v>
      </c>
      <c r="BD842" s="31">
        <v>0</v>
      </c>
      <c r="BE842" s="185" t="str">
        <f t="shared" si="72"/>
        <v>立即对目标范围内的怪物造成375%攻击伤害+1800点固定伤害,并造成2秒眩晕,并使其受到暴击伤害额外提升30%</v>
      </c>
      <c r="BF842" s="185" t="s">
        <v>5748</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62022404</v>
      </c>
      <c r="D843" s="35" t="s">
        <v>1935</v>
      </c>
      <c r="E843" s="35" t="s">
        <v>1936</v>
      </c>
      <c r="F843" s="21">
        <v>3</v>
      </c>
      <c r="G843" s="32">
        <v>62022401</v>
      </c>
      <c r="H843" s="32">
        <v>0</v>
      </c>
      <c r="I843" s="31">
        <v>0</v>
      </c>
      <c r="J843" s="21">
        <v>0</v>
      </c>
      <c r="K843" s="32">
        <v>0</v>
      </c>
      <c r="L843" s="21">
        <v>0</v>
      </c>
      <c r="M843" s="32">
        <v>0</v>
      </c>
      <c r="N843" s="32">
        <v>0</v>
      </c>
      <c r="O843" s="32">
        <v>1</v>
      </c>
      <c r="P843" s="32">
        <v>0</v>
      </c>
      <c r="Q843" s="32">
        <v>0</v>
      </c>
      <c r="R843" s="32">
        <v>0</v>
      </c>
      <c r="S843" s="19">
        <v>0</v>
      </c>
      <c r="T843" s="31">
        <v>0</v>
      </c>
      <c r="U843" s="21">
        <v>1</v>
      </c>
      <c r="V843" s="32">
        <v>2</v>
      </c>
      <c r="W843" s="32">
        <v>0</v>
      </c>
      <c r="X843" s="32">
        <v>4</v>
      </c>
      <c r="Y843" s="19">
        <v>0</v>
      </c>
      <c r="Z843" s="32">
        <v>2800</v>
      </c>
      <c r="AA843" s="32">
        <v>0</v>
      </c>
      <c r="AB843" s="32">
        <v>0</v>
      </c>
      <c r="AC843" s="32">
        <v>0</v>
      </c>
      <c r="AD843" s="32">
        <v>0</v>
      </c>
      <c r="AE843" s="32">
        <v>0</v>
      </c>
      <c r="AF843" s="19">
        <v>18</v>
      </c>
      <c r="AG843" s="32">
        <v>1</v>
      </c>
      <c r="AH843" s="32">
        <v>4</v>
      </c>
      <c r="AI843" s="19">
        <v>2</v>
      </c>
      <c r="AJ843" s="19">
        <v>1</v>
      </c>
      <c r="AK843" s="19">
        <v>0</v>
      </c>
      <c r="AL843" s="19">
        <v>6</v>
      </c>
      <c r="AM843" s="32">
        <v>0</v>
      </c>
      <c r="AN843" s="32">
        <v>0</v>
      </c>
      <c r="AO843" s="32">
        <v>0</v>
      </c>
      <c r="AP843" s="32">
        <v>0</v>
      </c>
      <c r="AQ843" s="32">
        <v>30000</v>
      </c>
      <c r="AR843" s="32">
        <v>0</v>
      </c>
      <c r="AS843" s="32">
        <v>0</v>
      </c>
      <c r="AT843" s="19">
        <v>0</v>
      </c>
      <c r="AU843" s="339" t="s">
        <v>1937</v>
      </c>
      <c r="AV843" s="32"/>
      <c r="AW843" s="35" t="s">
        <v>205</v>
      </c>
      <c r="AX843" s="32" t="s">
        <v>1934</v>
      </c>
      <c r="AY843" s="32">
        <v>10003002</v>
      </c>
      <c r="AZ843" s="32">
        <v>21102040</v>
      </c>
      <c r="BA843" s="35" t="s">
        <v>206</v>
      </c>
      <c r="BB843" s="35">
        <v>0</v>
      </c>
      <c r="BC843" s="31">
        <v>0</v>
      </c>
      <c r="BD843" s="31">
        <v>0</v>
      </c>
      <c r="BE843" s="185" t="str">
        <f t="shared" si="72"/>
        <v>立即对目标范围内的怪物造成400%攻击伤害+2800点固定伤害,并造成2秒眩晕,并使其受到暴击伤害额外提升30%</v>
      </c>
      <c r="BF843" s="185" t="s">
        <v>5747</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62022405</v>
      </c>
      <c r="D844" s="35" t="s">
        <v>1935</v>
      </c>
      <c r="E844" s="35" t="s">
        <v>1936</v>
      </c>
      <c r="F844" s="21">
        <v>4</v>
      </c>
      <c r="G844" s="32">
        <v>62022401</v>
      </c>
      <c r="H844" s="32">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4.25</v>
      </c>
      <c r="Y844" s="19">
        <v>0</v>
      </c>
      <c r="Z844" s="32">
        <v>4000</v>
      </c>
      <c r="AA844" s="32">
        <v>0</v>
      </c>
      <c r="AB844" s="32">
        <v>0</v>
      </c>
      <c r="AC844" s="32">
        <v>0</v>
      </c>
      <c r="AD844" s="32">
        <v>0</v>
      </c>
      <c r="AE844" s="32">
        <v>0</v>
      </c>
      <c r="AF844" s="19">
        <v>18</v>
      </c>
      <c r="AG844" s="32">
        <v>1</v>
      </c>
      <c r="AH844" s="32">
        <v>4</v>
      </c>
      <c r="AI844" s="19">
        <v>2</v>
      </c>
      <c r="AJ844" s="19">
        <v>1</v>
      </c>
      <c r="AK844" s="19">
        <v>0</v>
      </c>
      <c r="AL844" s="19">
        <v>6</v>
      </c>
      <c r="AM844" s="32">
        <v>0</v>
      </c>
      <c r="AN844" s="32">
        <v>0</v>
      </c>
      <c r="AO844" s="32">
        <v>0</v>
      </c>
      <c r="AP844" s="32">
        <v>0</v>
      </c>
      <c r="AQ844" s="32">
        <v>30000</v>
      </c>
      <c r="AR844" s="32">
        <v>0</v>
      </c>
      <c r="AS844" s="32">
        <v>0</v>
      </c>
      <c r="AT844" s="19">
        <v>0</v>
      </c>
      <c r="AU844" s="339" t="s">
        <v>1937</v>
      </c>
      <c r="AV844" s="32"/>
      <c r="AW844" s="35" t="s">
        <v>205</v>
      </c>
      <c r="AX844" s="32" t="s">
        <v>1934</v>
      </c>
      <c r="AY844" s="32">
        <v>10003002</v>
      </c>
      <c r="AZ844" s="32">
        <v>21102040</v>
      </c>
      <c r="BA844" s="35" t="s">
        <v>206</v>
      </c>
      <c r="BB844" s="35">
        <v>0</v>
      </c>
      <c r="BC844" s="31">
        <v>0</v>
      </c>
      <c r="BD844" s="31">
        <v>0</v>
      </c>
      <c r="BE844" s="185" t="str">
        <f t="shared" si="72"/>
        <v>立即对目标范围内的怪物造成425%攻击伤害+4000点固定伤害,并造成2秒眩晕,并使其受到暴击伤害额外提升30%</v>
      </c>
      <c r="BF844" s="185" t="s">
        <v>5749</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19.5" customHeight="1">
      <c r="C845" s="32">
        <v>62022406</v>
      </c>
      <c r="D845" s="35" t="s">
        <v>1935</v>
      </c>
      <c r="E845" s="35" t="s">
        <v>1936</v>
      </c>
      <c r="F845" s="21">
        <v>5</v>
      </c>
      <c r="G845" s="32">
        <v>62022401</v>
      </c>
      <c r="H845" s="21">
        <v>0</v>
      </c>
      <c r="I845" s="31">
        <v>0</v>
      </c>
      <c r="J845" s="21">
        <v>0</v>
      </c>
      <c r="K845" s="21">
        <v>0</v>
      </c>
      <c r="L845" s="21">
        <v>0</v>
      </c>
      <c r="M845" s="32">
        <v>0</v>
      </c>
      <c r="N845" s="32">
        <v>0</v>
      </c>
      <c r="O845" s="32">
        <v>1</v>
      </c>
      <c r="P845" s="32">
        <v>0</v>
      </c>
      <c r="Q845" s="32">
        <v>0</v>
      </c>
      <c r="R845" s="32">
        <v>0</v>
      </c>
      <c r="S845" s="19">
        <v>0</v>
      </c>
      <c r="T845" s="31">
        <v>0</v>
      </c>
      <c r="U845" s="21">
        <v>1</v>
      </c>
      <c r="V845" s="32">
        <v>2</v>
      </c>
      <c r="W845" s="32">
        <v>0</v>
      </c>
      <c r="X845" s="32">
        <v>4.5</v>
      </c>
      <c r="Y845" s="19">
        <v>0</v>
      </c>
      <c r="Z845" s="32">
        <v>5200</v>
      </c>
      <c r="AA845" s="32">
        <v>0</v>
      </c>
      <c r="AB845" s="32">
        <v>0</v>
      </c>
      <c r="AC845" s="32">
        <v>0</v>
      </c>
      <c r="AD845" s="32">
        <v>0</v>
      </c>
      <c r="AE845" s="32">
        <v>0</v>
      </c>
      <c r="AF845" s="19">
        <v>18</v>
      </c>
      <c r="AG845" s="32">
        <v>1</v>
      </c>
      <c r="AH845" s="32">
        <v>4</v>
      </c>
      <c r="AI845" s="19">
        <v>2</v>
      </c>
      <c r="AJ845" s="19">
        <v>1</v>
      </c>
      <c r="AK845" s="19">
        <v>0</v>
      </c>
      <c r="AL845" s="19">
        <v>6</v>
      </c>
      <c r="AM845" s="32">
        <v>0</v>
      </c>
      <c r="AN845" s="32">
        <v>0</v>
      </c>
      <c r="AO845" s="32">
        <v>0</v>
      </c>
      <c r="AP845" s="32">
        <v>0</v>
      </c>
      <c r="AQ845" s="32">
        <v>30000</v>
      </c>
      <c r="AR845" s="32">
        <v>0</v>
      </c>
      <c r="AS845" s="32">
        <v>0</v>
      </c>
      <c r="AT845" s="19">
        <v>0</v>
      </c>
      <c r="AU845" s="339" t="s">
        <v>1937</v>
      </c>
      <c r="AV845" s="32"/>
      <c r="AW845" s="35" t="s">
        <v>205</v>
      </c>
      <c r="AX845" s="32" t="s">
        <v>1934</v>
      </c>
      <c r="AY845" s="32">
        <v>10003002</v>
      </c>
      <c r="AZ845" s="32">
        <v>21102040</v>
      </c>
      <c r="BA845" s="35" t="s">
        <v>206</v>
      </c>
      <c r="BB845" s="35">
        <v>0</v>
      </c>
      <c r="BC845" s="31">
        <v>0</v>
      </c>
      <c r="BD845" s="31">
        <v>0</v>
      </c>
      <c r="BE845" s="185" t="str">
        <f t="shared" si="72"/>
        <v>立即对目标范围内的怪物造成450%攻击伤害+5200点固定伤害,并造成2秒眩晕,并使其受到暴击伤害额外提升30%</v>
      </c>
      <c r="BF845" s="185" t="s">
        <v>5750</v>
      </c>
      <c r="BG845" s="32">
        <v>0</v>
      </c>
      <c r="BH845" s="21">
        <v>0</v>
      </c>
      <c r="BI845" s="32">
        <v>0</v>
      </c>
      <c r="BJ845" s="32">
        <v>0</v>
      </c>
      <c r="BK845" s="32">
        <v>0</v>
      </c>
      <c r="BL845" s="32">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620231011</v>
      </c>
      <c r="D846" s="42" t="s">
        <v>1938</v>
      </c>
      <c r="E846" s="42" t="s">
        <v>1939</v>
      </c>
      <c r="F846" s="38">
        <v>0</v>
      </c>
      <c r="G846" s="38">
        <v>62023101</v>
      </c>
      <c r="H846" s="38">
        <v>0</v>
      </c>
      <c r="I846" s="38">
        <v>0</v>
      </c>
      <c r="J846" s="38">
        <v>20</v>
      </c>
      <c r="K846" s="38">
        <v>5</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1582</v>
      </c>
      <c r="AY846" s="38">
        <v>0</v>
      </c>
      <c r="AZ846" s="38">
        <v>21103010</v>
      </c>
      <c r="BA846" s="42" t="s">
        <v>206</v>
      </c>
      <c r="BB846" s="42" t="s">
        <v>204</v>
      </c>
      <c r="BC846" s="38">
        <v>0</v>
      </c>
      <c r="BD846" s="38">
        <v>0</v>
      </c>
      <c r="BE846" s="183" t="s">
        <v>1940</v>
      </c>
      <c r="BF846" s="183" t="s">
        <v>1941</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620231021</v>
      </c>
      <c r="D847" s="42" t="s">
        <v>1938</v>
      </c>
      <c r="E847" s="42" t="s">
        <v>1939</v>
      </c>
      <c r="F847" s="38">
        <v>1</v>
      </c>
      <c r="G847" s="38">
        <v>62023101</v>
      </c>
      <c r="H847" s="38">
        <v>0</v>
      </c>
      <c r="I847" s="38">
        <v>0</v>
      </c>
      <c r="J847" s="38">
        <v>27</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1050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1582</v>
      </c>
      <c r="AY847" s="38">
        <v>0</v>
      </c>
      <c r="AZ847" s="38">
        <v>21103010</v>
      </c>
      <c r="BA847" s="42" t="s">
        <v>206</v>
      </c>
      <c r="BB847" s="42" t="s">
        <v>204</v>
      </c>
      <c r="BC847" s="38">
        <v>0</v>
      </c>
      <c r="BD847" s="38">
        <v>0</v>
      </c>
      <c r="BE847" s="183" t="s">
        <v>1940</v>
      </c>
      <c r="BF847" s="183" t="s">
        <v>1941</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620231031</v>
      </c>
      <c r="D848" s="42" t="s">
        <v>1938</v>
      </c>
      <c r="E848" s="42" t="s">
        <v>1939</v>
      </c>
      <c r="F848" s="38">
        <v>2</v>
      </c>
      <c r="G848" s="38">
        <v>62023101</v>
      </c>
      <c r="H848" s="38">
        <v>0</v>
      </c>
      <c r="I848" s="38">
        <v>0</v>
      </c>
      <c r="J848" s="38">
        <v>32</v>
      </c>
      <c r="K848" s="38">
        <v>2</v>
      </c>
      <c r="L848" s="38">
        <v>0</v>
      </c>
      <c r="M848" s="38">
        <v>0</v>
      </c>
      <c r="N848" s="38">
        <v>0</v>
      </c>
      <c r="O848" s="38">
        <v>1</v>
      </c>
      <c r="P848" s="38">
        <v>0</v>
      </c>
      <c r="Q848" s="38">
        <v>0</v>
      </c>
      <c r="R848" s="38">
        <v>0</v>
      </c>
      <c r="S848" s="19">
        <v>0</v>
      </c>
      <c r="T848" s="38">
        <v>0</v>
      </c>
      <c r="U848" s="38">
        <v>1</v>
      </c>
      <c r="V848" s="38">
        <v>2</v>
      </c>
      <c r="W848" s="38">
        <v>0</v>
      </c>
      <c r="X848" s="38">
        <v>2</v>
      </c>
      <c r="Y848" s="19">
        <v>0</v>
      </c>
      <c r="Z848" s="38">
        <v>1400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1582</v>
      </c>
      <c r="AY848" s="38">
        <v>0</v>
      </c>
      <c r="AZ848" s="38">
        <v>21103010</v>
      </c>
      <c r="BA848" s="42" t="s">
        <v>206</v>
      </c>
      <c r="BB848" s="42" t="s">
        <v>204</v>
      </c>
      <c r="BC848" s="38">
        <v>0</v>
      </c>
      <c r="BD848" s="38">
        <v>0</v>
      </c>
      <c r="BE848" s="183" t="s">
        <v>1942</v>
      </c>
      <c r="BF848" s="183" t="s">
        <v>1943</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620231041</v>
      </c>
      <c r="D849" s="42" t="s">
        <v>1938</v>
      </c>
      <c r="E849" s="42" t="s">
        <v>1939</v>
      </c>
      <c r="F849" s="38">
        <v>3</v>
      </c>
      <c r="G849" s="38">
        <v>62023101</v>
      </c>
      <c r="H849" s="38">
        <v>0</v>
      </c>
      <c r="I849" s="38">
        <v>0</v>
      </c>
      <c r="J849" s="38">
        <v>0</v>
      </c>
      <c r="K849" s="184">
        <v>0</v>
      </c>
      <c r="L849" s="38">
        <v>0</v>
      </c>
      <c r="M849" s="38">
        <v>0</v>
      </c>
      <c r="N849" s="38">
        <v>0</v>
      </c>
      <c r="O849" s="38">
        <v>1</v>
      </c>
      <c r="P849" s="38">
        <v>0</v>
      </c>
      <c r="Q849" s="38">
        <v>0</v>
      </c>
      <c r="R849" s="38">
        <v>0</v>
      </c>
      <c r="S849" s="19">
        <v>0</v>
      </c>
      <c r="T849" s="38">
        <v>0</v>
      </c>
      <c r="U849" s="38">
        <v>1</v>
      </c>
      <c r="V849" s="38">
        <v>2</v>
      </c>
      <c r="W849" s="38">
        <v>0</v>
      </c>
      <c r="X849" s="38">
        <v>2</v>
      </c>
      <c r="Y849" s="19">
        <v>0</v>
      </c>
      <c r="Z849" s="38">
        <v>1750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1582</v>
      </c>
      <c r="AY849" s="38">
        <v>0</v>
      </c>
      <c r="AZ849" s="38">
        <v>21103010</v>
      </c>
      <c r="BA849" s="42" t="s">
        <v>206</v>
      </c>
      <c r="BB849" s="42" t="s">
        <v>204</v>
      </c>
      <c r="BC849" s="38">
        <v>0</v>
      </c>
      <c r="BD849" s="38">
        <v>0</v>
      </c>
      <c r="BE849" s="183" t="s">
        <v>1944</v>
      </c>
      <c r="BF849" s="183" t="s">
        <v>1945</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620231051</v>
      </c>
      <c r="D850" s="42" t="s">
        <v>1938</v>
      </c>
      <c r="E850" s="42" t="s">
        <v>1939</v>
      </c>
      <c r="F850" s="38">
        <v>4</v>
      </c>
      <c r="G850" s="38">
        <v>62023101</v>
      </c>
      <c r="H850" s="38">
        <v>0</v>
      </c>
      <c r="I850" s="38">
        <v>0</v>
      </c>
      <c r="J850" s="38">
        <v>0</v>
      </c>
      <c r="K850" s="38">
        <v>0</v>
      </c>
      <c r="L850" s="38">
        <v>0</v>
      </c>
      <c r="M850" s="38">
        <v>0</v>
      </c>
      <c r="N850" s="38">
        <v>0</v>
      </c>
      <c r="O850" s="38">
        <v>1</v>
      </c>
      <c r="P850" s="38">
        <v>0</v>
      </c>
      <c r="Q850" s="38">
        <v>0</v>
      </c>
      <c r="R850" s="38">
        <v>0</v>
      </c>
      <c r="S850" s="19">
        <v>0</v>
      </c>
      <c r="T850" s="38">
        <v>0</v>
      </c>
      <c r="U850" s="38">
        <v>1</v>
      </c>
      <c r="V850" s="38">
        <v>2</v>
      </c>
      <c r="W850" s="38">
        <v>0</v>
      </c>
      <c r="X850" s="38">
        <v>2</v>
      </c>
      <c r="Y850" s="19">
        <v>0</v>
      </c>
      <c r="Z850" s="38">
        <v>2100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1582</v>
      </c>
      <c r="AY850" s="38">
        <v>0</v>
      </c>
      <c r="AZ850" s="38">
        <v>21103010</v>
      </c>
      <c r="BA850" s="42" t="s">
        <v>206</v>
      </c>
      <c r="BB850" s="42" t="s">
        <v>204</v>
      </c>
      <c r="BC850" s="38">
        <v>0</v>
      </c>
      <c r="BD850" s="38">
        <v>0</v>
      </c>
      <c r="BE850" s="183" t="s">
        <v>1946</v>
      </c>
      <c r="BF850" s="183" t="s">
        <v>1947</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8">
        <v>620231061</v>
      </c>
      <c r="D851" s="42" t="s">
        <v>1938</v>
      </c>
      <c r="E851" s="42" t="s">
        <v>1939</v>
      </c>
      <c r="F851" s="38">
        <v>5</v>
      </c>
      <c r="G851" s="38">
        <v>62023101</v>
      </c>
      <c r="H851" s="38">
        <v>0</v>
      </c>
      <c r="I851" s="38">
        <v>0</v>
      </c>
      <c r="J851" s="38">
        <v>25</v>
      </c>
      <c r="K851" s="38">
        <v>5</v>
      </c>
      <c r="L851" s="38">
        <v>0</v>
      </c>
      <c r="M851" s="38">
        <v>0</v>
      </c>
      <c r="N851" s="38">
        <v>0</v>
      </c>
      <c r="O851" s="38">
        <v>1</v>
      </c>
      <c r="P851" s="38">
        <v>0</v>
      </c>
      <c r="Q851" s="38">
        <v>0</v>
      </c>
      <c r="R851" s="38">
        <v>0</v>
      </c>
      <c r="S851" s="19">
        <v>0</v>
      </c>
      <c r="T851" s="38">
        <v>0</v>
      </c>
      <c r="U851" s="38">
        <v>1</v>
      </c>
      <c r="V851" s="38">
        <v>2</v>
      </c>
      <c r="W851" s="38">
        <v>0</v>
      </c>
      <c r="X851" s="38">
        <v>2</v>
      </c>
      <c r="Y851" s="19">
        <v>0</v>
      </c>
      <c r="Z851" s="38">
        <v>2450</v>
      </c>
      <c r="AA851" s="38">
        <v>0</v>
      </c>
      <c r="AB851" s="38">
        <v>0</v>
      </c>
      <c r="AC851" s="38">
        <v>0</v>
      </c>
      <c r="AD851" s="38">
        <v>1</v>
      </c>
      <c r="AE851" s="38">
        <v>0</v>
      </c>
      <c r="AF851" s="38">
        <v>12</v>
      </c>
      <c r="AG851" s="38">
        <v>0</v>
      </c>
      <c r="AH851" s="38">
        <v>0</v>
      </c>
      <c r="AI851" s="38">
        <v>7</v>
      </c>
      <c r="AJ851" s="38">
        <v>0</v>
      </c>
      <c r="AK851" s="19">
        <v>0</v>
      </c>
      <c r="AL851" s="38">
        <v>7</v>
      </c>
      <c r="AM851" s="38">
        <v>0</v>
      </c>
      <c r="AN851" s="38">
        <v>0</v>
      </c>
      <c r="AO851" s="38">
        <v>0</v>
      </c>
      <c r="AP851" s="38">
        <v>0</v>
      </c>
      <c r="AQ851" s="38">
        <v>1000</v>
      </c>
      <c r="AR851" s="38">
        <v>0</v>
      </c>
      <c r="AS851" s="38">
        <v>0</v>
      </c>
      <c r="AT851" s="38">
        <v>92031001</v>
      </c>
      <c r="AU851" s="38">
        <v>92031001</v>
      </c>
      <c r="AV851" s="38"/>
      <c r="AW851" s="42" t="s">
        <v>205</v>
      </c>
      <c r="AX851" s="38" t="s">
        <v>1582</v>
      </c>
      <c r="AY851" s="38">
        <v>0</v>
      </c>
      <c r="AZ851" s="38">
        <v>21103010</v>
      </c>
      <c r="BA851" s="42" t="s">
        <v>206</v>
      </c>
      <c r="BB851" s="42" t="s">
        <v>204</v>
      </c>
      <c r="BC851" s="38">
        <v>0</v>
      </c>
      <c r="BD851" s="38">
        <v>0</v>
      </c>
      <c r="BE851" s="183" t="s">
        <v>1948</v>
      </c>
      <c r="BF851" s="183" t="s">
        <v>1949</v>
      </c>
      <c r="BG851" s="38">
        <v>0</v>
      </c>
      <c r="BH851" s="21">
        <v>0</v>
      </c>
      <c r="BI851" s="38">
        <v>0</v>
      </c>
      <c r="BJ851" s="38">
        <v>0</v>
      </c>
      <c r="BK851" s="38">
        <v>0</v>
      </c>
      <c r="BL851" s="38">
        <v>0</v>
      </c>
      <c r="BM851" s="25">
        <v>0</v>
      </c>
      <c r="BN851" s="19">
        <v>0</v>
      </c>
      <c r="BO851" s="19">
        <v>0</v>
      </c>
      <c r="BP851" s="19">
        <v>0</v>
      </c>
      <c r="BQ851" s="19">
        <v>0</v>
      </c>
      <c r="BR851" s="19">
        <v>0</v>
      </c>
      <c r="BS851" s="19">
        <v>0</v>
      </c>
      <c r="BT851" s="19">
        <v>0</v>
      </c>
      <c r="BU851" s="23">
        <v>0</v>
      </c>
      <c r="BV851" s="23"/>
      <c r="BW851" s="23"/>
      <c r="BX851" s="23"/>
      <c r="BY851" s="23"/>
      <c r="BZ851" s="23"/>
    </row>
    <row r="852" spans="3:78" ht="20.100000000000001" customHeight="1">
      <c r="C852" s="32">
        <v>62023101</v>
      </c>
      <c r="D852" s="35" t="s">
        <v>346</v>
      </c>
      <c r="E852" s="35" t="s">
        <v>347</v>
      </c>
      <c r="F852" s="21">
        <v>0</v>
      </c>
      <c r="G852" s="32">
        <v>62021101</v>
      </c>
      <c r="H852" s="32">
        <f>C853</f>
        <v>62023102</v>
      </c>
      <c r="I852" s="31">
        <v>0</v>
      </c>
      <c r="J852" s="21">
        <v>18</v>
      </c>
      <c r="K852" s="21">
        <v>5</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1950</v>
      </c>
      <c r="BF852" s="60" t="s">
        <v>1951</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62023102</v>
      </c>
      <c r="D853" s="35" t="s">
        <v>346</v>
      </c>
      <c r="E853" s="35" t="s">
        <v>347</v>
      </c>
      <c r="F853" s="21">
        <v>1</v>
      </c>
      <c r="G853" s="32">
        <v>62021101</v>
      </c>
      <c r="H853" s="32">
        <f t="shared" ref="H853:H854" si="73">C854</f>
        <v>62023103</v>
      </c>
      <c r="I853" s="31">
        <v>0</v>
      </c>
      <c r="J853" s="21">
        <v>27</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92011001</v>
      </c>
      <c r="AU853" s="32" t="s">
        <v>204</v>
      </c>
      <c r="AV853" s="32"/>
      <c r="AW853" s="35" t="s">
        <v>205</v>
      </c>
      <c r="AX853" s="32" t="s">
        <v>354</v>
      </c>
      <c r="AY853" s="32">
        <v>0</v>
      </c>
      <c r="AZ853" s="32">
        <v>0</v>
      </c>
      <c r="BA853" s="35" t="s">
        <v>206</v>
      </c>
      <c r="BB853" s="35" t="s">
        <v>204</v>
      </c>
      <c r="BC853" s="31">
        <v>0</v>
      </c>
      <c r="BD853" s="31">
        <v>0</v>
      </c>
      <c r="BE853" s="60" t="s">
        <v>1950</v>
      </c>
      <c r="BF853" s="60" t="s">
        <v>1951</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62023103</v>
      </c>
      <c r="D854" s="35" t="s">
        <v>346</v>
      </c>
      <c r="E854" s="35" t="s">
        <v>347</v>
      </c>
      <c r="F854" s="21">
        <v>2</v>
      </c>
      <c r="G854" s="32">
        <v>62021101</v>
      </c>
      <c r="H854" s="32">
        <f t="shared" si="73"/>
        <v>62023104</v>
      </c>
      <c r="I854" s="31">
        <v>0</v>
      </c>
      <c r="J854" s="21">
        <v>32</v>
      </c>
      <c r="K854" s="21">
        <v>2</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92011002</v>
      </c>
      <c r="AU854" s="32" t="s">
        <v>204</v>
      </c>
      <c r="AV854" s="32"/>
      <c r="AW854" s="35" t="s">
        <v>205</v>
      </c>
      <c r="AX854" s="32" t="s">
        <v>354</v>
      </c>
      <c r="AY854" s="32">
        <v>0</v>
      </c>
      <c r="AZ854" s="32">
        <v>0</v>
      </c>
      <c r="BA854" s="35" t="s">
        <v>206</v>
      </c>
      <c r="BB854" s="35" t="s">
        <v>204</v>
      </c>
      <c r="BC854" s="31">
        <v>0</v>
      </c>
      <c r="BD854" s="31">
        <v>0</v>
      </c>
      <c r="BE854" s="60" t="s">
        <v>1952</v>
      </c>
      <c r="BF854" s="60" t="s">
        <v>1953</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62023104</v>
      </c>
      <c r="D855" s="35" t="s">
        <v>346</v>
      </c>
      <c r="E855" s="35" t="s">
        <v>347</v>
      </c>
      <c r="F855" s="21">
        <v>3</v>
      </c>
      <c r="G855" s="32">
        <v>62021101</v>
      </c>
      <c r="H855" s="21">
        <v>0</v>
      </c>
      <c r="I855" s="31">
        <v>0</v>
      </c>
      <c r="J855" s="21">
        <v>0</v>
      </c>
      <c r="K855" s="182">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92011003</v>
      </c>
      <c r="AU855" s="32" t="s">
        <v>204</v>
      </c>
      <c r="AV855" s="32"/>
      <c r="AW855" s="35" t="s">
        <v>205</v>
      </c>
      <c r="AX855" s="32" t="s">
        <v>354</v>
      </c>
      <c r="AY855" s="32">
        <v>0</v>
      </c>
      <c r="AZ855" s="32">
        <v>0</v>
      </c>
      <c r="BA855" s="35" t="s">
        <v>206</v>
      </c>
      <c r="BB855" s="35" t="s">
        <v>204</v>
      </c>
      <c r="BC855" s="31">
        <v>0</v>
      </c>
      <c r="BD855" s="31">
        <v>0</v>
      </c>
      <c r="BE855" s="60" t="s">
        <v>1954</v>
      </c>
      <c r="BF855" s="60" t="s">
        <v>1955</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62023105</v>
      </c>
      <c r="D856" s="35" t="s">
        <v>346</v>
      </c>
      <c r="E856" s="35" t="s">
        <v>347</v>
      </c>
      <c r="F856" s="21">
        <v>4</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92011004</v>
      </c>
      <c r="AU856" s="32" t="s">
        <v>204</v>
      </c>
      <c r="AV856" s="32"/>
      <c r="AW856" s="35" t="s">
        <v>205</v>
      </c>
      <c r="AX856" s="32" t="s">
        <v>354</v>
      </c>
      <c r="AY856" s="32">
        <v>0</v>
      </c>
      <c r="AZ856" s="32">
        <v>0</v>
      </c>
      <c r="BA856" s="35" t="s">
        <v>206</v>
      </c>
      <c r="BB856" s="35" t="s">
        <v>204</v>
      </c>
      <c r="BC856" s="31">
        <v>0</v>
      </c>
      <c r="BD856" s="31">
        <v>0</v>
      </c>
      <c r="BE856" s="60" t="s">
        <v>1956</v>
      </c>
      <c r="BF856" s="60" t="s">
        <v>1957</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62023106</v>
      </c>
      <c r="D857" s="35" t="s">
        <v>346</v>
      </c>
      <c r="E857" s="35" t="s">
        <v>347</v>
      </c>
      <c r="F857" s="21">
        <v>5</v>
      </c>
      <c r="G857" s="32">
        <v>62021101</v>
      </c>
      <c r="H857" s="21">
        <v>0</v>
      </c>
      <c r="I857" s="31">
        <v>0</v>
      </c>
      <c r="J857" s="21">
        <v>0</v>
      </c>
      <c r="K857" s="21">
        <v>0</v>
      </c>
      <c r="L857" s="21">
        <v>0</v>
      </c>
      <c r="M857" s="32">
        <v>0</v>
      </c>
      <c r="N857" s="32">
        <v>0</v>
      </c>
      <c r="O857" s="32">
        <v>1</v>
      </c>
      <c r="P857" s="32">
        <v>0</v>
      </c>
      <c r="Q857" s="32">
        <v>0</v>
      </c>
      <c r="R857" s="32">
        <v>0</v>
      </c>
      <c r="S857" s="19">
        <v>0</v>
      </c>
      <c r="T857" s="31">
        <v>0</v>
      </c>
      <c r="U857" s="21">
        <v>1</v>
      </c>
      <c r="V857" s="32">
        <v>2</v>
      </c>
      <c r="W857" s="32">
        <v>0</v>
      </c>
      <c r="X857" s="32">
        <v>0</v>
      </c>
      <c r="Y857" s="19">
        <v>0</v>
      </c>
      <c r="Z857" s="32">
        <v>0</v>
      </c>
      <c r="AA857" s="32">
        <v>0</v>
      </c>
      <c r="AB857" s="32">
        <v>0</v>
      </c>
      <c r="AC857" s="32">
        <v>0</v>
      </c>
      <c r="AD857" s="32">
        <v>0</v>
      </c>
      <c r="AE857" s="32">
        <v>0</v>
      </c>
      <c r="AF857" s="32">
        <v>30</v>
      </c>
      <c r="AG857" s="32">
        <v>0</v>
      </c>
      <c r="AH857" s="32">
        <v>0</v>
      </c>
      <c r="AI857" s="19">
        <v>2</v>
      </c>
      <c r="AJ857" s="19">
        <v>0</v>
      </c>
      <c r="AK857" s="19">
        <v>0</v>
      </c>
      <c r="AL857" s="19">
        <v>0</v>
      </c>
      <c r="AM857" s="32">
        <v>0</v>
      </c>
      <c r="AN857" s="32">
        <v>0</v>
      </c>
      <c r="AO857" s="32">
        <v>0</v>
      </c>
      <c r="AP857" s="38">
        <v>0</v>
      </c>
      <c r="AQ857" s="32">
        <v>1000</v>
      </c>
      <c r="AR857" s="32">
        <v>0</v>
      </c>
      <c r="AS857" s="32">
        <v>0</v>
      </c>
      <c r="AT857" s="19">
        <v>92011005</v>
      </c>
      <c r="AU857" s="32" t="s">
        <v>204</v>
      </c>
      <c r="AV857" s="32"/>
      <c r="AW857" s="35" t="s">
        <v>205</v>
      </c>
      <c r="AX857" s="32" t="s">
        <v>354</v>
      </c>
      <c r="AY857" s="32">
        <v>0</v>
      </c>
      <c r="AZ857" s="32">
        <v>0</v>
      </c>
      <c r="BA857" s="35" t="s">
        <v>206</v>
      </c>
      <c r="BB857" s="35" t="s">
        <v>204</v>
      </c>
      <c r="BC857" s="31">
        <v>0</v>
      </c>
      <c r="BD857" s="31">
        <v>0</v>
      </c>
      <c r="BE857" s="60" t="s">
        <v>1958</v>
      </c>
      <c r="BF857" s="60" t="s">
        <v>1959</v>
      </c>
      <c r="BG857" s="32">
        <v>0</v>
      </c>
      <c r="BH857" s="21">
        <v>0</v>
      </c>
      <c r="BI857" s="32">
        <v>0</v>
      </c>
      <c r="BJ857" s="32">
        <v>0</v>
      </c>
      <c r="BK857" s="32">
        <v>0</v>
      </c>
      <c r="BL857" s="32">
        <v>0</v>
      </c>
      <c r="BM857" s="25">
        <v>0</v>
      </c>
      <c r="BN857" s="19">
        <v>1</v>
      </c>
      <c r="BO857" s="19">
        <v>0</v>
      </c>
      <c r="BP857" s="19">
        <v>0</v>
      </c>
      <c r="BQ857" s="19">
        <v>0</v>
      </c>
      <c r="BR857" s="19">
        <v>0</v>
      </c>
      <c r="BS857" s="19">
        <v>0</v>
      </c>
      <c r="BT857" s="19">
        <v>0</v>
      </c>
      <c r="BU857" s="23">
        <v>0</v>
      </c>
      <c r="BV857" s="23"/>
      <c r="BW857" s="23"/>
      <c r="BX857" s="23"/>
      <c r="BY857" s="23"/>
      <c r="BZ857" s="23"/>
    </row>
    <row r="858" spans="3:78" ht="20.100000000000001" customHeight="1">
      <c r="C858" s="32">
        <v>62023201</v>
      </c>
      <c r="D858" s="35" t="s">
        <v>1960</v>
      </c>
      <c r="E858" s="35" t="s">
        <v>1961</v>
      </c>
      <c r="F858" s="21">
        <v>0</v>
      </c>
      <c r="G858" s="32">
        <v>62023201</v>
      </c>
      <c r="H858" s="32">
        <v>62023202</v>
      </c>
      <c r="I858" s="31">
        <v>0</v>
      </c>
      <c r="J858" s="21">
        <v>25</v>
      </c>
      <c r="K858" s="21">
        <v>5</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1962</v>
      </c>
      <c r="AY858" s="32">
        <v>10002001</v>
      </c>
      <c r="AZ858" s="32">
        <v>21103020</v>
      </c>
      <c r="BA858" s="35" t="s">
        <v>321</v>
      </c>
      <c r="BB858" s="35" t="s">
        <v>377</v>
      </c>
      <c r="BC858" s="31">
        <v>0</v>
      </c>
      <c r="BD858" s="31">
        <v>0</v>
      </c>
      <c r="BE858" s="60" t="str">
        <f t="shared" ref="BE858:BE863" si="74">"对目标区域释放治愈之境,附近己方单位每秒恢复最大生命值3%的生命值,对敌方目标每秒损失"&amp;X858*100&amp;"%攻击伤害+"&amp;Z858&amp;",持续10秒"</f>
        <v>对目标区域释放治愈之境,附近己方单位每秒恢复最大生命值3%的生命值,对敌方目标每秒损失110%攻击伤害+500,持续10秒</v>
      </c>
      <c r="BF858" s="60" t="s">
        <v>1963</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62023202</v>
      </c>
      <c r="D859" s="35" t="s">
        <v>1960</v>
      </c>
      <c r="E859" s="35" t="s">
        <v>1961</v>
      </c>
      <c r="F859" s="21">
        <v>1</v>
      </c>
      <c r="G859" s="32">
        <v>62023201</v>
      </c>
      <c r="H859" s="32">
        <v>62023203</v>
      </c>
      <c r="I859" s="31">
        <v>0</v>
      </c>
      <c r="J859" s="21">
        <v>32</v>
      </c>
      <c r="K859" s="21">
        <v>2</v>
      </c>
      <c r="L859" s="21">
        <v>0</v>
      </c>
      <c r="M859" s="32">
        <v>0</v>
      </c>
      <c r="N859" s="32">
        <v>0</v>
      </c>
      <c r="O859" s="32">
        <v>1</v>
      </c>
      <c r="P859" s="32">
        <v>0</v>
      </c>
      <c r="Q859" s="32">
        <v>0</v>
      </c>
      <c r="R859" s="32">
        <v>0</v>
      </c>
      <c r="S859" s="19">
        <v>0</v>
      </c>
      <c r="T859" s="31">
        <v>0</v>
      </c>
      <c r="U859" s="21">
        <v>1</v>
      </c>
      <c r="V859" s="32">
        <v>2</v>
      </c>
      <c r="W859" s="32">
        <v>0</v>
      </c>
      <c r="X859" s="32">
        <v>1.1000000000000001</v>
      </c>
      <c r="Y859" s="19">
        <v>0</v>
      </c>
      <c r="Z859" s="32">
        <v>500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1962</v>
      </c>
      <c r="AY859" s="32">
        <v>10002001</v>
      </c>
      <c r="AZ859" s="32">
        <v>21103020</v>
      </c>
      <c r="BA859" s="35" t="s">
        <v>321</v>
      </c>
      <c r="BB859" s="35" t="s">
        <v>377</v>
      </c>
      <c r="BC859" s="31">
        <v>0</v>
      </c>
      <c r="BD859" s="31">
        <v>0</v>
      </c>
      <c r="BE859" s="60" t="str">
        <f t="shared" si="74"/>
        <v>对目标区域释放治愈之境,附近己方单位每秒恢复最大生命值3%的生命值,对敌方目标每秒损失110%攻击伤害+500,持续10秒</v>
      </c>
      <c r="BF859" s="60" t="s">
        <v>1963</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62023203</v>
      </c>
      <c r="D860" s="35" t="s">
        <v>1960</v>
      </c>
      <c r="E860" s="35" t="s">
        <v>1961</v>
      </c>
      <c r="F860" s="21">
        <v>2</v>
      </c>
      <c r="G860" s="32">
        <v>62023201</v>
      </c>
      <c r="H860" s="32">
        <v>62023204</v>
      </c>
      <c r="I860" s="31">
        <v>0</v>
      </c>
      <c r="J860" s="21">
        <v>37</v>
      </c>
      <c r="K860" s="21">
        <v>2</v>
      </c>
      <c r="L860" s="21">
        <v>0</v>
      </c>
      <c r="M860" s="32">
        <v>0</v>
      </c>
      <c r="N860" s="32">
        <v>0</v>
      </c>
      <c r="O860" s="32">
        <v>1</v>
      </c>
      <c r="P860" s="32">
        <v>0</v>
      </c>
      <c r="Q860" s="32">
        <v>0</v>
      </c>
      <c r="R860" s="32">
        <v>0</v>
      </c>
      <c r="S860" s="19">
        <v>0</v>
      </c>
      <c r="T860" s="31">
        <v>0</v>
      </c>
      <c r="U860" s="21">
        <v>1</v>
      </c>
      <c r="V860" s="32">
        <v>2</v>
      </c>
      <c r="W860" s="32">
        <v>0</v>
      </c>
      <c r="X860" s="32">
        <v>1.2</v>
      </c>
      <c r="Y860" s="19">
        <v>0</v>
      </c>
      <c r="Z860" s="32">
        <v>800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1962</v>
      </c>
      <c r="AY860" s="32">
        <v>10002001</v>
      </c>
      <c r="AZ860" s="32">
        <v>21103020</v>
      </c>
      <c r="BA860" s="35" t="s">
        <v>321</v>
      </c>
      <c r="BB860" s="35" t="s">
        <v>377</v>
      </c>
      <c r="BC860" s="31">
        <v>0</v>
      </c>
      <c r="BD860" s="31">
        <v>0</v>
      </c>
      <c r="BE860" s="60" t="str">
        <f t="shared" si="74"/>
        <v>对目标区域释放治愈之境,附近己方单位每秒恢复最大生命值3%的生命值,对敌方目标每秒损失120%攻击伤害+800,持续10秒</v>
      </c>
      <c r="BF860" s="60" t="s">
        <v>1964</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62023204</v>
      </c>
      <c r="D861" s="35" t="s">
        <v>1960</v>
      </c>
      <c r="E861" s="35" t="s">
        <v>1961</v>
      </c>
      <c r="F861" s="21">
        <v>3</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1.3</v>
      </c>
      <c r="Y861" s="19">
        <v>0</v>
      </c>
      <c r="Z861" s="32">
        <v>1150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1962</v>
      </c>
      <c r="AY861" s="32">
        <v>10002001</v>
      </c>
      <c r="AZ861" s="32">
        <v>21103020</v>
      </c>
      <c r="BA861" s="35" t="s">
        <v>321</v>
      </c>
      <c r="BB861" s="35" t="s">
        <v>377</v>
      </c>
      <c r="BC861" s="31">
        <v>0</v>
      </c>
      <c r="BD861" s="31">
        <v>0</v>
      </c>
      <c r="BE861" s="60" t="str">
        <f t="shared" si="74"/>
        <v>对目标区域释放治愈之境,附近己方单位每秒恢复最大生命值3%的生命值,对敌方目标每秒损失130%攻击伤害+1150,持续10秒</v>
      </c>
      <c r="BF861" s="60" t="s">
        <v>1965</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62023205</v>
      </c>
      <c r="D862" s="35" t="s">
        <v>1960</v>
      </c>
      <c r="E862" s="35" t="s">
        <v>1961</v>
      </c>
      <c r="F862" s="21">
        <v>4</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1.4</v>
      </c>
      <c r="Y862" s="19">
        <v>0</v>
      </c>
      <c r="Z862" s="32">
        <v>1550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1962</v>
      </c>
      <c r="AY862" s="32">
        <v>10002001</v>
      </c>
      <c r="AZ862" s="32">
        <v>21103020</v>
      </c>
      <c r="BA862" s="35" t="s">
        <v>321</v>
      </c>
      <c r="BB862" s="35" t="s">
        <v>377</v>
      </c>
      <c r="BC862" s="31">
        <v>0</v>
      </c>
      <c r="BD862" s="31">
        <v>0</v>
      </c>
      <c r="BE862" s="60" t="str">
        <f t="shared" si="74"/>
        <v>对目标区域释放治愈之境,附近己方单位每秒恢复最大生命值3%的生命值,对敌方目标每秒损失140%攻击伤害+1550,持续10秒</v>
      </c>
      <c r="BF862" s="60" t="s">
        <v>1966</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20.100000000000001" customHeight="1">
      <c r="C863" s="32">
        <v>62023206</v>
      </c>
      <c r="D863" s="35" t="s">
        <v>1960</v>
      </c>
      <c r="E863" s="35" t="s">
        <v>1961</v>
      </c>
      <c r="F863" s="21">
        <v>5</v>
      </c>
      <c r="G863" s="32">
        <v>62023201</v>
      </c>
      <c r="H863" s="21">
        <v>0</v>
      </c>
      <c r="I863" s="31">
        <v>0</v>
      </c>
      <c r="J863" s="21">
        <v>0</v>
      </c>
      <c r="K863" s="21">
        <v>0</v>
      </c>
      <c r="L863" s="21">
        <v>0</v>
      </c>
      <c r="M863" s="32">
        <v>0</v>
      </c>
      <c r="N863" s="32">
        <v>0</v>
      </c>
      <c r="O863" s="32">
        <v>1</v>
      </c>
      <c r="P863" s="32">
        <v>0</v>
      </c>
      <c r="Q863" s="32">
        <v>0</v>
      </c>
      <c r="R863" s="32">
        <v>0</v>
      </c>
      <c r="S863" s="19">
        <v>0</v>
      </c>
      <c r="T863" s="31">
        <v>0</v>
      </c>
      <c r="U863" s="21">
        <v>1</v>
      </c>
      <c r="V863" s="32">
        <v>2</v>
      </c>
      <c r="W863" s="32">
        <v>0</v>
      </c>
      <c r="X863" s="32">
        <v>1.5</v>
      </c>
      <c r="Y863" s="19">
        <v>0</v>
      </c>
      <c r="Z863" s="32">
        <v>2050</v>
      </c>
      <c r="AA863" s="32">
        <v>0</v>
      </c>
      <c r="AB863" s="32">
        <v>0</v>
      </c>
      <c r="AC863" s="32">
        <v>0</v>
      </c>
      <c r="AD863" s="32">
        <v>0</v>
      </c>
      <c r="AE863" s="32">
        <v>0</v>
      </c>
      <c r="AF863" s="32">
        <v>18</v>
      </c>
      <c r="AG863" s="32">
        <v>1</v>
      </c>
      <c r="AH863" s="32">
        <v>4</v>
      </c>
      <c r="AI863" s="19">
        <v>2</v>
      </c>
      <c r="AJ863" s="19">
        <v>1</v>
      </c>
      <c r="AK863" s="19">
        <v>0</v>
      </c>
      <c r="AL863" s="19">
        <v>6</v>
      </c>
      <c r="AM863" s="32">
        <v>0</v>
      </c>
      <c r="AN863" s="32">
        <v>0</v>
      </c>
      <c r="AO863" s="32">
        <v>0</v>
      </c>
      <c r="AP863" s="32">
        <v>0.25</v>
      </c>
      <c r="AQ863" s="32">
        <v>10000</v>
      </c>
      <c r="AR863" s="32">
        <v>0.5</v>
      </c>
      <c r="AS863" s="32">
        <v>0</v>
      </c>
      <c r="AT863" s="19">
        <v>0</v>
      </c>
      <c r="AU863" s="19">
        <v>92032001</v>
      </c>
      <c r="AV863" s="19"/>
      <c r="AW863" s="35" t="s">
        <v>205</v>
      </c>
      <c r="AX863" s="32" t="s">
        <v>1962</v>
      </c>
      <c r="AY863" s="32">
        <v>10002001</v>
      </c>
      <c r="AZ863" s="32">
        <v>21103020</v>
      </c>
      <c r="BA863" s="35" t="s">
        <v>321</v>
      </c>
      <c r="BB863" s="35" t="s">
        <v>377</v>
      </c>
      <c r="BC863" s="31">
        <v>0</v>
      </c>
      <c r="BD863" s="31">
        <v>0</v>
      </c>
      <c r="BE863" s="60" t="str">
        <f t="shared" si="74"/>
        <v>对目标区域释放治愈之境,附近己方单位每秒恢复最大生命值3%的生命值,对敌方目标每秒损失150%攻击伤害+2050,持续10秒</v>
      </c>
      <c r="BF863" s="60" t="s">
        <v>1967</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62023301</v>
      </c>
      <c r="D864" s="35" t="s">
        <v>1968</v>
      </c>
      <c r="E864" s="35" t="s">
        <v>1969</v>
      </c>
      <c r="F864" s="21">
        <v>0</v>
      </c>
      <c r="G864" s="32">
        <v>62023301</v>
      </c>
      <c r="H864" s="32">
        <v>62023302</v>
      </c>
      <c r="I864" s="31">
        <v>0</v>
      </c>
      <c r="J864" s="21">
        <v>30</v>
      </c>
      <c r="K864" s="32">
        <v>5</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29" t="s">
        <v>1970</v>
      </c>
      <c r="AV864" s="19"/>
      <c r="AW864" s="35" t="s">
        <v>205</v>
      </c>
      <c r="AX864" s="32" t="s">
        <v>1473</v>
      </c>
      <c r="AY864" s="32">
        <v>10003002</v>
      </c>
      <c r="AZ864" s="32">
        <v>21103030</v>
      </c>
      <c r="BA864" s="35" t="s">
        <v>206</v>
      </c>
      <c r="BB864" s="35">
        <v>0</v>
      </c>
      <c r="BC864" s="31">
        <v>0</v>
      </c>
      <c r="BD864" s="31">
        <v>0</v>
      </c>
      <c r="BE864" s="185" t="str">
        <f>"立即对目标范围内的怪物造成"&amp;X864*100&amp;"%攻击伤害+"&amp;Z864&amp;"点固定伤害,并使目标受到伤害额外增加50%且眩晕2秒,此效果只对怪物有效,持续10秒"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1971</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62023302</v>
      </c>
      <c r="D865" s="35" t="s">
        <v>1968</v>
      </c>
      <c r="E865" s="35" t="s">
        <v>1969</v>
      </c>
      <c r="F865" s="21">
        <v>1</v>
      </c>
      <c r="G865" s="32">
        <v>62023301</v>
      </c>
      <c r="H865" s="32">
        <v>62023303</v>
      </c>
      <c r="I865" s="31">
        <v>0</v>
      </c>
      <c r="J865" s="21">
        <v>37</v>
      </c>
      <c r="K865" s="32">
        <v>2</v>
      </c>
      <c r="L865" s="21">
        <v>0</v>
      </c>
      <c r="M865" s="32">
        <v>0</v>
      </c>
      <c r="N865" s="32">
        <v>0</v>
      </c>
      <c r="O865" s="32">
        <v>1</v>
      </c>
      <c r="P865" s="32">
        <v>0</v>
      </c>
      <c r="Q865" s="32">
        <v>0</v>
      </c>
      <c r="R865" s="32">
        <v>0</v>
      </c>
      <c r="S865" s="19">
        <v>0</v>
      </c>
      <c r="T865" s="31">
        <v>0</v>
      </c>
      <c r="U865" s="21">
        <v>1</v>
      </c>
      <c r="V865" s="32">
        <v>2</v>
      </c>
      <c r="W865" s="32">
        <v>0</v>
      </c>
      <c r="X865" s="32">
        <v>2</v>
      </c>
      <c r="Y865" s="19">
        <v>0</v>
      </c>
      <c r="Z865" s="32">
        <v>750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29" t="s">
        <v>1970</v>
      </c>
      <c r="AV865" s="19"/>
      <c r="AW865" s="35" t="s">
        <v>205</v>
      </c>
      <c r="AX865" s="32" t="s">
        <v>1473</v>
      </c>
      <c r="AY865" s="32">
        <v>10003002</v>
      </c>
      <c r="AZ865" s="32">
        <v>21103030</v>
      </c>
      <c r="BA865" s="35" t="s">
        <v>206</v>
      </c>
      <c r="BB865" s="35">
        <v>0</v>
      </c>
      <c r="BC865" s="31">
        <v>0</v>
      </c>
      <c r="BD865" s="31">
        <v>0</v>
      </c>
      <c r="BE865" s="185" t="str">
        <f t="shared" ref="BE865:BE869" si="75">"立即对目标范围内的怪物造成"&amp;X865*100&amp;"%攻击伤害+"&amp;Z865&amp;"点固定伤害,并使目标受到伤害额外增加50%且眩晕2秒,此效果只对怪物有效,持续10秒"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5" s="185" t="s">
        <v>1971</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62023303</v>
      </c>
      <c r="D866" s="35" t="s">
        <v>1968</v>
      </c>
      <c r="E866" s="35" t="s">
        <v>1969</v>
      </c>
      <c r="F866" s="21">
        <v>2</v>
      </c>
      <c r="G866" s="32">
        <v>62023301</v>
      </c>
      <c r="H866" s="32">
        <v>62023304</v>
      </c>
      <c r="I866" s="31">
        <v>0</v>
      </c>
      <c r="J866" s="21">
        <v>42</v>
      </c>
      <c r="K866" s="32">
        <v>2</v>
      </c>
      <c r="L866" s="21">
        <v>0</v>
      </c>
      <c r="M866" s="32">
        <v>0</v>
      </c>
      <c r="N866" s="32">
        <v>0</v>
      </c>
      <c r="O866" s="32">
        <v>1</v>
      </c>
      <c r="P866" s="32">
        <v>0</v>
      </c>
      <c r="Q866" s="32">
        <v>0</v>
      </c>
      <c r="R866" s="32">
        <v>0</v>
      </c>
      <c r="S866" s="19">
        <v>0</v>
      </c>
      <c r="T866" s="31">
        <v>0</v>
      </c>
      <c r="U866" s="21">
        <v>1</v>
      </c>
      <c r="V866" s="32">
        <v>2</v>
      </c>
      <c r="W866" s="32">
        <v>0</v>
      </c>
      <c r="X866" s="32">
        <v>2.25</v>
      </c>
      <c r="Y866" s="19">
        <v>0</v>
      </c>
      <c r="Z866" s="32">
        <v>1500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29" t="s">
        <v>1970</v>
      </c>
      <c r="AV866" s="19"/>
      <c r="AW866" s="35" t="s">
        <v>205</v>
      </c>
      <c r="AX866" s="32" t="s">
        <v>1473</v>
      </c>
      <c r="AY866" s="32">
        <v>10003002</v>
      </c>
      <c r="AZ866" s="32">
        <v>21103030</v>
      </c>
      <c r="BA866" s="35" t="s">
        <v>206</v>
      </c>
      <c r="BB866" s="35">
        <v>0</v>
      </c>
      <c r="BC866" s="31">
        <v>0</v>
      </c>
      <c r="BD866" s="31">
        <v>0</v>
      </c>
      <c r="BE866" s="185" t="str">
        <f t="shared" si="75"/>
        <v>立即对目标范围内的怪物造成225%攻击伤害+1500点固定伤害,并使目标受到伤害额外增加50%且眩晕2秒,此效果只对怪物有效,持续10秒</v>
      </c>
      <c r="BF866" s="185" t="s">
        <v>1972</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62023304</v>
      </c>
      <c r="D867" s="35" t="s">
        <v>1968</v>
      </c>
      <c r="E867" s="35" t="s">
        <v>1969</v>
      </c>
      <c r="F867" s="21">
        <v>3</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2.5</v>
      </c>
      <c r="Y867" s="19">
        <v>0</v>
      </c>
      <c r="Z867" s="32">
        <v>2250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29" t="s">
        <v>1970</v>
      </c>
      <c r="AV867" s="19"/>
      <c r="AW867" s="35" t="s">
        <v>205</v>
      </c>
      <c r="AX867" s="32" t="s">
        <v>1473</v>
      </c>
      <c r="AY867" s="32">
        <v>10003002</v>
      </c>
      <c r="AZ867" s="32">
        <v>21103030</v>
      </c>
      <c r="BA867" s="35" t="s">
        <v>206</v>
      </c>
      <c r="BB867" s="35">
        <v>0</v>
      </c>
      <c r="BC867" s="31">
        <v>0</v>
      </c>
      <c r="BD867" s="31">
        <v>0</v>
      </c>
      <c r="BE867" s="185" t="str">
        <f t="shared" si="75"/>
        <v>立即对目标范围内的怪物造成250%攻击伤害+2250点固定伤害,并使目标受到伤害额外增加50%且眩晕2秒,此效果只对怪物有效,持续10秒</v>
      </c>
      <c r="BF867" s="185" t="s">
        <v>1973</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62023305</v>
      </c>
      <c r="D868" s="35" t="s">
        <v>1968</v>
      </c>
      <c r="E868" s="35" t="s">
        <v>1969</v>
      </c>
      <c r="F868" s="21">
        <v>4</v>
      </c>
      <c r="G868" s="32">
        <v>62023301</v>
      </c>
      <c r="H868" s="32">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2.75</v>
      </c>
      <c r="Y868" s="19">
        <v>0</v>
      </c>
      <c r="Z868" s="32">
        <v>3250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29" t="s">
        <v>1970</v>
      </c>
      <c r="AV868" s="19"/>
      <c r="AW868" s="35" t="s">
        <v>205</v>
      </c>
      <c r="AX868" s="32" t="s">
        <v>1473</v>
      </c>
      <c r="AY868" s="32">
        <v>10003002</v>
      </c>
      <c r="AZ868" s="32">
        <v>21103030</v>
      </c>
      <c r="BA868" s="35" t="s">
        <v>206</v>
      </c>
      <c r="BB868" s="35">
        <v>0</v>
      </c>
      <c r="BC868" s="31">
        <v>0</v>
      </c>
      <c r="BD868" s="31">
        <v>0</v>
      </c>
      <c r="BE868" s="185" t="str">
        <f t="shared" si="75"/>
        <v>立即对目标范围内的怪物造成275%攻击伤害+3250点固定伤害,并使目标受到伤害额外增加50%且眩晕2秒,此效果只对怪物有效,持续10秒</v>
      </c>
      <c r="BF868" s="185" t="s">
        <v>1974</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19.5" customHeight="1">
      <c r="C869" s="32">
        <v>62023306</v>
      </c>
      <c r="D869" s="35" t="s">
        <v>1968</v>
      </c>
      <c r="E869" s="35" t="s">
        <v>1969</v>
      </c>
      <c r="F869" s="21">
        <v>5</v>
      </c>
      <c r="G869" s="32">
        <v>62023301</v>
      </c>
      <c r="H869" s="21">
        <v>0</v>
      </c>
      <c r="I869" s="31">
        <v>0</v>
      </c>
      <c r="J869" s="32">
        <v>0</v>
      </c>
      <c r="K869" s="32">
        <v>0</v>
      </c>
      <c r="L869" s="21">
        <v>0</v>
      </c>
      <c r="M869" s="32">
        <v>0</v>
      </c>
      <c r="N869" s="32">
        <v>0</v>
      </c>
      <c r="O869" s="32">
        <v>1</v>
      </c>
      <c r="P869" s="32">
        <v>0</v>
      </c>
      <c r="Q869" s="32">
        <v>0</v>
      </c>
      <c r="R869" s="32">
        <v>0</v>
      </c>
      <c r="S869" s="19">
        <v>0</v>
      </c>
      <c r="T869" s="31">
        <v>0</v>
      </c>
      <c r="U869" s="21">
        <v>1</v>
      </c>
      <c r="V869" s="32">
        <v>2</v>
      </c>
      <c r="W869" s="32">
        <v>0</v>
      </c>
      <c r="X869" s="32">
        <v>3</v>
      </c>
      <c r="Y869" s="19">
        <v>0</v>
      </c>
      <c r="Z869" s="32">
        <v>4250</v>
      </c>
      <c r="AA869" s="32">
        <v>0</v>
      </c>
      <c r="AB869" s="32">
        <v>0</v>
      </c>
      <c r="AC869" s="32">
        <v>0</v>
      </c>
      <c r="AD869" s="32">
        <v>0</v>
      </c>
      <c r="AE869" s="32">
        <v>0</v>
      </c>
      <c r="AF869" s="32">
        <v>9</v>
      </c>
      <c r="AG869" s="32">
        <v>1</v>
      </c>
      <c r="AH869" s="32">
        <v>3</v>
      </c>
      <c r="AI869" s="19">
        <v>2</v>
      </c>
      <c r="AJ869" s="19">
        <v>1</v>
      </c>
      <c r="AK869" s="19">
        <v>0</v>
      </c>
      <c r="AL869" s="19">
        <v>6</v>
      </c>
      <c r="AM869" s="32">
        <v>0</v>
      </c>
      <c r="AN869" s="32">
        <v>0</v>
      </c>
      <c r="AO869" s="32">
        <v>0</v>
      </c>
      <c r="AP869" s="32">
        <v>0.25</v>
      </c>
      <c r="AQ869" s="32">
        <v>2000</v>
      </c>
      <c r="AR869" s="32">
        <v>0</v>
      </c>
      <c r="AS869" s="32">
        <v>0</v>
      </c>
      <c r="AT869" s="19">
        <v>0</v>
      </c>
      <c r="AU869" s="329" t="s">
        <v>1970</v>
      </c>
      <c r="AV869" s="19"/>
      <c r="AW869" s="35" t="s">
        <v>205</v>
      </c>
      <c r="AX869" s="32" t="s">
        <v>1473</v>
      </c>
      <c r="AY869" s="32">
        <v>10003002</v>
      </c>
      <c r="AZ869" s="32">
        <v>21103030</v>
      </c>
      <c r="BA869" s="35" t="s">
        <v>206</v>
      </c>
      <c r="BB869" s="35">
        <v>0</v>
      </c>
      <c r="BC869" s="31">
        <v>0</v>
      </c>
      <c r="BD869" s="31">
        <v>0</v>
      </c>
      <c r="BE869" s="185" t="str">
        <f t="shared" si="75"/>
        <v>立即对目标范围内的怪物造成300%攻击伤害+4250点固定伤害,并使目标受到伤害额外增加50%且眩晕2秒,此效果只对怪物有效,持续10秒</v>
      </c>
      <c r="BF869" s="185" t="s">
        <v>1975</v>
      </c>
      <c r="BG869" s="32">
        <v>0</v>
      </c>
      <c r="BH869" s="21">
        <v>0</v>
      </c>
      <c r="BI869" s="32">
        <v>0</v>
      </c>
      <c r="BJ869" s="32">
        <v>0</v>
      </c>
      <c r="BK869" s="32">
        <v>0</v>
      </c>
      <c r="BL869" s="32">
        <v>0</v>
      </c>
      <c r="BM869" s="25">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62023401</v>
      </c>
      <c r="D870" s="20" t="s">
        <v>308</v>
      </c>
      <c r="E870" s="20" t="s">
        <v>309</v>
      </c>
      <c r="F870" s="19">
        <v>0</v>
      </c>
      <c r="G870" s="19">
        <v>62023401</v>
      </c>
      <c r="H870" s="19">
        <f>C871</f>
        <v>62023402</v>
      </c>
      <c r="I870" s="19">
        <v>0</v>
      </c>
      <c r="J870" s="19">
        <v>35</v>
      </c>
      <c r="K870" s="19">
        <v>5</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29" t="s">
        <v>1976</v>
      </c>
      <c r="AV870" s="19"/>
      <c r="AW870" s="20" t="s">
        <v>262</v>
      </c>
      <c r="AX870" s="19" t="s">
        <v>1977</v>
      </c>
      <c r="AY870" s="19" t="s">
        <v>204</v>
      </c>
      <c r="AZ870" s="19">
        <v>21103040</v>
      </c>
      <c r="BA870" s="20" t="s">
        <v>206</v>
      </c>
      <c r="BB870" s="19">
        <v>0</v>
      </c>
      <c r="BC870" s="19">
        <v>0</v>
      </c>
      <c r="BD870" s="19">
        <v>0</v>
      </c>
      <c r="BE870" s="22" t="s">
        <v>1978</v>
      </c>
      <c r="BF870" s="22" t="s">
        <v>1979</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62023402</v>
      </c>
      <c r="D871" s="20" t="s">
        <v>308</v>
      </c>
      <c r="E871" s="20" t="s">
        <v>309</v>
      </c>
      <c r="F871" s="19">
        <v>1</v>
      </c>
      <c r="G871" s="19">
        <v>62023401</v>
      </c>
      <c r="H871" s="19">
        <f t="shared" ref="H871:H872" si="76">C872</f>
        <v>62023403</v>
      </c>
      <c r="I871" s="19">
        <v>0</v>
      </c>
      <c r="J871" s="19">
        <v>42</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29" t="s">
        <v>1976</v>
      </c>
      <c r="AV871" s="19"/>
      <c r="AW871" s="20" t="s">
        <v>262</v>
      </c>
      <c r="AX871" s="19" t="s">
        <v>1977</v>
      </c>
      <c r="AY871" s="19" t="s">
        <v>204</v>
      </c>
      <c r="AZ871" s="19">
        <v>21103040</v>
      </c>
      <c r="BA871" s="20" t="s">
        <v>206</v>
      </c>
      <c r="BB871" s="19">
        <v>0</v>
      </c>
      <c r="BC871" s="19">
        <v>0</v>
      </c>
      <c r="BD871" s="19">
        <v>0</v>
      </c>
      <c r="BE871" s="22" t="s">
        <v>1978</v>
      </c>
      <c r="BF871" s="22" t="s">
        <v>1979</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62023403</v>
      </c>
      <c r="D872" s="20" t="s">
        <v>308</v>
      </c>
      <c r="E872" s="20" t="s">
        <v>309</v>
      </c>
      <c r="F872" s="19">
        <v>2</v>
      </c>
      <c r="G872" s="19">
        <v>62023401</v>
      </c>
      <c r="H872" s="19">
        <f t="shared" si="76"/>
        <v>62023404</v>
      </c>
      <c r="I872" s="19">
        <v>0</v>
      </c>
      <c r="J872" s="19">
        <v>47</v>
      </c>
      <c r="K872" s="19">
        <v>2</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29" t="s">
        <v>1980</v>
      </c>
      <c r="AV872" s="19"/>
      <c r="AW872" s="20" t="s">
        <v>262</v>
      </c>
      <c r="AX872" s="19" t="s">
        <v>1977</v>
      </c>
      <c r="AY872" s="19" t="s">
        <v>204</v>
      </c>
      <c r="AZ872" s="19">
        <v>21103040</v>
      </c>
      <c r="BA872" s="20" t="s">
        <v>206</v>
      </c>
      <c r="BB872" s="19">
        <v>0</v>
      </c>
      <c r="BC872" s="19">
        <v>0</v>
      </c>
      <c r="BD872" s="19">
        <v>0</v>
      </c>
      <c r="BE872" s="22" t="s">
        <v>1981</v>
      </c>
      <c r="BF872" s="22" t="s">
        <v>1982</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62023404</v>
      </c>
      <c r="D873" s="20" t="s">
        <v>308</v>
      </c>
      <c r="E873" s="20" t="s">
        <v>309</v>
      </c>
      <c r="F873" s="19">
        <v>3</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29" t="s">
        <v>1983</v>
      </c>
      <c r="AV873" s="19"/>
      <c r="AW873" s="20" t="s">
        <v>262</v>
      </c>
      <c r="AX873" s="19" t="s">
        <v>1977</v>
      </c>
      <c r="AY873" s="19" t="s">
        <v>204</v>
      </c>
      <c r="AZ873" s="19">
        <v>21103040</v>
      </c>
      <c r="BA873" s="20" t="s">
        <v>206</v>
      </c>
      <c r="BB873" s="19">
        <v>0</v>
      </c>
      <c r="BC873" s="19">
        <v>0</v>
      </c>
      <c r="BD873" s="19">
        <v>0</v>
      </c>
      <c r="BE873" s="22" t="s">
        <v>1984</v>
      </c>
      <c r="BF873" s="22" t="s">
        <v>1985</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62023405</v>
      </c>
      <c r="D874" s="20" t="s">
        <v>308</v>
      </c>
      <c r="E874" s="20" t="s">
        <v>309</v>
      </c>
      <c r="F874" s="19">
        <v>4</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29" t="s">
        <v>1986</v>
      </c>
      <c r="AV874" s="19"/>
      <c r="AW874" s="20" t="s">
        <v>262</v>
      </c>
      <c r="AX874" s="19" t="s">
        <v>1977</v>
      </c>
      <c r="AY874" s="19" t="s">
        <v>204</v>
      </c>
      <c r="AZ874" s="19">
        <v>21103040</v>
      </c>
      <c r="BA874" s="20" t="s">
        <v>206</v>
      </c>
      <c r="BB874" s="19">
        <v>0</v>
      </c>
      <c r="BC874" s="19">
        <v>0</v>
      </c>
      <c r="BD874" s="19">
        <v>0</v>
      </c>
      <c r="BE874" s="22" t="s">
        <v>1987</v>
      </c>
      <c r="BF874" s="22" t="s">
        <v>1988</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20.100000000000001" customHeight="1">
      <c r="B875" s="201"/>
      <c r="C875" s="19">
        <v>62023406</v>
      </c>
      <c r="D875" s="20" t="s">
        <v>308</v>
      </c>
      <c r="E875" s="20" t="s">
        <v>309</v>
      </c>
      <c r="F875" s="19">
        <v>5</v>
      </c>
      <c r="G875" s="19">
        <v>62023401</v>
      </c>
      <c r="H875" s="19">
        <v>0</v>
      </c>
      <c r="I875" s="19">
        <v>0</v>
      </c>
      <c r="J875" s="19">
        <v>0</v>
      </c>
      <c r="K875" s="19">
        <v>0</v>
      </c>
      <c r="L875" s="19">
        <v>0</v>
      </c>
      <c r="M875" s="19">
        <v>0</v>
      </c>
      <c r="N875" s="19">
        <v>0</v>
      </c>
      <c r="O875" s="19">
        <v>1</v>
      </c>
      <c r="P875" s="19">
        <v>0</v>
      </c>
      <c r="Q875" s="19">
        <v>0</v>
      </c>
      <c r="R875" s="19">
        <v>0</v>
      </c>
      <c r="S875" s="19">
        <v>0</v>
      </c>
      <c r="T875" s="19">
        <v>0</v>
      </c>
      <c r="U875" s="19">
        <v>1</v>
      </c>
      <c r="V875" s="19">
        <v>2</v>
      </c>
      <c r="W875" s="19">
        <v>0</v>
      </c>
      <c r="X875" s="19">
        <v>0</v>
      </c>
      <c r="Y875" s="19">
        <v>0</v>
      </c>
      <c r="Z875" s="19">
        <v>0</v>
      </c>
      <c r="AA875" s="19">
        <v>0</v>
      </c>
      <c r="AB875" s="19">
        <v>0</v>
      </c>
      <c r="AC875" s="19">
        <v>0</v>
      </c>
      <c r="AD875" s="19">
        <v>0</v>
      </c>
      <c r="AE875" s="19">
        <v>0</v>
      </c>
      <c r="AF875" s="19">
        <v>15</v>
      </c>
      <c r="AG875" s="19">
        <v>1</v>
      </c>
      <c r="AH875" s="19">
        <v>3</v>
      </c>
      <c r="AI875" s="19">
        <v>2</v>
      </c>
      <c r="AJ875" s="19">
        <v>1</v>
      </c>
      <c r="AK875" s="19">
        <v>1</v>
      </c>
      <c r="AL875" s="19">
        <v>6</v>
      </c>
      <c r="AM875" s="19">
        <v>0</v>
      </c>
      <c r="AN875" s="19">
        <v>0</v>
      </c>
      <c r="AO875" s="19">
        <v>0</v>
      </c>
      <c r="AP875" s="19">
        <v>0.25</v>
      </c>
      <c r="AQ875" s="19">
        <v>2000</v>
      </c>
      <c r="AR875" s="19">
        <v>0.1</v>
      </c>
      <c r="AS875" s="19">
        <v>0</v>
      </c>
      <c r="AT875" s="19">
        <v>0</v>
      </c>
      <c r="AU875" s="329" t="s">
        <v>1989</v>
      </c>
      <c r="AV875" s="19"/>
      <c r="AW875" s="20" t="s">
        <v>262</v>
      </c>
      <c r="AX875" s="19" t="s">
        <v>1977</v>
      </c>
      <c r="AY875" s="19" t="s">
        <v>204</v>
      </c>
      <c r="AZ875" s="19">
        <v>21103040</v>
      </c>
      <c r="BA875" s="20" t="s">
        <v>206</v>
      </c>
      <c r="BB875" s="19">
        <v>0</v>
      </c>
      <c r="BC875" s="19">
        <v>0</v>
      </c>
      <c r="BD875" s="19">
        <v>0</v>
      </c>
      <c r="BE875" s="22" t="s">
        <v>1990</v>
      </c>
      <c r="BF875" s="22" t="s">
        <v>1991</v>
      </c>
      <c r="BG875" s="19">
        <v>0</v>
      </c>
      <c r="BH875" s="19">
        <v>0</v>
      </c>
      <c r="BI875" s="19">
        <v>0</v>
      </c>
      <c r="BJ875" s="19">
        <v>0</v>
      </c>
      <c r="BK875" s="19">
        <v>0</v>
      </c>
      <c r="BL875" s="19">
        <v>0</v>
      </c>
      <c r="BM875" s="187">
        <v>0</v>
      </c>
      <c r="BN875" s="19">
        <v>0</v>
      </c>
      <c r="BO875" s="19">
        <v>0</v>
      </c>
      <c r="BP875" s="19">
        <v>0</v>
      </c>
      <c r="BQ875" s="19">
        <v>0</v>
      </c>
      <c r="BR875" s="19">
        <v>0</v>
      </c>
      <c r="BS875" s="19">
        <v>0</v>
      </c>
      <c r="BT875" s="19">
        <v>0</v>
      </c>
      <c r="BU875" s="23">
        <v>0</v>
      </c>
      <c r="BV875" s="23"/>
      <c r="BW875" s="23"/>
      <c r="BX875" s="23"/>
      <c r="BY875" s="23"/>
      <c r="BZ875" s="23"/>
    </row>
    <row r="876" spans="2:78" ht="19.5" customHeight="1">
      <c r="C876" s="175">
        <v>63011101</v>
      </c>
      <c r="D876" s="202" t="s">
        <v>1405</v>
      </c>
      <c r="E876" s="202" t="s">
        <v>1992</v>
      </c>
      <c r="F876" s="175">
        <v>0</v>
      </c>
      <c r="G876" s="175">
        <v>63011101</v>
      </c>
      <c r="H876" s="175">
        <f t="shared" ref="H876:H878" si="77">C877</f>
        <v>63011102</v>
      </c>
      <c r="I876" s="175">
        <v>5</v>
      </c>
      <c r="J876" s="19">
        <v>1</v>
      </c>
      <c r="K876" s="19">
        <v>5</v>
      </c>
      <c r="L876" s="175">
        <v>0</v>
      </c>
      <c r="M876" s="175">
        <v>0</v>
      </c>
      <c r="N876" s="175">
        <v>0</v>
      </c>
      <c r="O876" s="175">
        <v>1</v>
      </c>
      <c r="P876" s="175">
        <v>0</v>
      </c>
      <c r="Q876" s="175">
        <v>0</v>
      </c>
      <c r="R876" s="175">
        <v>0</v>
      </c>
      <c r="S876" s="175">
        <v>0</v>
      </c>
      <c r="T876" s="175">
        <v>0</v>
      </c>
      <c r="U876" s="175">
        <v>1</v>
      </c>
      <c r="V876" s="175">
        <v>1</v>
      </c>
      <c r="W876" s="175">
        <v>0</v>
      </c>
      <c r="X876" s="175">
        <v>2.25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1407</v>
      </c>
      <c r="AY876" s="175">
        <v>10003002</v>
      </c>
      <c r="AZ876" s="175">
        <v>21200010</v>
      </c>
      <c r="BA876" s="202" t="s">
        <v>592</v>
      </c>
      <c r="BB876" s="202">
        <v>0</v>
      </c>
      <c r="BC876" s="175">
        <v>0</v>
      </c>
      <c r="BD876" s="175">
        <v>0</v>
      </c>
      <c r="BE876" s="203" t="str">
        <f>"向前方射出一支锋利的箭,对触碰的怪物造成"&amp;X876*100&amp;"%攻击伤害+"&amp;Z876&amp;"点固定伤害"&amp;",并使目标移动速度降低50%,持续3秒"</f>
        <v>向前方射出一支锋利的箭,对触碰的怪物造成225%攻击伤害+750点固定伤害,并使目标移动速度降低50%,持续3秒</v>
      </c>
      <c r="BF876" s="203" t="s">
        <v>1993</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63011102</v>
      </c>
      <c r="D877" s="202" t="s">
        <v>1405</v>
      </c>
      <c r="E877" s="202" t="s">
        <v>1992</v>
      </c>
      <c r="F877" s="175">
        <v>1</v>
      </c>
      <c r="G877" s="175">
        <v>63011101</v>
      </c>
      <c r="H877" s="175">
        <f t="shared" si="77"/>
        <v>63011103</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2.25</v>
      </c>
      <c r="Y877" s="19">
        <v>0</v>
      </c>
      <c r="Z877" s="175">
        <v>750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1407</v>
      </c>
      <c r="AY877" s="175">
        <v>10003002</v>
      </c>
      <c r="AZ877" s="175">
        <v>21200010</v>
      </c>
      <c r="BA877" s="202" t="s">
        <v>592</v>
      </c>
      <c r="BB877" s="202">
        <v>0</v>
      </c>
      <c r="BC877" s="175">
        <v>0</v>
      </c>
      <c r="BD877" s="175">
        <v>0</v>
      </c>
      <c r="BE877" s="203" t="str">
        <f t="shared" ref="BE877:BE881" si="78">"向前方射出一支锋利的箭,对触碰的怪物造成"&amp;X877*100&amp;"%攻击伤害+"&amp;Z877&amp;"点固定伤害"&amp;",并使目标移动速度降低50%,持续3秒"</f>
        <v>向前方射出一支锋利的箭,对触碰的怪物造成225%攻击伤害+750点固定伤害,并使目标移动速度降低50%,持续3秒</v>
      </c>
      <c r="BF877" s="203" t="s">
        <v>1993</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63011103</v>
      </c>
      <c r="D878" s="202" t="s">
        <v>1405</v>
      </c>
      <c r="E878" s="202" t="s">
        <v>1992</v>
      </c>
      <c r="F878" s="175">
        <v>2</v>
      </c>
      <c r="G878" s="175">
        <v>63011101</v>
      </c>
      <c r="H878" s="175">
        <f t="shared" si="77"/>
        <v>63011104</v>
      </c>
      <c r="I878" s="175">
        <v>5</v>
      </c>
      <c r="J878" s="19">
        <v>1</v>
      </c>
      <c r="K878" s="19">
        <v>2</v>
      </c>
      <c r="L878" s="175">
        <v>0</v>
      </c>
      <c r="M878" s="175">
        <v>0</v>
      </c>
      <c r="N878" s="175">
        <v>0</v>
      </c>
      <c r="O878" s="175">
        <v>1</v>
      </c>
      <c r="P878" s="175">
        <v>0</v>
      </c>
      <c r="Q878" s="175">
        <v>0</v>
      </c>
      <c r="R878" s="175">
        <v>0</v>
      </c>
      <c r="S878" s="175">
        <v>0</v>
      </c>
      <c r="T878" s="175">
        <v>0</v>
      </c>
      <c r="U878" s="175">
        <v>1</v>
      </c>
      <c r="V878" s="175">
        <v>1</v>
      </c>
      <c r="W878" s="175">
        <v>0</v>
      </c>
      <c r="X878" s="175">
        <v>2.5</v>
      </c>
      <c r="Y878" s="19">
        <v>0</v>
      </c>
      <c r="Z878" s="175">
        <v>1500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1407</v>
      </c>
      <c r="AY878" s="175">
        <v>10003002</v>
      </c>
      <c r="AZ878" s="175">
        <v>21200010</v>
      </c>
      <c r="BA878" s="202" t="s">
        <v>592</v>
      </c>
      <c r="BB878" s="202">
        <v>0</v>
      </c>
      <c r="BC878" s="175">
        <v>0</v>
      </c>
      <c r="BD878" s="175">
        <v>0</v>
      </c>
      <c r="BE878" s="203" t="str">
        <f t="shared" si="78"/>
        <v>向前方射出一支锋利的箭,对触碰的怪物造成250%攻击伤害+1500点固定伤害,并使目标移动速度降低50%,持续3秒</v>
      </c>
      <c r="BF878" s="203" t="s">
        <v>1994</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63011104</v>
      </c>
      <c r="D879" s="202" t="s">
        <v>1405</v>
      </c>
      <c r="E879" s="202" t="s">
        <v>1992</v>
      </c>
      <c r="F879" s="175">
        <v>3</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2.75</v>
      </c>
      <c r="Y879" s="19">
        <v>0</v>
      </c>
      <c r="Z879" s="175">
        <v>2250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1407</v>
      </c>
      <c r="AY879" s="175">
        <v>10003002</v>
      </c>
      <c r="AZ879" s="175">
        <v>21200010</v>
      </c>
      <c r="BA879" s="202" t="s">
        <v>592</v>
      </c>
      <c r="BB879" s="202">
        <v>0</v>
      </c>
      <c r="BC879" s="175">
        <v>0</v>
      </c>
      <c r="BD879" s="175">
        <v>0</v>
      </c>
      <c r="BE879" s="203" t="str">
        <f t="shared" si="78"/>
        <v>向前方射出一支锋利的箭,对触碰的怪物造成275%攻击伤害+2250点固定伤害,并使目标移动速度降低50%,持续3秒</v>
      </c>
      <c r="BF879" s="203" t="s">
        <v>1995</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63011105</v>
      </c>
      <c r="D880" s="202" t="s">
        <v>1405</v>
      </c>
      <c r="E880" s="202" t="s">
        <v>1992</v>
      </c>
      <c r="F880" s="175">
        <v>4</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3</v>
      </c>
      <c r="Y880" s="19">
        <v>0</v>
      </c>
      <c r="Z880" s="175">
        <v>3250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1407</v>
      </c>
      <c r="AY880" s="175">
        <v>10003002</v>
      </c>
      <c r="AZ880" s="175">
        <v>21200010</v>
      </c>
      <c r="BA880" s="202" t="s">
        <v>592</v>
      </c>
      <c r="BB880" s="202">
        <v>0</v>
      </c>
      <c r="BC880" s="175">
        <v>0</v>
      </c>
      <c r="BD880" s="175">
        <v>0</v>
      </c>
      <c r="BE880" s="203" t="str">
        <f t="shared" si="78"/>
        <v>向前方射出一支锋利的箭,对触碰的怪物造成300%攻击伤害+3250点固定伤害,并使目标移动速度降低50%,持续3秒</v>
      </c>
      <c r="BF880" s="203" t="s">
        <v>1996</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5">
        <v>63011106</v>
      </c>
      <c r="D881" s="202" t="s">
        <v>1405</v>
      </c>
      <c r="E881" s="202" t="s">
        <v>1992</v>
      </c>
      <c r="F881" s="175">
        <v>5</v>
      </c>
      <c r="G881" s="175">
        <v>63011101</v>
      </c>
      <c r="H881" s="175">
        <v>0</v>
      </c>
      <c r="I881" s="175">
        <v>5</v>
      </c>
      <c r="J881" s="19">
        <v>1</v>
      </c>
      <c r="K881" s="19">
        <v>0</v>
      </c>
      <c r="L881" s="175">
        <v>0</v>
      </c>
      <c r="M881" s="175">
        <v>0</v>
      </c>
      <c r="N881" s="175">
        <v>0</v>
      </c>
      <c r="O881" s="175">
        <v>1</v>
      </c>
      <c r="P881" s="175">
        <v>0</v>
      </c>
      <c r="Q881" s="175">
        <v>0</v>
      </c>
      <c r="R881" s="175">
        <v>0</v>
      </c>
      <c r="S881" s="175">
        <v>0</v>
      </c>
      <c r="T881" s="175">
        <v>0</v>
      </c>
      <c r="U881" s="175">
        <v>1</v>
      </c>
      <c r="V881" s="175">
        <v>1</v>
      </c>
      <c r="W881" s="175">
        <v>0</v>
      </c>
      <c r="X881" s="175">
        <v>3.25</v>
      </c>
      <c r="Y881" s="19">
        <v>0</v>
      </c>
      <c r="Z881" s="175">
        <v>4250</v>
      </c>
      <c r="AA881" s="175">
        <v>0</v>
      </c>
      <c r="AB881" s="175">
        <v>15</v>
      </c>
      <c r="AC881" s="175">
        <v>0</v>
      </c>
      <c r="AD881" s="175">
        <v>0</v>
      </c>
      <c r="AE881" s="175">
        <v>0</v>
      </c>
      <c r="AF881" s="175">
        <v>9</v>
      </c>
      <c r="AG881" s="175">
        <v>1</v>
      </c>
      <c r="AH881" s="175">
        <v>3</v>
      </c>
      <c r="AI881" s="175">
        <v>2</v>
      </c>
      <c r="AJ881" s="175">
        <v>2</v>
      </c>
      <c r="AK881" s="175">
        <v>0</v>
      </c>
      <c r="AL881" s="175">
        <v>3</v>
      </c>
      <c r="AM881" s="175">
        <v>0</v>
      </c>
      <c r="AN881" s="175">
        <v>0</v>
      </c>
      <c r="AO881" s="175">
        <v>0</v>
      </c>
      <c r="AP881" s="175">
        <v>0.25</v>
      </c>
      <c r="AQ881" s="175">
        <v>1500</v>
      </c>
      <c r="AR881" s="175">
        <v>0.25</v>
      </c>
      <c r="AS881" s="175">
        <v>30</v>
      </c>
      <c r="AT881" s="175">
        <v>0</v>
      </c>
      <c r="AU881" s="175">
        <v>92002001</v>
      </c>
      <c r="AV881" s="175"/>
      <c r="AW881" s="202" t="s">
        <v>205</v>
      </c>
      <c r="AX881" s="175" t="s">
        <v>1407</v>
      </c>
      <c r="AY881" s="175">
        <v>10003002</v>
      </c>
      <c r="AZ881" s="175">
        <v>21200010</v>
      </c>
      <c r="BA881" s="202" t="s">
        <v>592</v>
      </c>
      <c r="BB881" s="202">
        <v>0</v>
      </c>
      <c r="BC881" s="175">
        <v>0</v>
      </c>
      <c r="BD881" s="175">
        <v>0</v>
      </c>
      <c r="BE881" s="203" t="str">
        <f t="shared" si="78"/>
        <v>向前方射出一支锋利的箭,对触碰的怪物造成325%攻击伤害+4250点固定伤害,并使目标移动速度降低50%,持续3秒</v>
      </c>
      <c r="BF881" s="203" t="s">
        <v>1997</v>
      </c>
      <c r="BG881" s="175">
        <v>0</v>
      </c>
      <c r="BH881" s="175">
        <v>0</v>
      </c>
      <c r="BI881" s="175">
        <v>0</v>
      </c>
      <c r="BJ881" s="175">
        <v>0</v>
      </c>
      <c r="BK881" s="175">
        <v>0</v>
      </c>
      <c r="BL881" s="175">
        <v>0</v>
      </c>
      <c r="BM881" s="204">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63011201</v>
      </c>
      <c r="D882" s="205" t="s">
        <v>1998</v>
      </c>
      <c r="E882" s="205" t="s">
        <v>1999</v>
      </c>
      <c r="F882" s="176">
        <v>0</v>
      </c>
      <c r="G882" s="176">
        <v>63011201</v>
      </c>
      <c r="H882" s="172">
        <f t="shared" ref="H882:H884" si="79">C883</f>
        <v>63011202</v>
      </c>
      <c r="I882" s="174">
        <v>1</v>
      </c>
      <c r="J882" s="21">
        <v>3</v>
      </c>
      <c r="K882" s="21">
        <v>5</v>
      </c>
      <c r="L882" s="176">
        <v>0</v>
      </c>
      <c r="M882" s="176">
        <v>0</v>
      </c>
      <c r="N882" s="176">
        <v>0</v>
      </c>
      <c r="O882" s="172">
        <v>1</v>
      </c>
      <c r="P882" s="176">
        <v>0</v>
      </c>
      <c r="Q882" s="176">
        <v>0</v>
      </c>
      <c r="R882" s="176">
        <v>0</v>
      </c>
      <c r="S882" s="175">
        <v>0</v>
      </c>
      <c r="T882" s="175">
        <v>0</v>
      </c>
      <c r="U882" s="172">
        <v>1</v>
      </c>
      <c r="V882" s="176">
        <v>2</v>
      </c>
      <c r="W882" s="176">
        <v>0</v>
      </c>
      <c r="X882" s="176">
        <v>1.3</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1700</v>
      </c>
      <c r="AX882" s="176" t="s">
        <v>1810</v>
      </c>
      <c r="AY882" s="176">
        <v>10003002</v>
      </c>
      <c r="AZ882" s="176">
        <v>21200110</v>
      </c>
      <c r="BA882" s="205" t="s">
        <v>2000</v>
      </c>
      <c r="BB882" s="205">
        <v>0</v>
      </c>
      <c r="BC882" s="175">
        <v>0</v>
      </c>
      <c r="BD882" s="175">
        <v>0</v>
      </c>
      <c r="BE882" s="203" t="str">
        <f>"对目标方向投掷2个光球,对触碰的单位造成造成"&amp;X882*100&amp;"%攻击伤害+"&amp;Z882&amp;"点固定伤害"&amp;",此光球再移动到一定位置后会再原始路径返回"</f>
        <v>对目标方向投掷2个光球,对触碰的单位造成造成130%攻击伤害+600点固定伤害,此光球再移动到一定位置后会再原始路径返回</v>
      </c>
      <c r="BF882" s="203" t="s">
        <v>2001</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63011202</v>
      </c>
      <c r="D883" s="205" t="s">
        <v>1998</v>
      </c>
      <c r="E883" s="205" t="s">
        <v>1999</v>
      </c>
      <c r="F883" s="176">
        <v>1</v>
      </c>
      <c r="G883" s="176">
        <v>63011201</v>
      </c>
      <c r="H883" s="172">
        <f t="shared" si="79"/>
        <v>63011203</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v>
      </c>
      <c r="Y883" s="19">
        <v>0</v>
      </c>
      <c r="Z883" s="206">
        <v>600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1700</v>
      </c>
      <c r="AX883" s="176" t="s">
        <v>1810</v>
      </c>
      <c r="AY883" s="176">
        <v>10003002</v>
      </c>
      <c r="AZ883" s="176">
        <v>21200110</v>
      </c>
      <c r="BA883" s="205" t="s">
        <v>2000</v>
      </c>
      <c r="BB883" s="205">
        <v>0</v>
      </c>
      <c r="BC883" s="175">
        <v>0</v>
      </c>
      <c r="BD883" s="175">
        <v>0</v>
      </c>
      <c r="BE883" s="203" t="str">
        <f t="shared" ref="BE883:BE887" si="80">"对目标方向投掷2个光球,对触碰的单位造成造成"&amp;X883*100&amp;"%攻击伤害+"&amp;Z883&amp;"点固定伤害"&amp;",此光球再移动到一定位置后会再原始路径返回"</f>
        <v>对目标方向投掷2个光球,对触碰的单位造成造成130%攻击伤害+600点固定伤害,此光球再移动到一定位置后会再原始路径返回</v>
      </c>
      <c r="BF883" s="203" t="s">
        <v>2001</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63011203</v>
      </c>
      <c r="D884" s="205" t="s">
        <v>1998</v>
      </c>
      <c r="E884" s="205" t="s">
        <v>1999</v>
      </c>
      <c r="F884" s="176">
        <v>2</v>
      </c>
      <c r="G884" s="176">
        <v>63011201</v>
      </c>
      <c r="H884" s="172">
        <f t="shared" si="79"/>
        <v>63011204</v>
      </c>
      <c r="I884" s="174">
        <v>1</v>
      </c>
      <c r="J884" s="21">
        <v>3</v>
      </c>
      <c r="K884" s="21">
        <v>2</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950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1700</v>
      </c>
      <c r="AX884" s="176" t="s">
        <v>1810</v>
      </c>
      <c r="AY884" s="176">
        <v>10003002</v>
      </c>
      <c r="AZ884" s="176">
        <v>21200110</v>
      </c>
      <c r="BA884" s="205" t="s">
        <v>2000</v>
      </c>
      <c r="BB884" s="205">
        <v>0</v>
      </c>
      <c r="BC884" s="175">
        <v>0</v>
      </c>
      <c r="BD884" s="175">
        <v>0</v>
      </c>
      <c r="BE884" s="203" t="str">
        <f t="shared" si="80"/>
        <v>对目标方向投掷2个光球,对触碰的单位造成造成150%攻击伤害+950点固定伤害,此光球再移动到一定位置后会再原始路径返回</v>
      </c>
      <c r="BF884" s="203" t="s">
        <v>2002</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63011204</v>
      </c>
      <c r="D885" s="205" t="s">
        <v>1998</v>
      </c>
      <c r="E885" s="205" t="s">
        <v>1999</v>
      </c>
      <c r="F885" s="176">
        <v>3</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1.7</v>
      </c>
      <c r="Y885" s="19">
        <v>0</v>
      </c>
      <c r="Z885" s="206">
        <v>1500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1700</v>
      </c>
      <c r="AX885" s="176" t="s">
        <v>1810</v>
      </c>
      <c r="AY885" s="176">
        <v>10003002</v>
      </c>
      <c r="AZ885" s="176">
        <v>21200110</v>
      </c>
      <c r="BA885" s="205" t="s">
        <v>2000</v>
      </c>
      <c r="BB885" s="205">
        <v>0</v>
      </c>
      <c r="BC885" s="175">
        <v>0</v>
      </c>
      <c r="BD885" s="175">
        <v>0</v>
      </c>
      <c r="BE885" s="203" t="str">
        <f t="shared" si="80"/>
        <v>对目标方向投掷2个光球,对触碰的单位造成造成170%攻击伤害+1500点固定伤害,此光球再移动到一定位置后会再原始路径返回</v>
      </c>
      <c r="BF885" s="203" t="s">
        <v>2003</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63011205</v>
      </c>
      <c r="D886" s="205" t="s">
        <v>1998</v>
      </c>
      <c r="E886" s="205" t="s">
        <v>1999</v>
      </c>
      <c r="F886" s="176">
        <v>4</v>
      </c>
      <c r="G886" s="176">
        <v>63011201</v>
      </c>
      <c r="H886" s="172">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1.9</v>
      </c>
      <c r="Y886" s="19">
        <v>0</v>
      </c>
      <c r="Z886" s="206">
        <v>2250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1700</v>
      </c>
      <c r="AX886" s="176" t="s">
        <v>1810</v>
      </c>
      <c r="AY886" s="176">
        <v>10003002</v>
      </c>
      <c r="AZ886" s="176">
        <v>21200110</v>
      </c>
      <c r="BA886" s="205" t="s">
        <v>2000</v>
      </c>
      <c r="BB886" s="205">
        <v>0</v>
      </c>
      <c r="BC886" s="175">
        <v>0</v>
      </c>
      <c r="BD886" s="175">
        <v>0</v>
      </c>
      <c r="BE886" s="203" t="str">
        <f t="shared" si="80"/>
        <v>对目标方向投掷2个光球,对触碰的单位造成造成190%攻击伤害+2250点固定伤害,此光球再移动到一定位置后会再原始路径返回</v>
      </c>
      <c r="BF886" s="203" t="s">
        <v>2004</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19.5" customHeight="1">
      <c r="C887" s="172">
        <v>63011206</v>
      </c>
      <c r="D887" s="205" t="s">
        <v>1998</v>
      </c>
      <c r="E887" s="205" t="s">
        <v>1999</v>
      </c>
      <c r="F887" s="176">
        <v>5</v>
      </c>
      <c r="G887" s="176">
        <v>63011201</v>
      </c>
      <c r="H887" s="176">
        <v>0</v>
      </c>
      <c r="I887" s="174">
        <v>1</v>
      </c>
      <c r="J887" s="21">
        <v>3</v>
      </c>
      <c r="K887" s="21">
        <v>0</v>
      </c>
      <c r="L887" s="176">
        <v>0</v>
      </c>
      <c r="M887" s="176">
        <v>0</v>
      </c>
      <c r="N887" s="176">
        <v>0</v>
      </c>
      <c r="O887" s="172">
        <v>1</v>
      </c>
      <c r="P887" s="176">
        <v>0</v>
      </c>
      <c r="Q887" s="176">
        <v>0</v>
      </c>
      <c r="R887" s="176">
        <v>0</v>
      </c>
      <c r="S887" s="175">
        <v>0</v>
      </c>
      <c r="T887" s="175">
        <v>0</v>
      </c>
      <c r="U887" s="172">
        <v>1</v>
      </c>
      <c r="V887" s="176">
        <v>2</v>
      </c>
      <c r="W887" s="176">
        <v>0</v>
      </c>
      <c r="X887" s="176">
        <v>2.1</v>
      </c>
      <c r="Y887" s="19">
        <v>0</v>
      </c>
      <c r="Z887" s="206">
        <v>3000</v>
      </c>
      <c r="AA887" s="176">
        <v>0</v>
      </c>
      <c r="AB887" s="175">
        <v>15</v>
      </c>
      <c r="AC887" s="176">
        <v>0</v>
      </c>
      <c r="AD887" s="176">
        <v>0</v>
      </c>
      <c r="AE887" s="176">
        <v>0</v>
      </c>
      <c r="AF887" s="176">
        <v>9</v>
      </c>
      <c r="AG887" s="176">
        <v>1</v>
      </c>
      <c r="AH887" s="176">
        <v>2</v>
      </c>
      <c r="AI887" s="175">
        <v>2</v>
      </c>
      <c r="AJ887" s="175">
        <v>2</v>
      </c>
      <c r="AK887" s="175">
        <v>0</v>
      </c>
      <c r="AL887" s="175">
        <v>3</v>
      </c>
      <c r="AM887" s="176">
        <v>0</v>
      </c>
      <c r="AN887" s="176">
        <v>0</v>
      </c>
      <c r="AO887" s="176">
        <v>0</v>
      </c>
      <c r="AP887" s="176">
        <v>0.5</v>
      </c>
      <c r="AQ887" s="176">
        <v>1500</v>
      </c>
      <c r="AR887" s="176">
        <v>0</v>
      </c>
      <c r="AS887" s="176">
        <v>20</v>
      </c>
      <c r="AT887" s="175">
        <v>0</v>
      </c>
      <c r="AU887" s="176" t="s">
        <v>204</v>
      </c>
      <c r="AV887" s="176"/>
      <c r="AW887" s="205" t="s">
        <v>1700</v>
      </c>
      <c r="AX887" s="176" t="s">
        <v>1810</v>
      </c>
      <c r="AY887" s="176">
        <v>10003002</v>
      </c>
      <c r="AZ887" s="176">
        <v>21200110</v>
      </c>
      <c r="BA887" s="205" t="s">
        <v>2000</v>
      </c>
      <c r="BB887" s="205">
        <v>0</v>
      </c>
      <c r="BC887" s="175">
        <v>0</v>
      </c>
      <c r="BD887" s="175">
        <v>0</v>
      </c>
      <c r="BE887" s="203" t="str">
        <f t="shared" si="80"/>
        <v>对目标方向投掷2个光球,对触碰的单位造成造成210%攻击伤害+3000点固定伤害,此光球再移动到一定位置后会再原始路径返回</v>
      </c>
      <c r="BF887" s="203" t="s">
        <v>2005</v>
      </c>
      <c r="BG887" s="176">
        <v>0</v>
      </c>
      <c r="BH887" s="172">
        <v>0</v>
      </c>
      <c r="BI887" s="176">
        <v>0</v>
      </c>
      <c r="BJ887" s="176">
        <v>0</v>
      </c>
      <c r="BK887" s="176">
        <v>0</v>
      </c>
      <c r="BL887" s="176">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63011301</v>
      </c>
      <c r="D888" s="173" t="s">
        <v>1413</v>
      </c>
      <c r="E888" s="173" t="s">
        <v>2006</v>
      </c>
      <c r="F888" s="176">
        <v>0</v>
      </c>
      <c r="G888" s="172">
        <v>63011301</v>
      </c>
      <c r="H888" s="172">
        <f t="shared" ref="H888:H890" si="81">C889</f>
        <v>63011302</v>
      </c>
      <c r="I888" s="206">
        <v>5</v>
      </c>
      <c r="J888" s="21">
        <v>5</v>
      </c>
      <c r="K888" s="21">
        <v>5</v>
      </c>
      <c r="L888" s="176">
        <v>0</v>
      </c>
      <c r="M888" s="172">
        <v>0</v>
      </c>
      <c r="N888" s="172">
        <v>0</v>
      </c>
      <c r="O888" s="172">
        <v>1</v>
      </c>
      <c r="P888" s="172">
        <v>0</v>
      </c>
      <c r="Q888" s="172">
        <v>0</v>
      </c>
      <c r="R888" s="172">
        <v>0</v>
      </c>
      <c r="S888" s="175">
        <v>0</v>
      </c>
      <c r="T888" s="175">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1769</v>
      </c>
      <c r="AX888" s="172" t="s">
        <v>2007</v>
      </c>
      <c r="AY888" s="176">
        <v>0</v>
      </c>
      <c r="AZ888" s="176">
        <v>21101051</v>
      </c>
      <c r="BA888" s="173" t="s">
        <v>1180</v>
      </c>
      <c r="BB888" s="342" t="s">
        <v>2008</v>
      </c>
      <c r="BC888" s="175">
        <v>0</v>
      </c>
      <c r="BD888" s="175">
        <v>0</v>
      </c>
      <c r="BE888" s="207" t="s">
        <v>2009</v>
      </c>
      <c r="BF888" s="207" t="s">
        <v>2010</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63011302</v>
      </c>
      <c r="D889" s="173" t="s">
        <v>1413</v>
      </c>
      <c r="E889" s="173" t="s">
        <v>2006</v>
      </c>
      <c r="F889" s="176">
        <v>1</v>
      </c>
      <c r="G889" s="172">
        <v>63011301</v>
      </c>
      <c r="H889" s="172">
        <f t="shared" si="81"/>
        <v>63011303</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1769</v>
      </c>
      <c r="AX889" s="172" t="s">
        <v>2007</v>
      </c>
      <c r="AY889" s="176">
        <v>0</v>
      </c>
      <c r="AZ889" s="176">
        <v>21101051</v>
      </c>
      <c r="BA889" s="173" t="s">
        <v>1180</v>
      </c>
      <c r="BB889" s="342" t="s">
        <v>2008</v>
      </c>
      <c r="BC889" s="175">
        <v>0</v>
      </c>
      <c r="BD889" s="175">
        <v>0</v>
      </c>
      <c r="BE889" s="207" t="s">
        <v>2009</v>
      </c>
      <c r="BF889" s="207" t="s">
        <v>2010</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20.100000000000001" customHeight="1">
      <c r="C890" s="172">
        <v>63011303</v>
      </c>
      <c r="D890" s="173" t="s">
        <v>1413</v>
      </c>
      <c r="E890" s="173" t="s">
        <v>2006</v>
      </c>
      <c r="F890" s="176">
        <v>2</v>
      </c>
      <c r="G890" s="172">
        <v>63011301</v>
      </c>
      <c r="H890" s="172">
        <f t="shared" si="81"/>
        <v>63011304</v>
      </c>
      <c r="I890" s="206">
        <v>5</v>
      </c>
      <c r="J890" s="21">
        <v>5</v>
      </c>
      <c r="K890" s="21">
        <v>2</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1769</v>
      </c>
      <c r="AX890" s="172" t="s">
        <v>2007</v>
      </c>
      <c r="AY890" s="176">
        <v>0</v>
      </c>
      <c r="AZ890" s="176">
        <v>21101051</v>
      </c>
      <c r="BA890" s="173" t="s">
        <v>1180</v>
      </c>
      <c r="BB890" s="342" t="s">
        <v>2011</v>
      </c>
      <c r="BC890" s="175">
        <v>0</v>
      </c>
      <c r="BD890" s="175">
        <v>0</v>
      </c>
      <c r="BE890" s="207" t="s">
        <v>2012</v>
      </c>
      <c r="BF890" s="207" t="s">
        <v>2013</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63011304</v>
      </c>
      <c r="D891" s="173" t="s">
        <v>1413</v>
      </c>
      <c r="E891" s="173" t="s">
        <v>2006</v>
      </c>
      <c r="F891" s="176">
        <v>3</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1769</v>
      </c>
      <c r="AX891" s="172" t="s">
        <v>2007</v>
      </c>
      <c r="AY891" s="176">
        <v>0</v>
      </c>
      <c r="AZ891" s="176">
        <v>21101051</v>
      </c>
      <c r="BA891" s="173" t="s">
        <v>1180</v>
      </c>
      <c r="BB891" s="342" t="s">
        <v>2014</v>
      </c>
      <c r="BC891" s="175">
        <v>0</v>
      </c>
      <c r="BD891" s="175">
        <v>0</v>
      </c>
      <c r="BE891" s="207" t="s">
        <v>2015</v>
      </c>
      <c r="BF891" s="207" t="s">
        <v>2016</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63011305</v>
      </c>
      <c r="D892" s="173" t="s">
        <v>1413</v>
      </c>
      <c r="E892" s="173" t="s">
        <v>2006</v>
      </c>
      <c r="F892" s="176">
        <v>4</v>
      </c>
      <c r="G892" s="172">
        <v>63011301</v>
      </c>
      <c r="H892" s="172">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1769</v>
      </c>
      <c r="AX892" s="172" t="s">
        <v>2007</v>
      </c>
      <c r="AY892" s="176">
        <v>0</v>
      </c>
      <c r="AZ892" s="176">
        <v>21101051</v>
      </c>
      <c r="BA892" s="173" t="s">
        <v>1180</v>
      </c>
      <c r="BB892" s="342" t="s">
        <v>2017</v>
      </c>
      <c r="BC892" s="175">
        <v>0</v>
      </c>
      <c r="BD892" s="175">
        <v>0</v>
      </c>
      <c r="BE892" s="207" t="s">
        <v>2018</v>
      </c>
      <c r="BF892" s="207" t="s">
        <v>2019</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19.5" customHeight="1">
      <c r="C893" s="172">
        <v>63011306</v>
      </c>
      <c r="D893" s="173" t="s">
        <v>1413</v>
      </c>
      <c r="E893" s="173" t="s">
        <v>2006</v>
      </c>
      <c r="F893" s="176">
        <v>5</v>
      </c>
      <c r="G893" s="172">
        <v>63011301</v>
      </c>
      <c r="H893" s="176">
        <v>0</v>
      </c>
      <c r="I893" s="206">
        <v>5</v>
      </c>
      <c r="J893" s="21">
        <v>5</v>
      </c>
      <c r="K893" s="21">
        <v>0</v>
      </c>
      <c r="L893" s="176">
        <v>0</v>
      </c>
      <c r="M893" s="172">
        <v>0</v>
      </c>
      <c r="N893" s="172">
        <v>0</v>
      </c>
      <c r="O893" s="172">
        <v>1</v>
      </c>
      <c r="P893" s="172">
        <v>0</v>
      </c>
      <c r="Q893" s="172">
        <v>0</v>
      </c>
      <c r="R893" s="172">
        <v>0</v>
      </c>
      <c r="S893" s="175">
        <v>0</v>
      </c>
      <c r="T893" s="172">
        <v>0</v>
      </c>
      <c r="U893" s="172">
        <v>1</v>
      </c>
      <c r="V893" s="172">
        <v>2</v>
      </c>
      <c r="W893" s="172">
        <v>0</v>
      </c>
      <c r="X893" s="172">
        <v>0</v>
      </c>
      <c r="Y893" s="19">
        <v>0</v>
      </c>
      <c r="Z893" s="172">
        <v>0</v>
      </c>
      <c r="AA893" s="172">
        <v>0</v>
      </c>
      <c r="AB893" s="172">
        <v>20</v>
      </c>
      <c r="AC893" s="172">
        <v>0</v>
      </c>
      <c r="AD893" s="172">
        <v>0</v>
      </c>
      <c r="AE893" s="172">
        <v>0</v>
      </c>
      <c r="AF893" s="172">
        <v>30</v>
      </c>
      <c r="AG893" s="172">
        <v>0</v>
      </c>
      <c r="AH893" s="172">
        <v>0</v>
      </c>
      <c r="AI893" s="175">
        <v>1</v>
      </c>
      <c r="AJ893" s="175">
        <v>0</v>
      </c>
      <c r="AK893" s="175">
        <v>0</v>
      </c>
      <c r="AL893" s="175">
        <v>1.5</v>
      </c>
      <c r="AM893" s="172">
        <v>0</v>
      </c>
      <c r="AN893" s="172">
        <v>0.5</v>
      </c>
      <c r="AO893" s="172">
        <v>0</v>
      </c>
      <c r="AP893" s="176">
        <v>0.25</v>
      </c>
      <c r="AQ893" s="172">
        <v>3000</v>
      </c>
      <c r="AR893" s="172">
        <v>0</v>
      </c>
      <c r="AS893" s="172">
        <v>0</v>
      </c>
      <c r="AT893" s="175">
        <v>0</v>
      </c>
      <c r="AU893" s="172" t="s">
        <v>204</v>
      </c>
      <c r="AV893" s="172"/>
      <c r="AW893" s="173" t="s">
        <v>1769</v>
      </c>
      <c r="AX893" s="172" t="s">
        <v>2007</v>
      </c>
      <c r="AY893" s="176">
        <v>0</v>
      </c>
      <c r="AZ893" s="176">
        <v>21101051</v>
      </c>
      <c r="BA893" s="173" t="s">
        <v>1180</v>
      </c>
      <c r="BB893" s="342" t="s">
        <v>2020</v>
      </c>
      <c r="BC893" s="175">
        <v>0</v>
      </c>
      <c r="BD893" s="175">
        <v>0</v>
      </c>
      <c r="BE893" s="207" t="s">
        <v>2021</v>
      </c>
      <c r="BF893" s="207" t="s">
        <v>2022</v>
      </c>
      <c r="BG893" s="172">
        <v>0</v>
      </c>
      <c r="BH893" s="172">
        <v>0</v>
      </c>
      <c r="BI893" s="172">
        <v>0</v>
      </c>
      <c r="BJ893" s="172">
        <v>0</v>
      </c>
      <c r="BK893" s="172">
        <v>0</v>
      </c>
      <c r="BL893" s="172">
        <v>0</v>
      </c>
      <c r="BM893" s="178">
        <v>0</v>
      </c>
      <c r="BN893" s="175">
        <v>0</v>
      </c>
      <c r="BO893" s="175">
        <v>0</v>
      </c>
      <c r="BP893" s="175">
        <v>0</v>
      </c>
      <c r="BQ893" s="175">
        <v>0</v>
      </c>
      <c r="BR893" s="175">
        <v>0</v>
      </c>
      <c r="BS893" s="175">
        <v>0</v>
      </c>
      <c r="BT893" s="19">
        <v>0</v>
      </c>
      <c r="BU893" s="23">
        <v>0</v>
      </c>
      <c r="BV893" s="23"/>
      <c r="BW893" s="23"/>
      <c r="BX893" s="23"/>
      <c r="BY893" s="23"/>
      <c r="BZ893" s="23"/>
    </row>
    <row r="894" spans="3:78" ht="20.100000000000001" customHeight="1">
      <c r="C894" s="172">
        <v>63011311</v>
      </c>
      <c r="D894" s="30" t="s">
        <v>300</v>
      </c>
      <c r="E894" s="30" t="s">
        <v>301</v>
      </c>
      <c r="F894" s="21">
        <v>1</v>
      </c>
      <c r="G894" s="21">
        <v>60011401</v>
      </c>
      <c r="H894" s="32">
        <v>0</v>
      </c>
      <c r="I894" s="31">
        <v>0</v>
      </c>
      <c r="J894" s="32">
        <v>1</v>
      </c>
      <c r="K894" s="32">
        <v>0</v>
      </c>
      <c r="L894" s="32">
        <v>0</v>
      </c>
      <c r="M894" s="21">
        <v>0</v>
      </c>
      <c r="N894" s="21">
        <v>0</v>
      </c>
      <c r="O894" s="21">
        <v>2</v>
      </c>
      <c r="P894" s="21">
        <v>9</v>
      </c>
      <c r="Q894" s="21">
        <v>1</v>
      </c>
      <c r="R894" s="21">
        <v>0</v>
      </c>
      <c r="S894" s="19">
        <v>0</v>
      </c>
      <c r="T894" s="21">
        <v>0</v>
      </c>
      <c r="U894" s="21">
        <v>1</v>
      </c>
      <c r="V894" s="21">
        <v>2</v>
      </c>
      <c r="W894" s="21">
        <v>0</v>
      </c>
      <c r="X894" s="21">
        <v>0</v>
      </c>
      <c r="Y894" s="19">
        <v>0</v>
      </c>
      <c r="Z894" s="21">
        <v>0</v>
      </c>
      <c r="AA894" s="21">
        <v>0</v>
      </c>
      <c r="AB894" s="21">
        <v>0</v>
      </c>
      <c r="AC894" s="21">
        <v>0</v>
      </c>
      <c r="AD894" s="21">
        <v>0</v>
      </c>
      <c r="AE894" s="21">
        <v>0</v>
      </c>
      <c r="AF894" s="21">
        <v>10</v>
      </c>
      <c r="AG894" s="21">
        <v>0</v>
      </c>
      <c r="AH894" s="21">
        <v>3</v>
      </c>
      <c r="AI894" s="19">
        <v>7</v>
      </c>
      <c r="AJ894" s="19">
        <v>0</v>
      </c>
      <c r="AK894" s="19">
        <v>0</v>
      </c>
      <c r="AL894" s="19">
        <v>10</v>
      </c>
      <c r="AM894" s="21">
        <v>0</v>
      </c>
      <c r="AN894" s="21">
        <v>0</v>
      </c>
      <c r="AO894" s="21">
        <v>0</v>
      </c>
      <c r="AP894" s="21">
        <v>0</v>
      </c>
      <c r="AQ894" s="21">
        <v>3000</v>
      </c>
      <c r="AR894" s="21">
        <v>0.2</v>
      </c>
      <c r="AS894" s="21">
        <v>0</v>
      </c>
      <c r="AT894" s="19">
        <v>0</v>
      </c>
      <c r="AU894" s="21">
        <v>80002005</v>
      </c>
      <c r="AV894" s="21"/>
      <c r="AW894" s="30" t="s">
        <v>205</v>
      </c>
      <c r="AX894" s="21">
        <v>0</v>
      </c>
      <c r="AY894" s="32">
        <v>0</v>
      </c>
      <c r="AZ894" s="32">
        <v>0</v>
      </c>
      <c r="BA894" s="30" t="s">
        <v>206</v>
      </c>
      <c r="BB894" s="21">
        <v>0</v>
      </c>
      <c r="BC894" s="31">
        <v>0</v>
      </c>
      <c r="BD894" s="31">
        <v>0</v>
      </c>
      <c r="BE894" s="33" t="s">
        <v>2023</v>
      </c>
      <c r="BF894" s="33" t="s">
        <v>2024</v>
      </c>
      <c r="BG894" s="21"/>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63011312</v>
      </c>
      <c r="D895" s="30" t="s">
        <v>2025</v>
      </c>
      <c r="E895" s="30" t="s">
        <v>2026</v>
      </c>
      <c r="F895" s="21">
        <v>1</v>
      </c>
      <c r="G895" s="21">
        <v>60010300</v>
      </c>
      <c r="H895" s="32">
        <v>0</v>
      </c>
      <c r="I895" s="31">
        <v>0</v>
      </c>
      <c r="J895" s="32">
        <v>1</v>
      </c>
      <c r="K895" s="32">
        <v>0</v>
      </c>
      <c r="L895" s="32">
        <v>0</v>
      </c>
      <c r="M895" s="21">
        <v>0</v>
      </c>
      <c r="N895" s="21">
        <v>0</v>
      </c>
      <c r="O895" s="21">
        <v>2</v>
      </c>
      <c r="P895" s="21">
        <v>9</v>
      </c>
      <c r="Q895" s="21">
        <v>0.1</v>
      </c>
      <c r="R895" s="21">
        <v>0</v>
      </c>
      <c r="S895" s="19">
        <v>0</v>
      </c>
      <c r="T895" s="21">
        <v>0</v>
      </c>
      <c r="U895" s="21">
        <v>1</v>
      </c>
      <c r="V895" s="21">
        <v>2</v>
      </c>
      <c r="W895" s="21">
        <v>0</v>
      </c>
      <c r="X895" s="21">
        <v>2</v>
      </c>
      <c r="Y895" s="19">
        <v>0</v>
      </c>
      <c r="Z895" s="21">
        <v>0</v>
      </c>
      <c r="AA895" s="21">
        <v>0</v>
      </c>
      <c r="AB895" s="21">
        <v>0</v>
      </c>
      <c r="AC895" s="21">
        <v>0</v>
      </c>
      <c r="AD895" s="21">
        <v>0</v>
      </c>
      <c r="AE895" s="21">
        <v>0</v>
      </c>
      <c r="AF895" s="21">
        <v>3</v>
      </c>
      <c r="AG895" s="21">
        <v>2</v>
      </c>
      <c r="AH895" s="21" t="s">
        <v>219</v>
      </c>
      <c r="AI895" s="19">
        <v>0</v>
      </c>
      <c r="AJ895" s="19">
        <v>0</v>
      </c>
      <c r="AK895" s="19">
        <v>0</v>
      </c>
      <c r="AL895" s="19">
        <v>1.5</v>
      </c>
      <c r="AM895" s="21">
        <v>0</v>
      </c>
      <c r="AN895" s="21">
        <v>0</v>
      </c>
      <c r="AO895" s="21">
        <v>0</v>
      </c>
      <c r="AP895" s="21">
        <v>0</v>
      </c>
      <c r="AQ895" s="21">
        <v>3000</v>
      </c>
      <c r="AR895" s="21">
        <v>0.5</v>
      </c>
      <c r="AS895" s="21">
        <v>0</v>
      </c>
      <c r="AT895" s="19">
        <v>0</v>
      </c>
      <c r="AU895" s="21">
        <v>0</v>
      </c>
      <c r="AV895" s="21"/>
      <c r="AW895" s="30" t="s">
        <v>205</v>
      </c>
      <c r="AX895" s="21">
        <v>0</v>
      </c>
      <c r="AY895" s="32">
        <v>10000007</v>
      </c>
      <c r="AZ895" s="32">
        <v>21201050</v>
      </c>
      <c r="BA895" s="30" t="s">
        <v>206</v>
      </c>
      <c r="BB895" s="21">
        <v>0</v>
      </c>
      <c r="BC895" s="31">
        <v>0</v>
      </c>
      <c r="BD895" s="31">
        <v>1</v>
      </c>
      <c r="BE895" s="33" t="s">
        <v>2027</v>
      </c>
      <c r="BF895" s="33" t="s">
        <v>2028</v>
      </c>
      <c r="BG895" s="21">
        <v>0</v>
      </c>
      <c r="BH895" s="21">
        <v>0</v>
      </c>
      <c r="BI895" s="21"/>
      <c r="BJ895" s="21"/>
      <c r="BK895" s="21"/>
      <c r="BL895" s="32"/>
      <c r="BM895" s="21">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63011313</v>
      </c>
      <c r="D896" s="30" t="s">
        <v>2029</v>
      </c>
      <c r="E896" s="30" t="s">
        <v>557</v>
      </c>
      <c r="F896" s="32">
        <v>1</v>
      </c>
      <c r="G896" s="21">
        <v>60030002</v>
      </c>
      <c r="H896" s="19">
        <v>0</v>
      </c>
      <c r="I896" s="19">
        <v>0</v>
      </c>
      <c r="J896" s="32">
        <v>1</v>
      </c>
      <c r="K896" s="32">
        <v>0</v>
      </c>
      <c r="L896" s="19">
        <v>0</v>
      </c>
      <c r="M896" s="19">
        <v>0</v>
      </c>
      <c r="N896" s="19">
        <v>0</v>
      </c>
      <c r="O896" s="19">
        <v>2</v>
      </c>
      <c r="P896" s="19">
        <v>10</v>
      </c>
      <c r="Q896" s="19">
        <v>0.1</v>
      </c>
      <c r="R896" s="19">
        <v>0</v>
      </c>
      <c r="S896" s="19">
        <v>0</v>
      </c>
      <c r="T896" s="19">
        <v>0</v>
      </c>
      <c r="U896" s="21">
        <v>1</v>
      </c>
      <c r="V896" s="19">
        <v>2</v>
      </c>
      <c r="W896" s="19">
        <v>0</v>
      </c>
      <c r="X896" s="19">
        <v>2.5</v>
      </c>
      <c r="Y896" s="19">
        <v>0</v>
      </c>
      <c r="Z896" s="19">
        <v>0</v>
      </c>
      <c r="AA896" s="19">
        <v>0</v>
      </c>
      <c r="AB896" s="19">
        <v>0</v>
      </c>
      <c r="AC896" s="19">
        <v>0</v>
      </c>
      <c r="AD896" s="32">
        <v>0</v>
      </c>
      <c r="AE896" s="19">
        <v>0</v>
      </c>
      <c r="AF896" s="19">
        <v>10</v>
      </c>
      <c r="AG896" s="19">
        <v>0</v>
      </c>
      <c r="AH896" s="19">
        <v>0</v>
      </c>
      <c r="AI896" s="19">
        <v>7</v>
      </c>
      <c r="AJ896" s="19">
        <v>0</v>
      </c>
      <c r="AK896" s="19">
        <v>0</v>
      </c>
      <c r="AL896" s="19">
        <v>6</v>
      </c>
      <c r="AM896" s="19">
        <v>0</v>
      </c>
      <c r="AN896" s="19">
        <v>0</v>
      </c>
      <c r="AO896" s="19">
        <v>0</v>
      </c>
      <c r="AP896" s="19">
        <v>0</v>
      </c>
      <c r="AQ896" s="19">
        <v>1000</v>
      </c>
      <c r="AR896" s="19">
        <v>0</v>
      </c>
      <c r="AS896" s="19">
        <v>0</v>
      </c>
      <c r="AT896" s="19">
        <v>0</v>
      </c>
      <c r="AU896" s="19">
        <v>90000009</v>
      </c>
      <c r="AV896" s="19"/>
      <c r="AW896" s="30" t="s">
        <v>205</v>
      </c>
      <c r="AX896" s="19" t="s">
        <v>1802</v>
      </c>
      <c r="AY896" s="19" t="s">
        <v>204</v>
      </c>
      <c r="AZ896" s="19" t="s">
        <v>2030</v>
      </c>
      <c r="BA896" s="20" t="s">
        <v>206</v>
      </c>
      <c r="BB896" s="19">
        <v>0</v>
      </c>
      <c r="BC896" s="31">
        <v>0</v>
      </c>
      <c r="BD896" s="31">
        <v>0</v>
      </c>
      <c r="BE896" s="22" t="s">
        <v>2031</v>
      </c>
      <c r="BF896" s="22" t="s">
        <v>2032</v>
      </c>
      <c r="BG896" s="19">
        <v>0</v>
      </c>
      <c r="BH896" s="21">
        <v>0</v>
      </c>
      <c r="BI896" s="21"/>
      <c r="BJ896" s="21"/>
      <c r="BK896" s="21"/>
      <c r="BL896" s="32"/>
      <c r="BM896" s="25">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63011314</v>
      </c>
      <c r="D897" s="30" t="s">
        <v>2033</v>
      </c>
      <c r="E897" s="30" t="s">
        <v>2034</v>
      </c>
      <c r="F897" s="21">
        <v>1</v>
      </c>
      <c r="G897" s="21">
        <v>60010601</v>
      </c>
      <c r="H897" s="32">
        <v>0</v>
      </c>
      <c r="I897" s="31">
        <v>0</v>
      </c>
      <c r="J897" s="32">
        <v>1</v>
      </c>
      <c r="K897" s="32">
        <v>0</v>
      </c>
      <c r="L897" s="32">
        <v>0</v>
      </c>
      <c r="M897" s="21">
        <v>0</v>
      </c>
      <c r="N897" s="21">
        <v>0</v>
      </c>
      <c r="O897" s="21">
        <v>5</v>
      </c>
      <c r="P897" s="21">
        <v>0</v>
      </c>
      <c r="Q897" s="21">
        <v>0</v>
      </c>
      <c r="R897" s="21">
        <v>0</v>
      </c>
      <c r="S897" s="19">
        <v>0</v>
      </c>
      <c r="T897" s="21">
        <v>0</v>
      </c>
      <c r="U897" s="21">
        <v>1</v>
      </c>
      <c r="V897" s="21">
        <v>2</v>
      </c>
      <c r="W897" s="21">
        <v>0</v>
      </c>
      <c r="X897" s="21">
        <v>0</v>
      </c>
      <c r="Y897" s="19">
        <v>0</v>
      </c>
      <c r="Z897" s="21">
        <v>0</v>
      </c>
      <c r="AA897" s="21">
        <v>0</v>
      </c>
      <c r="AB897" s="21">
        <v>0</v>
      </c>
      <c r="AC897" s="21">
        <v>0</v>
      </c>
      <c r="AD897" s="21">
        <v>0</v>
      </c>
      <c r="AE897" s="21">
        <v>0</v>
      </c>
      <c r="AF897" s="21">
        <v>9</v>
      </c>
      <c r="AG897" s="21">
        <v>2</v>
      </c>
      <c r="AH897" s="21" t="s">
        <v>219</v>
      </c>
      <c r="AI897" s="19">
        <v>2</v>
      </c>
      <c r="AJ897" s="19">
        <v>2</v>
      </c>
      <c r="AK897" s="19">
        <v>0</v>
      </c>
      <c r="AL897" s="19">
        <v>1.5</v>
      </c>
      <c r="AM897" s="21">
        <v>0</v>
      </c>
      <c r="AN897" s="21">
        <v>0</v>
      </c>
      <c r="AO897" s="21">
        <v>0</v>
      </c>
      <c r="AP897" s="21">
        <v>0</v>
      </c>
      <c r="AQ897" s="21">
        <v>3000</v>
      </c>
      <c r="AR897" s="21">
        <v>0.5</v>
      </c>
      <c r="AS897" s="21">
        <v>0</v>
      </c>
      <c r="AT897" s="19">
        <v>0</v>
      </c>
      <c r="AU897" s="21" t="s">
        <v>204</v>
      </c>
      <c r="AV897" s="21"/>
      <c r="AW897" s="30" t="s">
        <v>205</v>
      </c>
      <c r="AX897" s="21">
        <v>0</v>
      </c>
      <c r="AY897" s="32">
        <v>0</v>
      </c>
      <c r="AZ897" s="32">
        <v>0</v>
      </c>
      <c r="BA897" s="30" t="s">
        <v>206</v>
      </c>
      <c r="BB897" s="21" t="s">
        <v>2035</v>
      </c>
      <c r="BC897" s="31">
        <v>0</v>
      </c>
      <c r="BD897" s="31">
        <v>0</v>
      </c>
      <c r="BE897" s="33" t="s">
        <v>2036</v>
      </c>
      <c r="BF897" s="33" t="s">
        <v>2037</v>
      </c>
      <c r="BG897" s="21"/>
      <c r="BH897" s="21">
        <v>0</v>
      </c>
      <c r="BI897" s="21"/>
      <c r="BJ897" s="21"/>
      <c r="BK897" s="21"/>
      <c r="BL897" s="32"/>
      <c r="BM897" s="21">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63011315</v>
      </c>
      <c r="D898" s="88" t="s">
        <v>627</v>
      </c>
      <c r="E898" s="88" t="s">
        <v>628</v>
      </c>
      <c r="F898" s="72">
        <v>1</v>
      </c>
      <c r="G898" s="74">
        <v>60010801</v>
      </c>
      <c r="H898" s="74">
        <v>0</v>
      </c>
      <c r="I898" s="75">
        <v>0</v>
      </c>
      <c r="J898" s="74">
        <v>1</v>
      </c>
      <c r="K898" s="74">
        <v>0</v>
      </c>
      <c r="L898" s="72">
        <v>0</v>
      </c>
      <c r="M898" s="74">
        <v>0</v>
      </c>
      <c r="N898" s="74">
        <v>0</v>
      </c>
      <c r="O898" s="74">
        <v>2</v>
      </c>
      <c r="P898" s="74">
        <v>1</v>
      </c>
      <c r="Q898" s="74">
        <v>0</v>
      </c>
      <c r="R898" s="74">
        <v>0</v>
      </c>
      <c r="S898" s="73">
        <v>0</v>
      </c>
      <c r="T898" s="75">
        <v>0</v>
      </c>
      <c r="U898" s="72">
        <v>1</v>
      </c>
      <c r="V898" s="74">
        <v>2</v>
      </c>
      <c r="W898" s="74">
        <v>0</v>
      </c>
      <c r="X898" s="74">
        <v>0.75</v>
      </c>
      <c r="Y898" s="19">
        <v>0</v>
      </c>
      <c r="Z898" s="74">
        <v>0</v>
      </c>
      <c r="AA898" s="74">
        <v>0</v>
      </c>
      <c r="AB898" s="74">
        <v>0</v>
      </c>
      <c r="AC898" s="74">
        <v>0</v>
      </c>
      <c r="AD898" s="74">
        <v>0</v>
      </c>
      <c r="AE898" s="74">
        <v>0</v>
      </c>
      <c r="AF898" s="74">
        <v>30</v>
      </c>
      <c r="AG898" s="74">
        <v>1</v>
      </c>
      <c r="AH898" s="74">
        <v>4</v>
      </c>
      <c r="AI898" s="73">
        <v>9</v>
      </c>
      <c r="AJ898" s="73">
        <v>0</v>
      </c>
      <c r="AK898" s="19">
        <v>0</v>
      </c>
      <c r="AL898" s="73">
        <v>4</v>
      </c>
      <c r="AM898" s="74">
        <v>0</v>
      </c>
      <c r="AN898" s="74">
        <v>0</v>
      </c>
      <c r="AO898" s="74">
        <v>0</v>
      </c>
      <c r="AP898" s="74">
        <v>0</v>
      </c>
      <c r="AQ898" s="74">
        <v>30000</v>
      </c>
      <c r="AR898" s="74">
        <v>0.5</v>
      </c>
      <c r="AS898" s="74">
        <v>0</v>
      </c>
      <c r="AT898" s="73">
        <v>0</v>
      </c>
      <c r="AU898" s="74">
        <v>0</v>
      </c>
      <c r="AV898" s="74"/>
      <c r="AW898" s="88" t="s">
        <v>205</v>
      </c>
      <c r="AX898" s="74" t="s">
        <v>1415</v>
      </c>
      <c r="AY898" s="74">
        <v>10000009</v>
      </c>
      <c r="AZ898" s="74">
        <v>70405005</v>
      </c>
      <c r="BA898" s="88" t="s">
        <v>321</v>
      </c>
      <c r="BB898" s="88" t="s">
        <v>377</v>
      </c>
      <c r="BC898" s="75">
        <v>0</v>
      </c>
      <c r="BD898" s="75">
        <v>0</v>
      </c>
      <c r="BE898" s="208" t="s">
        <v>2038</v>
      </c>
      <c r="BF898" s="208" t="s">
        <v>2039</v>
      </c>
      <c r="BG898" s="74">
        <v>0</v>
      </c>
      <c r="BH898" s="72">
        <v>0</v>
      </c>
      <c r="BI898" s="74">
        <v>0</v>
      </c>
      <c r="BJ898" s="74">
        <v>0</v>
      </c>
      <c r="BK898" s="74">
        <v>0</v>
      </c>
      <c r="BL898" s="74">
        <v>0</v>
      </c>
      <c r="BM898" s="90">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63011316</v>
      </c>
      <c r="D899" s="30" t="s">
        <v>1895</v>
      </c>
      <c r="E899" s="30" t="s">
        <v>1896</v>
      </c>
      <c r="F899" s="21">
        <v>1</v>
      </c>
      <c r="G899" s="21">
        <v>60010500</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2040</v>
      </c>
      <c r="BC899" s="31">
        <v>0</v>
      </c>
      <c r="BD899" s="31">
        <v>0</v>
      </c>
      <c r="BE899" s="33" t="s">
        <v>2041</v>
      </c>
      <c r="BF899" s="33" t="s">
        <v>2042</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63011317</v>
      </c>
      <c r="D900" s="30" t="s">
        <v>1895</v>
      </c>
      <c r="E900" s="30" t="s">
        <v>1896</v>
      </c>
      <c r="F900" s="21">
        <v>1</v>
      </c>
      <c r="G900" s="21">
        <v>60011301</v>
      </c>
      <c r="H900" s="32">
        <v>0</v>
      </c>
      <c r="I900" s="31">
        <v>0</v>
      </c>
      <c r="J900" s="32">
        <v>1</v>
      </c>
      <c r="K900" s="32">
        <v>0</v>
      </c>
      <c r="L900" s="32">
        <v>0</v>
      </c>
      <c r="M900" s="21">
        <v>0</v>
      </c>
      <c r="N900" s="21">
        <v>0</v>
      </c>
      <c r="O900" s="21">
        <v>5</v>
      </c>
      <c r="P900" s="21">
        <v>0</v>
      </c>
      <c r="Q900" s="21">
        <v>0</v>
      </c>
      <c r="R900" s="21">
        <v>0</v>
      </c>
      <c r="S900" s="19">
        <v>0</v>
      </c>
      <c r="T900" s="21">
        <v>0</v>
      </c>
      <c r="U900" s="21">
        <v>1</v>
      </c>
      <c r="V900" s="21">
        <v>2</v>
      </c>
      <c r="W900" s="21">
        <v>0</v>
      </c>
      <c r="X900" s="21">
        <v>0</v>
      </c>
      <c r="Y900" s="19">
        <v>0</v>
      </c>
      <c r="Z900" s="21">
        <v>0</v>
      </c>
      <c r="AA900" s="21">
        <v>0</v>
      </c>
      <c r="AB900" s="21">
        <v>0</v>
      </c>
      <c r="AC900" s="21">
        <v>0</v>
      </c>
      <c r="AD900" s="21">
        <v>0</v>
      </c>
      <c r="AE900" s="21">
        <v>0</v>
      </c>
      <c r="AF900" s="21">
        <v>9</v>
      </c>
      <c r="AG900" s="21">
        <v>2</v>
      </c>
      <c r="AH900" s="21" t="s">
        <v>219</v>
      </c>
      <c r="AI900" s="19">
        <v>2</v>
      </c>
      <c r="AJ900" s="19">
        <v>2</v>
      </c>
      <c r="AK900" s="19">
        <v>0</v>
      </c>
      <c r="AL900" s="19">
        <v>1.5</v>
      </c>
      <c r="AM900" s="21">
        <v>0</v>
      </c>
      <c r="AN900" s="21">
        <v>0</v>
      </c>
      <c r="AO900" s="21">
        <v>0</v>
      </c>
      <c r="AP900" s="21">
        <v>0</v>
      </c>
      <c r="AQ900" s="21">
        <v>3000</v>
      </c>
      <c r="AR900" s="21">
        <v>0.5</v>
      </c>
      <c r="AS900" s="21">
        <v>0</v>
      </c>
      <c r="AT900" s="19">
        <v>0</v>
      </c>
      <c r="AU900" s="21" t="s">
        <v>204</v>
      </c>
      <c r="AV900" s="21"/>
      <c r="AW900" s="30" t="s">
        <v>205</v>
      </c>
      <c r="AX900" s="21">
        <v>0</v>
      </c>
      <c r="AY900" s="32">
        <v>0</v>
      </c>
      <c r="AZ900" s="32">
        <v>0</v>
      </c>
      <c r="BA900" s="30" t="s">
        <v>206</v>
      </c>
      <c r="BB900" s="21" t="s">
        <v>2043</v>
      </c>
      <c r="BC900" s="31">
        <v>0</v>
      </c>
      <c r="BD900" s="31">
        <v>0</v>
      </c>
      <c r="BE900" s="33" t="s">
        <v>2044</v>
      </c>
      <c r="BF900" s="33" t="s">
        <v>2045</v>
      </c>
      <c r="BG900" s="21"/>
      <c r="BH900" s="21">
        <v>0</v>
      </c>
      <c r="BI900" s="21"/>
      <c r="BJ900" s="21"/>
      <c r="BK900" s="21"/>
      <c r="BL900" s="32"/>
      <c r="BM900" s="21">
        <v>0</v>
      </c>
      <c r="BN900" s="19">
        <v>0</v>
      </c>
      <c r="BO900" s="19">
        <v>0</v>
      </c>
      <c r="BP900" s="19">
        <v>0</v>
      </c>
      <c r="BQ900" s="19">
        <v>0</v>
      </c>
      <c r="BR900" s="19">
        <v>0</v>
      </c>
      <c r="BS900" s="19">
        <v>0</v>
      </c>
      <c r="BT900" s="19">
        <v>0</v>
      </c>
      <c r="BU900" s="23">
        <v>0</v>
      </c>
      <c r="BV900" s="23"/>
      <c r="BW900" s="23"/>
      <c r="BX900" s="23"/>
      <c r="BY900" s="23"/>
      <c r="BZ900" s="23"/>
    </row>
    <row r="901" spans="3:78" ht="20.100000000000001" customHeight="1">
      <c r="C901" s="172">
        <v>63011321</v>
      </c>
      <c r="D901" s="173" t="s">
        <v>1413</v>
      </c>
      <c r="E901" s="173" t="s">
        <v>2006</v>
      </c>
      <c r="F901" s="176">
        <v>0</v>
      </c>
      <c r="G901" s="172">
        <v>63011301</v>
      </c>
      <c r="H901" s="172">
        <f t="shared" ref="H901:H903" si="82">C902</f>
        <v>63011322</v>
      </c>
      <c r="I901" s="206">
        <v>5</v>
      </c>
      <c r="J901" s="21">
        <v>5</v>
      </c>
      <c r="K901" s="21">
        <v>5</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2007</v>
      </c>
      <c r="AY901" s="176">
        <v>0</v>
      </c>
      <c r="AZ901" s="176">
        <v>21101051</v>
      </c>
      <c r="BA901" s="173" t="s">
        <v>1180</v>
      </c>
      <c r="BB901" s="342" t="s">
        <v>2046</v>
      </c>
      <c r="BC901" s="175">
        <v>0</v>
      </c>
      <c r="BD901" s="175">
        <v>0</v>
      </c>
      <c r="BE901" s="207" t="s">
        <v>2047</v>
      </c>
      <c r="BF901" s="207" t="s">
        <v>2048</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63011322</v>
      </c>
      <c r="D902" s="173" t="s">
        <v>1413</v>
      </c>
      <c r="E902" s="173" t="s">
        <v>2006</v>
      </c>
      <c r="F902" s="176">
        <v>1</v>
      </c>
      <c r="G902" s="172">
        <v>63011301</v>
      </c>
      <c r="H902" s="172">
        <f t="shared" si="82"/>
        <v>63011323</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2007</v>
      </c>
      <c r="AY902" s="176">
        <v>0</v>
      </c>
      <c r="AZ902" s="176">
        <v>21101051</v>
      </c>
      <c r="BA902" s="173" t="s">
        <v>1180</v>
      </c>
      <c r="BB902" s="342" t="s">
        <v>2046</v>
      </c>
      <c r="BC902" s="175">
        <v>0</v>
      </c>
      <c r="BD902" s="175">
        <v>0</v>
      </c>
      <c r="BE902" s="207" t="s">
        <v>2047</v>
      </c>
      <c r="BF902" s="207" t="s">
        <v>2048</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20.100000000000001" customHeight="1">
      <c r="C903" s="172">
        <v>63011323</v>
      </c>
      <c r="D903" s="173" t="s">
        <v>1413</v>
      </c>
      <c r="E903" s="173" t="s">
        <v>2006</v>
      </c>
      <c r="F903" s="176">
        <v>2</v>
      </c>
      <c r="G903" s="172">
        <v>63011301</v>
      </c>
      <c r="H903" s="172">
        <f t="shared" si="82"/>
        <v>63011324</v>
      </c>
      <c r="I903" s="206">
        <v>5</v>
      </c>
      <c r="J903" s="21">
        <v>5</v>
      </c>
      <c r="K903" s="21">
        <v>2</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2007</v>
      </c>
      <c r="AY903" s="176">
        <v>0</v>
      </c>
      <c r="AZ903" s="176">
        <v>21101051</v>
      </c>
      <c r="BA903" s="173" t="s">
        <v>1180</v>
      </c>
      <c r="BB903" s="342" t="s">
        <v>2049</v>
      </c>
      <c r="BC903" s="175">
        <v>0</v>
      </c>
      <c r="BD903" s="175">
        <v>0</v>
      </c>
      <c r="BE903" s="207" t="s">
        <v>2050</v>
      </c>
      <c r="BF903" s="207" t="s">
        <v>2051</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63011324</v>
      </c>
      <c r="D904" s="173" t="s">
        <v>1413</v>
      </c>
      <c r="E904" s="173" t="s">
        <v>2006</v>
      </c>
      <c r="F904" s="176">
        <v>3</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2007</v>
      </c>
      <c r="AY904" s="176">
        <v>0</v>
      </c>
      <c r="AZ904" s="176">
        <v>21101051</v>
      </c>
      <c r="BA904" s="173" t="s">
        <v>1180</v>
      </c>
      <c r="BB904" s="342" t="s">
        <v>2052</v>
      </c>
      <c r="BC904" s="175">
        <v>0</v>
      </c>
      <c r="BD904" s="175">
        <v>0</v>
      </c>
      <c r="BE904" s="207" t="s">
        <v>2053</v>
      </c>
      <c r="BF904" s="207" t="s">
        <v>2054</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63011325</v>
      </c>
      <c r="D905" s="173" t="s">
        <v>1413</v>
      </c>
      <c r="E905" s="173" t="s">
        <v>2006</v>
      </c>
      <c r="F905" s="176">
        <v>4</v>
      </c>
      <c r="G905" s="172">
        <v>63011301</v>
      </c>
      <c r="H905" s="172">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2007</v>
      </c>
      <c r="AY905" s="176">
        <v>0</v>
      </c>
      <c r="AZ905" s="176">
        <v>21101051</v>
      </c>
      <c r="BA905" s="173" t="s">
        <v>1180</v>
      </c>
      <c r="BB905" s="342" t="s">
        <v>2055</v>
      </c>
      <c r="BC905" s="175">
        <v>0</v>
      </c>
      <c r="BD905" s="175">
        <v>0</v>
      </c>
      <c r="BE905" s="207" t="s">
        <v>2056</v>
      </c>
      <c r="BF905" s="207" t="s">
        <v>2057</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19.5" customHeight="1">
      <c r="C906" s="172">
        <v>63011326</v>
      </c>
      <c r="D906" s="173" t="s">
        <v>1413</v>
      </c>
      <c r="E906" s="173" t="s">
        <v>2006</v>
      </c>
      <c r="F906" s="176">
        <v>5</v>
      </c>
      <c r="G906" s="172">
        <v>63011301</v>
      </c>
      <c r="H906" s="176">
        <v>0</v>
      </c>
      <c r="I906" s="206">
        <v>5</v>
      </c>
      <c r="J906" s="21">
        <v>5</v>
      </c>
      <c r="K906" s="21">
        <v>0</v>
      </c>
      <c r="L906" s="176">
        <v>0</v>
      </c>
      <c r="M906" s="172">
        <v>0</v>
      </c>
      <c r="N906" s="172">
        <v>0</v>
      </c>
      <c r="O906" s="172">
        <v>1</v>
      </c>
      <c r="P906" s="172">
        <v>0</v>
      </c>
      <c r="Q906" s="172">
        <v>0</v>
      </c>
      <c r="R906" s="172">
        <v>0</v>
      </c>
      <c r="S906" s="175">
        <v>0</v>
      </c>
      <c r="T906" s="172">
        <v>0</v>
      </c>
      <c r="U906" s="172">
        <v>1</v>
      </c>
      <c r="V906" s="172">
        <v>2</v>
      </c>
      <c r="W906" s="172">
        <v>0</v>
      </c>
      <c r="X906" s="172">
        <v>0</v>
      </c>
      <c r="Y906" s="19">
        <v>0</v>
      </c>
      <c r="Z906" s="172">
        <v>0</v>
      </c>
      <c r="AA906" s="172">
        <v>0</v>
      </c>
      <c r="AB906" s="172">
        <v>20</v>
      </c>
      <c r="AC906" s="172">
        <v>0</v>
      </c>
      <c r="AD906" s="172">
        <v>0</v>
      </c>
      <c r="AE906" s="172">
        <v>0</v>
      </c>
      <c r="AF906" s="172">
        <v>30</v>
      </c>
      <c r="AG906" s="172">
        <v>0</v>
      </c>
      <c r="AH906" s="172">
        <v>0</v>
      </c>
      <c r="AI906" s="175">
        <v>1</v>
      </c>
      <c r="AJ906" s="175">
        <v>0</v>
      </c>
      <c r="AK906" s="175">
        <v>0</v>
      </c>
      <c r="AL906" s="175">
        <v>1.5</v>
      </c>
      <c r="AM906" s="172">
        <v>0</v>
      </c>
      <c r="AN906" s="172">
        <v>0</v>
      </c>
      <c r="AO906" s="172">
        <v>0</v>
      </c>
      <c r="AP906" s="176">
        <v>0.25</v>
      </c>
      <c r="AQ906" s="172">
        <v>3000</v>
      </c>
      <c r="AR906" s="172">
        <v>0</v>
      </c>
      <c r="AS906" s="172">
        <v>0</v>
      </c>
      <c r="AT906" s="175">
        <v>0</v>
      </c>
      <c r="AU906" s="172" t="s">
        <v>204</v>
      </c>
      <c r="AV906" s="172"/>
      <c r="AW906" s="173" t="s">
        <v>205</v>
      </c>
      <c r="AX906" s="172" t="s">
        <v>2007</v>
      </c>
      <c r="AY906" s="176">
        <v>0</v>
      </c>
      <c r="AZ906" s="176">
        <v>21101051</v>
      </c>
      <c r="BA906" s="173" t="s">
        <v>1180</v>
      </c>
      <c r="BB906" s="342" t="s">
        <v>2058</v>
      </c>
      <c r="BC906" s="175">
        <v>0</v>
      </c>
      <c r="BD906" s="175">
        <v>0</v>
      </c>
      <c r="BE906" s="207" t="s">
        <v>2059</v>
      </c>
      <c r="BF906" s="207" t="s">
        <v>2060</v>
      </c>
      <c r="BG906" s="172">
        <v>0</v>
      </c>
      <c r="BH906" s="172">
        <v>0</v>
      </c>
      <c r="BI906" s="172">
        <v>0</v>
      </c>
      <c r="BJ906" s="172">
        <v>0</v>
      </c>
      <c r="BK906" s="172">
        <v>0</v>
      </c>
      <c r="BL906" s="172">
        <v>0</v>
      </c>
      <c r="BM906" s="178">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63012101</v>
      </c>
      <c r="D907" s="205" t="s">
        <v>2061</v>
      </c>
      <c r="E907" s="205" t="s">
        <v>2062</v>
      </c>
      <c r="F907" s="176">
        <v>0</v>
      </c>
      <c r="G907" s="176">
        <v>63012101</v>
      </c>
      <c r="H907" s="172">
        <f t="shared" ref="H907:H909" si="83">C908</f>
        <v>63012102</v>
      </c>
      <c r="I907" s="174">
        <v>1</v>
      </c>
      <c r="J907" s="21">
        <v>1</v>
      </c>
      <c r="K907" s="21">
        <v>5</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"对于当前目标造成"&amp;X907*100&amp;"%攻击伤害+"&amp;Z907&amp;"点固定伤害"&amp;",如目标生命低于30%的则造成伤害提升50%"</f>
        <v>对于当前目标造成250%攻击伤害+900点固定伤害,如目标生命低于30%的则造成伤害提升50%</v>
      </c>
      <c r="BF907" s="203" t="s">
        <v>2063</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63012102</v>
      </c>
      <c r="D908" s="205" t="s">
        <v>2061</v>
      </c>
      <c r="E908" s="205" t="s">
        <v>2062</v>
      </c>
      <c r="F908" s="176">
        <v>1</v>
      </c>
      <c r="G908" s="176">
        <v>63012101</v>
      </c>
      <c r="H908" s="172">
        <f t="shared" si="83"/>
        <v>63012103</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2.5</v>
      </c>
      <c r="Y908" s="19">
        <v>0</v>
      </c>
      <c r="Z908" s="175">
        <v>900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ref="BE908:BE912" si="84">"对于当前目标造成"&amp;X908*100&amp;"%攻击伤害+"&amp;Z908&amp;"点固定伤害"&amp;",如目标生命低于30%的则造成伤害提升50%"</f>
        <v>对于当前目标造成250%攻击伤害+900点固定伤害,如目标生命低于30%的则造成伤害提升50%</v>
      </c>
      <c r="BF908" s="203" t="s">
        <v>2063</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63012103</v>
      </c>
      <c r="D909" s="205" t="s">
        <v>2061</v>
      </c>
      <c r="E909" s="205" t="s">
        <v>2062</v>
      </c>
      <c r="F909" s="176">
        <v>2</v>
      </c>
      <c r="G909" s="176">
        <v>63012101</v>
      </c>
      <c r="H909" s="172">
        <f t="shared" si="83"/>
        <v>63012104</v>
      </c>
      <c r="I909" s="174">
        <v>1</v>
      </c>
      <c r="J909" s="21">
        <v>1</v>
      </c>
      <c r="K909" s="21">
        <v>2</v>
      </c>
      <c r="L909" s="172">
        <v>0</v>
      </c>
      <c r="M909" s="176">
        <v>0</v>
      </c>
      <c r="N909" s="176">
        <v>0</v>
      </c>
      <c r="O909" s="176">
        <v>1</v>
      </c>
      <c r="P909" s="176">
        <v>0</v>
      </c>
      <c r="Q909" s="176">
        <v>0</v>
      </c>
      <c r="R909" s="176">
        <v>0</v>
      </c>
      <c r="S909" s="175">
        <v>0</v>
      </c>
      <c r="T909" s="176">
        <v>0</v>
      </c>
      <c r="U909" s="172">
        <v>1</v>
      </c>
      <c r="V909" s="176">
        <v>1</v>
      </c>
      <c r="W909" s="176">
        <v>0</v>
      </c>
      <c r="X909" s="176">
        <v>2.75</v>
      </c>
      <c r="Y909" s="19">
        <v>0</v>
      </c>
      <c r="Z909" s="175">
        <v>1800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4"/>
        <v>对于当前目标造成275%攻击伤害+1800点固定伤害,如目标生命低于30%的则造成伤害提升50%</v>
      </c>
      <c r="BF909" s="203" t="s">
        <v>2064</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63012104</v>
      </c>
      <c r="D910" s="205" t="s">
        <v>2061</v>
      </c>
      <c r="E910" s="205" t="s">
        <v>2062</v>
      </c>
      <c r="F910" s="176">
        <v>3</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v>
      </c>
      <c r="Y910" s="19">
        <v>0</v>
      </c>
      <c r="Z910" s="175">
        <v>2800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4"/>
        <v>对于当前目标造成300%攻击伤害+2800点固定伤害,如目标生命低于30%的则造成伤害提升50%</v>
      </c>
      <c r="BF910" s="203" t="s">
        <v>2065</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63012105</v>
      </c>
      <c r="D911" s="205" t="s">
        <v>2061</v>
      </c>
      <c r="E911" s="205" t="s">
        <v>2062</v>
      </c>
      <c r="F911" s="176">
        <v>4</v>
      </c>
      <c r="G911" s="176">
        <v>63012101</v>
      </c>
      <c r="H911" s="172">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3.25</v>
      </c>
      <c r="Y911" s="19">
        <v>0</v>
      </c>
      <c r="Z911" s="175">
        <v>4000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4"/>
        <v>对于当前目标造成325%攻击伤害+4000点固定伤害,如目标生命低于30%的则造成伤害提升50%</v>
      </c>
      <c r="BF911" s="203" t="s">
        <v>2066</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63012106</v>
      </c>
      <c r="D912" s="205" t="s">
        <v>2061</v>
      </c>
      <c r="E912" s="205" t="s">
        <v>2062</v>
      </c>
      <c r="F912" s="176">
        <v>5</v>
      </c>
      <c r="G912" s="176">
        <v>63012101</v>
      </c>
      <c r="H912" s="176">
        <v>0</v>
      </c>
      <c r="I912" s="174">
        <v>1</v>
      </c>
      <c r="J912" s="21">
        <v>1</v>
      </c>
      <c r="K912" s="21">
        <v>0</v>
      </c>
      <c r="L912" s="172">
        <v>0</v>
      </c>
      <c r="M912" s="176">
        <v>0</v>
      </c>
      <c r="N912" s="176">
        <v>0</v>
      </c>
      <c r="O912" s="176">
        <v>1</v>
      </c>
      <c r="P912" s="176">
        <v>0</v>
      </c>
      <c r="Q912" s="176">
        <v>0</v>
      </c>
      <c r="R912" s="176">
        <v>0</v>
      </c>
      <c r="S912" s="175">
        <v>0</v>
      </c>
      <c r="T912" s="176">
        <v>0</v>
      </c>
      <c r="U912" s="172">
        <v>1</v>
      </c>
      <c r="V912" s="176">
        <v>1</v>
      </c>
      <c r="W912" s="176">
        <v>0</v>
      </c>
      <c r="X912" s="176">
        <v>3.5</v>
      </c>
      <c r="Y912" s="19">
        <v>0</v>
      </c>
      <c r="Z912" s="175">
        <v>5200</v>
      </c>
      <c r="AA912" s="176">
        <v>0</v>
      </c>
      <c r="AB912" s="176">
        <v>15</v>
      </c>
      <c r="AC912" s="176">
        <v>0</v>
      </c>
      <c r="AD912" s="176">
        <v>1</v>
      </c>
      <c r="AE912" s="176">
        <v>0</v>
      </c>
      <c r="AF912" s="176">
        <v>9</v>
      </c>
      <c r="AG912" s="176">
        <v>0</v>
      </c>
      <c r="AH912" s="176">
        <v>0</v>
      </c>
      <c r="AI912" s="175">
        <v>7</v>
      </c>
      <c r="AJ912" s="175">
        <v>0</v>
      </c>
      <c r="AK912" s="175">
        <v>0</v>
      </c>
      <c r="AL912" s="175">
        <v>6</v>
      </c>
      <c r="AM912" s="176">
        <v>0</v>
      </c>
      <c r="AN912" s="176">
        <v>0</v>
      </c>
      <c r="AO912" s="209">
        <v>0</v>
      </c>
      <c r="AP912" s="172">
        <v>0.1</v>
      </c>
      <c r="AQ912" s="176">
        <v>3000</v>
      </c>
      <c r="AR912" s="176">
        <v>0.2</v>
      </c>
      <c r="AS912" s="176">
        <v>20</v>
      </c>
      <c r="AT912" s="175">
        <v>0</v>
      </c>
      <c r="AU912" s="176" t="s">
        <v>204</v>
      </c>
      <c r="AV912" s="176"/>
      <c r="AW912" s="173" t="s">
        <v>768</v>
      </c>
      <c r="AX912" s="176" t="s">
        <v>255</v>
      </c>
      <c r="AY912" s="176">
        <v>21200120</v>
      </c>
      <c r="AZ912" s="176">
        <v>0</v>
      </c>
      <c r="BA912" s="205" t="s">
        <v>256</v>
      </c>
      <c r="BB912" s="205" t="s">
        <v>204</v>
      </c>
      <c r="BC912" s="175">
        <v>0</v>
      </c>
      <c r="BD912" s="175">
        <v>0</v>
      </c>
      <c r="BE912" s="203" t="str">
        <f t="shared" si="84"/>
        <v>对于当前目标造成350%攻击伤害+5200点固定伤害,如目标生命低于30%的则造成伤害提升50%</v>
      </c>
      <c r="BF912" s="203" t="s">
        <v>2067</v>
      </c>
      <c r="BG912" s="176">
        <v>0</v>
      </c>
      <c r="BH912" s="176">
        <v>0</v>
      </c>
      <c r="BI912" s="176">
        <v>0</v>
      </c>
      <c r="BJ912" s="176">
        <v>0</v>
      </c>
      <c r="BK912" s="176">
        <v>0</v>
      </c>
      <c r="BL912" s="176">
        <v>0</v>
      </c>
      <c r="BM912" s="176">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63012201</v>
      </c>
      <c r="D913" s="202" t="s">
        <v>1421</v>
      </c>
      <c r="E913" s="202" t="s">
        <v>2068</v>
      </c>
      <c r="F913" s="176">
        <v>0</v>
      </c>
      <c r="G913" s="176">
        <v>60031111</v>
      </c>
      <c r="H913" s="172">
        <f t="shared" ref="H913:H915" si="85">C914</f>
        <v>63012202</v>
      </c>
      <c r="I913" s="206">
        <v>5</v>
      </c>
      <c r="J913" s="21">
        <v>3</v>
      </c>
      <c r="K913" s="21">
        <v>5</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2069</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1407</v>
      </c>
      <c r="AY913" s="176">
        <v>21200031</v>
      </c>
      <c r="AZ913" s="176">
        <v>21200030</v>
      </c>
      <c r="BA913" s="205" t="s">
        <v>592</v>
      </c>
      <c r="BB913" s="175" t="s">
        <v>2070</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2071</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63012202</v>
      </c>
      <c r="D914" s="202" t="s">
        <v>1421</v>
      </c>
      <c r="E914" s="202" t="s">
        <v>2068</v>
      </c>
      <c r="F914" s="176">
        <v>1</v>
      </c>
      <c r="G914" s="176">
        <v>60031111</v>
      </c>
      <c r="H914" s="172">
        <f t="shared" si="85"/>
        <v>63012203</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1.75</v>
      </c>
      <c r="Y914" s="19">
        <v>0</v>
      </c>
      <c r="Z914" s="175">
        <v>750</v>
      </c>
      <c r="AA914" s="172">
        <v>1</v>
      </c>
      <c r="AB914" s="176">
        <v>20</v>
      </c>
      <c r="AC914" s="172">
        <v>0</v>
      </c>
      <c r="AD914" s="172">
        <v>0</v>
      </c>
      <c r="AE914" s="172">
        <v>0</v>
      </c>
      <c r="AF914" s="176">
        <v>9</v>
      </c>
      <c r="AG914" s="172">
        <v>2</v>
      </c>
      <c r="AH914" s="172" t="s">
        <v>2069</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1407</v>
      </c>
      <c r="AY914" s="176">
        <v>21200031</v>
      </c>
      <c r="AZ914" s="176">
        <v>21200030</v>
      </c>
      <c r="BA914" s="205" t="s">
        <v>592</v>
      </c>
      <c r="BB914" s="175" t="s">
        <v>2070</v>
      </c>
      <c r="BC914" s="175">
        <v>0</v>
      </c>
      <c r="BD914" s="175">
        <v>0</v>
      </c>
      <c r="BE914" s="203" t="str">
        <f>"对前方扇形范围进行散射,造成"&amp;X914*100&amp;"%攻击伤害+"&amp;Z914&amp;"点固定伤害"&amp;",并对目标触发1秒眩晕"</f>
        <v>对前方扇形范围进行散射,造成175%攻击伤害+750点固定伤害,并对目标触发1秒眩晕</v>
      </c>
      <c r="BF914" s="203" t="s">
        <v>2071</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63012203</v>
      </c>
      <c r="D915" s="202" t="s">
        <v>1421</v>
      </c>
      <c r="E915" s="202" t="s">
        <v>2068</v>
      </c>
      <c r="F915" s="176">
        <v>2</v>
      </c>
      <c r="G915" s="176">
        <v>60031111</v>
      </c>
      <c r="H915" s="172">
        <f t="shared" si="85"/>
        <v>63012204</v>
      </c>
      <c r="I915" s="206">
        <v>5</v>
      </c>
      <c r="J915" s="21">
        <v>3</v>
      </c>
      <c r="K915" s="21">
        <v>2</v>
      </c>
      <c r="L915" s="176">
        <v>0</v>
      </c>
      <c r="M915" s="172">
        <v>0</v>
      </c>
      <c r="N915" s="172">
        <v>0</v>
      </c>
      <c r="O915" s="172">
        <v>1</v>
      </c>
      <c r="P915" s="172">
        <v>0</v>
      </c>
      <c r="Q915" s="172">
        <v>1</v>
      </c>
      <c r="R915" s="172">
        <v>0</v>
      </c>
      <c r="S915" s="175">
        <v>0</v>
      </c>
      <c r="T915" s="172">
        <v>0</v>
      </c>
      <c r="U915" s="172">
        <v>1</v>
      </c>
      <c r="V915" s="172">
        <v>2</v>
      </c>
      <c r="W915" s="172">
        <v>0</v>
      </c>
      <c r="X915" s="175">
        <v>2</v>
      </c>
      <c r="Y915" s="19">
        <v>0</v>
      </c>
      <c r="Z915" s="175">
        <v>1500</v>
      </c>
      <c r="AA915" s="172">
        <v>1</v>
      </c>
      <c r="AB915" s="176">
        <v>20</v>
      </c>
      <c r="AC915" s="172">
        <v>0</v>
      </c>
      <c r="AD915" s="172">
        <v>0</v>
      </c>
      <c r="AE915" s="172">
        <v>0</v>
      </c>
      <c r="AF915" s="176">
        <v>9</v>
      </c>
      <c r="AG915" s="172">
        <v>2</v>
      </c>
      <c r="AH915" s="172" t="s">
        <v>2069</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1407</v>
      </c>
      <c r="AY915" s="176">
        <v>21200031</v>
      </c>
      <c r="AZ915" s="176">
        <v>21200030</v>
      </c>
      <c r="BA915" s="205" t="s">
        <v>592</v>
      </c>
      <c r="BB915" s="175" t="s">
        <v>2070</v>
      </c>
      <c r="BC915" s="175">
        <v>0</v>
      </c>
      <c r="BD915" s="175">
        <v>0</v>
      </c>
      <c r="BE915" s="203" t="str">
        <f t="shared" ref="BE915:BE918" si="86">"对前方扇形范围进行散射,造成"&amp;X915*100&amp;"%攻击伤害+"&amp;Z915&amp;"点固定伤害"&amp;",并对目标触发1秒眩晕"</f>
        <v>对前方扇形范围进行散射,造成200%攻击伤害+1500点固定伤害,并对目标触发1秒眩晕</v>
      </c>
      <c r="BF915" s="203" t="s">
        <v>2072</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63012204</v>
      </c>
      <c r="D916" s="202" t="s">
        <v>1421</v>
      </c>
      <c r="E916" s="202" t="s">
        <v>2068</v>
      </c>
      <c r="F916" s="176">
        <v>3</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2.25</v>
      </c>
      <c r="Y916" s="19">
        <v>0</v>
      </c>
      <c r="Z916" s="175">
        <v>2250</v>
      </c>
      <c r="AA916" s="172">
        <v>1</v>
      </c>
      <c r="AB916" s="176">
        <v>20</v>
      </c>
      <c r="AC916" s="172">
        <v>0</v>
      </c>
      <c r="AD916" s="172">
        <v>0</v>
      </c>
      <c r="AE916" s="172">
        <v>0</v>
      </c>
      <c r="AF916" s="176">
        <v>9</v>
      </c>
      <c r="AG916" s="172">
        <v>2</v>
      </c>
      <c r="AH916" s="172" t="s">
        <v>2069</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1407</v>
      </c>
      <c r="AY916" s="176">
        <v>21200031</v>
      </c>
      <c r="AZ916" s="176">
        <v>21200030</v>
      </c>
      <c r="BA916" s="205" t="s">
        <v>592</v>
      </c>
      <c r="BB916" s="175" t="s">
        <v>2070</v>
      </c>
      <c r="BC916" s="175">
        <v>0</v>
      </c>
      <c r="BD916" s="175">
        <v>0</v>
      </c>
      <c r="BE916" s="203" t="str">
        <f t="shared" si="86"/>
        <v>对前方扇形范围进行散射,造成225%攻击伤害+2250点固定伤害,并对目标触发1秒眩晕</v>
      </c>
      <c r="BF916" s="203" t="s">
        <v>2073</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63012205</v>
      </c>
      <c r="D917" s="202" t="s">
        <v>1421</v>
      </c>
      <c r="E917" s="202" t="s">
        <v>2068</v>
      </c>
      <c r="F917" s="176">
        <v>4</v>
      </c>
      <c r="G917" s="176">
        <v>60031111</v>
      </c>
      <c r="H917" s="172">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2.5</v>
      </c>
      <c r="Y917" s="19">
        <v>0</v>
      </c>
      <c r="Z917" s="175">
        <v>3250</v>
      </c>
      <c r="AA917" s="172">
        <v>1</v>
      </c>
      <c r="AB917" s="176">
        <v>20</v>
      </c>
      <c r="AC917" s="172">
        <v>0</v>
      </c>
      <c r="AD917" s="172">
        <v>0</v>
      </c>
      <c r="AE917" s="172">
        <v>0</v>
      </c>
      <c r="AF917" s="176">
        <v>9</v>
      </c>
      <c r="AG917" s="172">
        <v>2</v>
      </c>
      <c r="AH917" s="172" t="s">
        <v>2069</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1407</v>
      </c>
      <c r="AY917" s="176">
        <v>21200031</v>
      </c>
      <c r="AZ917" s="176">
        <v>21200030</v>
      </c>
      <c r="BA917" s="205" t="s">
        <v>592</v>
      </c>
      <c r="BB917" s="175" t="s">
        <v>2070</v>
      </c>
      <c r="BC917" s="175">
        <v>0</v>
      </c>
      <c r="BD917" s="175">
        <v>0</v>
      </c>
      <c r="BE917" s="203" t="str">
        <f t="shared" si="86"/>
        <v>对前方扇形范围进行散射,造成250%攻击伤害+3250点固定伤害,并对目标触发1秒眩晕</v>
      </c>
      <c r="BF917" s="203" t="s">
        <v>2074</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20.100000000000001" customHeight="1">
      <c r="C918" s="172">
        <v>63012206</v>
      </c>
      <c r="D918" s="202" t="s">
        <v>1421</v>
      </c>
      <c r="E918" s="202" t="s">
        <v>2068</v>
      </c>
      <c r="F918" s="176">
        <v>5</v>
      </c>
      <c r="G918" s="176">
        <v>60031111</v>
      </c>
      <c r="H918" s="176">
        <v>0</v>
      </c>
      <c r="I918" s="206">
        <v>5</v>
      </c>
      <c r="J918" s="21">
        <v>3</v>
      </c>
      <c r="K918" s="21">
        <v>0</v>
      </c>
      <c r="L918" s="176">
        <v>0</v>
      </c>
      <c r="M918" s="172">
        <v>0</v>
      </c>
      <c r="N918" s="172">
        <v>0</v>
      </c>
      <c r="O918" s="172">
        <v>1</v>
      </c>
      <c r="P918" s="172">
        <v>0</v>
      </c>
      <c r="Q918" s="172">
        <v>1</v>
      </c>
      <c r="R918" s="172">
        <v>0</v>
      </c>
      <c r="S918" s="175">
        <v>0</v>
      </c>
      <c r="T918" s="172">
        <v>0</v>
      </c>
      <c r="U918" s="172">
        <v>1</v>
      </c>
      <c r="V918" s="172">
        <v>2</v>
      </c>
      <c r="W918" s="172">
        <v>0</v>
      </c>
      <c r="X918" s="175">
        <v>2.75</v>
      </c>
      <c r="Y918" s="19">
        <v>0</v>
      </c>
      <c r="Z918" s="175">
        <v>4250</v>
      </c>
      <c r="AA918" s="172">
        <v>1</v>
      </c>
      <c r="AB918" s="176">
        <v>20</v>
      </c>
      <c r="AC918" s="172">
        <v>0</v>
      </c>
      <c r="AD918" s="172">
        <v>0</v>
      </c>
      <c r="AE918" s="172">
        <v>0</v>
      </c>
      <c r="AF918" s="176">
        <v>9</v>
      </c>
      <c r="AG918" s="172">
        <v>2</v>
      </c>
      <c r="AH918" s="172" t="s">
        <v>2069</v>
      </c>
      <c r="AI918" s="175">
        <v>0</v>
      </c>
      <c r="AJ918" s="175">
        <v>3</v>
      </c>
      <c r="AK918" s="175">
        <v>0</v>
      </c>
      <c r="AL918" s="175">
        <v>2</v>
      </c>
      <c r="AM918" s="172">
        <v>0</v>
      </c>
      <c r="AN918" s="172">
        <v>0</v>
      </c>
      <c r="AO918" s="172">
        <v>0</v>
      </c>
      <c r="AP918" s="172">
        <v>0.25</v>
      </c>
      <c r="AQ918" s="172">
        <v>1500</v>
      </c>
      <c r="AR918" s="172">
        <v>0.5</v>
      </c>
      <c r="AS918" s="172">
        <v>20</v>
      </c>
      <c r="AT918" s="175">
        <v>0</v>
      </c>
      <c r="AU918" s="172">
        <v>92003001</v>
      </c>
      <c r="AV918" s="172"/>
      <c r="AW918" s="173" t="s">
        <v>293</v>
      </c>
      <c r="AX918" s="172" t="s">
        <v>1407</v>
      </c>
      <c r="AY918" s="176">
        <v>21200031</v>
      </c>
      <c r="AZ918" s="176">
        <v>21200030</v>
      </c>
      <c r="BA918" s="205" t="s">
        <v>592</v>
      </c>
      <c r="BB918" s="175" t="s">
        <v>2070</v>
      </c>
      <c r="BC918" s="175">
        <v>0</v>
      </c>
      <c r="BD918" s="175">
        <v>0</v>
      </c>
      <c r="BE918" s="203" t="str">
        <f t="shared" si="86"/>
        <v>对前方扇形范围进行散射,造成275%攻击伤害+4250点固定伤害,并对目标触发1秒眩晕</v>
      </c>
      <c r="BF918" s="203" t="s">
        <v>2075</v>
      </c>
      <c r="BG918" s="172">
        <v>0</v>
      </c>
      <c r="BH918" s="172">
        <v>0</v>
      </c>
      <c r="BI918" s="172">
        <v>0</v>
      </c>
      <c r="BJ918" s="172">
        <v>0</v>
      </c>
      <c r="BK918" s="172">
        <v>0</v>
      </c>
      <c r="BL918" s="172">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63012301</v>
      </c>
      <c r="D919" s="205" t="s">
        <v>2076</v>
      </c>
      <c r="E919" s="205" t="s">
        <v>2077</v>
      </c>
      <c r="F919" s="176">
        <v>0</v>
      </c>
      <c r="G919" s="176">
        <v>63012302</v>
      </c>
      <c r="H919" s="172">
        <f t="shared" ref="H919:H921" si="87">C920</f>
        <v>63012302</v>
      </c>
      <c r="I919" s="174">
        <v>1</v>
      </c>
      <c r="J919" s="21">
        <v>5</v>
      </c>
      <c r="K919" s="21">
        <v>5</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1423</v>
      </c>
      <c r="AY919" s="176">
        <v>10003002</v>
      </c>
      <c r="AZ919" s="176">
        <v>21200130</v>
      </c>
      <c r="BA919" s="205" t="s">
        <v>206</v>
      </c>
      <c r="BB919" s="205">
        <v>0</v>
      </c>
      <c r="BC919" s="175">
        <v>0</v>
      </c>
      <c r="BD919" s="175">
        <v>0</v>
      </c>
      <c r="BE919" s="210" t="str">
        <f>"立即对当前前方区域的怪物造成"&amp;X919*100&amp;"%攻击伤害+"&amp;Z919&amp;"点固定伤害,且自身会向后方区域进行跳跃"</f>
        <v>立即对当前前方区域的怪物造成250%攻击伤害+900点固定伤害,且自身会向后方区域进行跳跃</v>
      </c>
      <c r="BF919" s="210" t="s">
        <v>2078</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63012302</v>
      </c>
      <c r="D920" s="205" t="s">
        <v>2076</v>
      </c>
      <c r="E920" s="205" t="s">
        <v>2077</v>
      </c>
      <c r="F920" s="176">
        <v>1</v>
      </c>
      <c r="G920" s="176">
        <v>63012302</v>
      </c>
      <c r="H920" s="172">
        <f t="shared" si="87"/>
        <v>63012303</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2.5</v>
      </c>
      <c r="Y920" s="19">
        <v>0</v>
      </c>
      <c r="Z920" s="175">
        <v>900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1423</v>
      </c>
      <c r="AY920" s="176">
        <v>10003002</v>
      </c>
      <c r="AZ920" s="176">
        <v>21200130</v>
      </c>
      <c r="BA920" s="205" t="s">
        <v>206</v>
      </c>
      <c r="BB920" s="205">
        <v>0</v>
      </c>
      <c r="BC920" s="175">
        <v>0</v>
      </c>
      <c r="BD920" s="175">
        <v>0</v>
      </c>
      <c r="BE920" s="210" t="str">
        <f t="shared" ref="BE920:BE924" si="88">"立即对当前前方区域的怪物造成"&amp;X920*100&amp;"%攻击伤害+"&amp;Z920&amp;"点固定伤害,且自身会向后方区域进行跳跃"</f>
        <v>立即对当前前方区域的怪物造成250%攻击伤害+900点固定伤害,且自身会向后方区域进行跳跃</v>
      </c>
      <c r="BF920" s="210" t="s">
        <v>2078</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63012303</v>
      </c>
      <c r="D921" s="205" t="s">
        <v>2076</v>
      </c>
      <c r="E921" s="205" t="s">
        <v>2077</v>
      </c>
      <c r="F921" s="176">
        <v>2</v>
      </c>
      <c r="G921" s="176">
        <v>63012302</v>
      </c>
      <c r="H921" s="172">
        <f t="shared" si="87"/>
        <v>63012304</v>
      </c>
      <c r="I921" s="174">
        <v>1</v>
      </c>
      <c r="J921" s="21">
        <v>5</v>
      </c>
      <c r="K921" s="21">
        <v>2</v>
      </c>
      <c r="L921" s="172">
        <v>0</v>
      </c>
      <c r="M921" s="176">
        <v>0</v>
      </c>
      <c r="N921" s="176">
        <v>0</v>
      </c>
      <c r="O921" s="176">
        <v>1</v>
      </c>
      <c r="P921" s="176">
        <v>0</v>
      </c>
      <c r="Q921" s="176">
        <v>0</v>
      </c>
      <c r="R921" s="176">
        <v>0</v>
      </c>
      <c r="S921" s="175">
        <v>0</v>
      </c>
      <c r="T921" s="174">
        <v>0</v>
      </c>
      <c r="U921" s="172">
        <v>1</v>
      </c>
      <c r="V921" s="176">
        <v>2</v>
      </c>
      <c r="W921" s="176">
        <v>0</v>
      </c>
      <c r="X921" s="176">
        <v>2.75</v>
      </c>
      <c r="Y921" s="19">
        <v>0</v>
      </c>
      <c r="Z921" s="175">
        <v>1800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1423</v>
      </c>
      <c r="AY921" s="176">
        <v>10003002</v>
      </c>
      <c r="AZ921" s="176">
        <v>21200130</v>
      </c>
      <c r="BA921" s="205" t="s">
        <v>206</v>
      </c>
      <c r="BB921" s="205">
        <v>0</v>
      </c>
      <c r="BC921" s="175">
        <v>0</v>
      </c>
      <c r="BD921" s="175">
        <v>0</v>
      </c>
      <c r="BE921" s="210" t="str">
        <f t="shared" si="88"/>
        <v>立即对当前前方区域的怪物造成275%攻击伤害+1800点固定伤害,且自身会向后方区域进行跳跃</v>
      </c>
      <c r="BF921" s="210" t="s">
        <v>2079</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63012304</v>
      </c>
      <c r="D922" s="205" t="s">
        <v>2076</v>
      </c>
      <c r="E922" s="205" t="s">
        <v>2077</v>
      </c>
      <c r="F922" s="176">
        <v>3</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v>
      </c>
      <c r="Y922" s="19">
        <v>0</v>
      </c>
      <c r="Z922" s="175">
        <v>2800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1423</v>
      </c>
      <c r="AY922" s="176">
        <v>10003002</v>
      </c>
      <c r="AZ922" s="176">
        <v>21200130</v>
      </c>
      <c r="BA922" s="205" t="s">
        <v>206</v>
      </c>
      <c r="BB922" s="205">
        <v>0</v>
      </c>
      <c r="BC922" s="175">
        <v>0</v>
      </c>
      <c r="BD922" s="175">
        <v>0</v>
      </c>
      <c r="BE922" s="210" t="str">
        <f t="shared" si="88"/>
        <v>立即对当前前方区域的怪物造成300%攻击伤害+2800点固定伤害,且自身会向后方区域进行跳跃</v>
      </c>
      <c r="BF922" s="210" t="s">
        <v>2080</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63012305</v>
      </c>
      <c r="D923" s="205" t="s">
        <v>2076</v>
      </c>
      <c r="E923" s="205" t="s">
        <v>2077</v>
      </c>
      <c r="F923" s="176">
        <v>4</v>
      </c>
      <c r="G923" s="176">
        <v>63012302</v>
      </c>
      <c r="H923" s="172">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3.25</v>
      </c>
      <c r="Y923" s="19">
        <v>0</v>
      </c>
      <c r="Z923" s="175">
        <v>4000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1423</v>
      </c>
      <c r="AY923" s="176">
        <v>10003002</v>
      </c>
      <c r="AZ923" s="176">
        <v>21200130</v>
      </c>
      <c r="BA923" s="205" t="s">
        <v>206</v>
      </c>
      <c r="BB923" s="205">
        <v>0</v>
      </c>
      <c r="BC923" s="175">
        <v>0</v>
      </c>
      <c r="BD923" s="175">
        <v>0</v>
      </c>
      <c r="BE923" s="210" t="str">
        <f t="shared" si="88"/>
        <v>立即对当前前方区域的怪物造成325%攻击伤害+4000点固定伤害,且自身会向后方区域进行跳跃</v>
      </c>
      <c r="BF923" s="210" t="s">
        <v>2081</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19.5" customHeight="1">
      <c r="C924" s="172">
        <v>63012306</v>
      </c>
      <c r="D924" s="205" t="s">
        <v>2076</v>
      </c>
      <c r="E924" s="205" t="s">
        <v>2077</v>
      </c>
      <c r="F924" s="176">
        <v>5</v>
      </c>
      <c r="G924" s="176">
        <v>63012302</v>
      </c>
      <c r="H924" s="176">
        <v>0</v>
      </c>
      <c r="I924" s="174">
        <v>1</v>
      </c>
      <c r="J924" s="21">
        <v>5</v>
      </c>
      <c r="K924" s="21">
        <v>0</v>
      </c>
      <c r="L924" s="172">
        <v>0</v>
      </c>
      <c r="M924" s="176">
        <v>0</v>
      </c>
      <c r="N924" s="176">
        <v>0</v>
      </c>
      <c r="O924" s="176">
        <v>1</v>
      </c>
      <c r="P924" s="176">
        <v>0</v>
      </c>
      <c r="Q924" s="176">
        <v>0</v>
      </c>
      <c r="R924" s="176">
        <v>0</v>
      </c>
      <c r="S924" s="175">
        <v>0</v>
      </c>
      <c r="T924" s="174">
        <v>0</v>
      </c>
      <c r="U924" s="172">
        <v>1</v>
      </c>
      <c r="V924" s="176">
        <v>2</v>
      </c>
      <c r="W924" s="176">
        <v>0</v>
      </c>
      <c r="X924" s="176">
        <v>3.5</v>
      </c>
      <c r="Y924" s="19">
        <v>0</v>
      </c>
      <c r="Z924" s="175">
        <v>5200</v>
      </c>
      <c r="AA924" s="176">
        <v>0</v>
      </c>
      <c r="AB924" s="176">
        <v>20</v>
      </c>
      <c r="AC924" s="176">
        <v>0</v>
      </c>
      <c r="AD924" s="176">
        <v>0</v>
      </c>
      <c r="AE924" s="176">
        <v>0</v>
      </c>
      <c r="AF924" s="176">
        <v>9</v>
      </c>
      <c r="AG924" s="176">
        <v>1</v>
      </c>
      <c r="AH924" s="176">
        <v>3</v>
      </c>
      <c r="AI924" s="175">
        <v>0</v>
      </c>
      <c r="AJ924" s="175">
        <v>2</v>
      </c>
      <c r="AK924" s="175">
        <v>0</v>
      </c>
      <c r="AL924" s="175">
        <v>2</v>
      </c>
      <c r="AM924" s="176">
        <v>0</v>
      </c>
      <c r="AN924" s="176">
        <v>0</v>
      </c>
      <c r="AO924" s="176">
        <v>0</v>
      </c>
      <c r="AP924" s="176">
        <v>0.1</v>
      </c>
      <c r="AQ924" s="172">
        <v>3000</v>
      </c>
      <c r="AR924" s="176">
        <v>0</v>
      </c>
      <c r="AS924" s="176">
        <v>0</v>
      </c>
      <c r="AT924" s="175">
        <v>92005002</v>
      </c>
      <c r="AU924" s="176" t="s">
        <v>204</v>
      </c>
      <c r="AV924" s="176"/>
      <c r="AW924" s="205" t="s">
        <v>262</v>
      </c>
      <c r="AX924" s="172" t="s">
        <v>1423</v>
      </c>
      <c r="AY924" s="176">
        <v>10003002</v>
      </c>
      <c r="AZ924" s="176">
        <v>21200130</v>
      </c>
      <c r="BA924" s="205" t="s">
        <v>206</v>
      </c>
      <c r="BB924" s="205">
        <v>0</v>
      </c>
      <c r="BC924" s="175">
        <v>0</v>
      </c>
      <c r="BD924" s="175">
        <v>0</v>
      </c>
      <c r="BE924" s="210" t="str">
        <f t="shared" si="88"/>
        <v>立即对当前前方区域的怪物造成350%攻击伤害+5200点固定伤害,且自身会向后方区域进行跳跃</v>
      </c>
      <c r="BF924" s="210" t="s">
        <v>2082</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63021101</v>
      </c>
      <c r="D925" s="205" t="s">
        <v>5719</v>
      </c>
      <c r="E925" s="205" t="s">
        <v>2084</v>
      </c>
      <c r="F925" s="176">
        <v>0</v>
      </c>
      <c r="G925" s="176">
        <v>63021101</v>
      </c>
      <c r="H925" s="172">
        <f t="shared" ref="H925:H927" si="89">C926</f>
        <v>63021102</v>
      </c>
      <c r="I925" s="174">
        <v>0</v>
      </c>
      <c r="J925" s="21">
        <v>18</v>
      </c>
      <c r="K925" s="21">
        <v>5</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15</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v>90106001</v>
      </c>
      <c r="AV925" s="176"/>
      <c r="AW925" s="205" t="s">
        <v>1700</v>
      </c>
      <c r="AX925" s="176" t="s">
        <v>1473</v>
      </c>
      <c r="AY925" s="176">
        <v>10002001</v>
      </c>
      <c r="AZ925" s="176">
        <v>21201010</v>
      </c>
      <c r="BA925" s="205" t="s">
        <v>1180</v>
      </c>
      <c r="BB925" s="205" t="s">
        <v>2085</v>
      </c>
      <c r="BC925" s="174">
        <v>0</v>
      </c>
      <c r="BD925" s="174">
        <v>0</v>
      </c>
      <c r="BE925" s="211" t="s">
        <v>2086</v>
      </c>
      <c r="BF925" s="211" t="s">
        <v>2087</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63021102</v>
      </c>
      <c r="D926" s="205" t="s">
        <v>2083</v>
      </c>
      <c r="E926" s="205" t="s">
        <v>2084</v>
      </c>
      <c r="F926" s="176">
        <v>1</v>
      </c>
      <c r="G926" s="176">
        <v>63021101</v>
      </c>
      <c r="H926" s="172">
        <f t="shared" si="89"/>
        <v>63021103</v>
      </c>
      <c r="I926" s="174">
        <v>0</v>
      </c>
      <c r="J926" s="21">
        <v>27</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15</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t="s">
        <v>581</v>
      </c>
      <c r="AV926" s="176"/>
      <c r="AW926" s="205" t="s">
        <v>1700</v>
      </c>
      <c r="AX926" s="176" t="s">
        <v>1473</v>
      </c>
      <c r="AY926" s="176">
        <v>10002001</v>
      </c>
      <c r="AZ926" s="176">
        <v>21201010</v>
      </c>
      <c r="BA926" s="205" t="s">
        <v>1180</v>
      </c>
      <c r="BB926" s="205" t="s">
        <v>2085</v>
      </c>
      <c r="BC926" s="174">
        <v>0</v>
      </c>
      <c r="BD926" s="174">
        <v>0</v>
      </c>
      <c r="BE926" s="211" t="s">
        <v>2086</v>
      </c>
      <c r="BF926" s="211" t="s">
        <v>2087</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63021103</v>
      </c>
      <c r="D927" s="205" t="s">
        <v>2083</v>
      </c>
      <c r="E927" s="205" t="s">
        <v>2084</v>
      </c>
      <c r="F927" s="176">
        <v>2</v>
      </c>
      <c r="G927" s="176">
        <v>63021101</v>
      </c>
      <c r="H927" s="172">
        <f t="shared" si="89"/>
        <v>63021104</v>
      </c>
      <c r="I927" s="174">
        <v>0</v>
      </c>
      <c r="J927" s="21">
        <v>32</v>
      </c>
      <c r="K927" s="21">
        <v>2</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15</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v>90106001</v>
      </c>
      <c r="AV927" s="176"/>
      <c r="AW927" s="205" t="s">
        <v>1700</v>
      </c>
      <c r="AX927" s="176" t="s">
        <v>1473</v>
      </c>
      <c r="AY927" s="176">
        <v>10002001</v>
      </c>
      <c r="AZ927" s="176">
        <v>21201010</v>
      </c>
      <c r="BA927" s="205" t="s">
        <v>1180</v>
      </c>
      <c r="BB927" s="205" t="s">
        <v>2088</v>
      </c>
      <c r="BC927" s="174">
        <v>0</v>
      </c>
      <c r="BD927" s="174">
        <v>0</v>
      </c>
      <c r="BE927" s="211" t="s">
        <v>2089</v>
      </c>
      <c r="BF927" s="211" t="s">
        <v>2090</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63021104</v>
      </c>
      <c r="D928" s="205" t="s">
        <v>2083</v>
      </c>
      <c r="E928" s="205" t="s">
        <v>2084</v>
      </c>
      <c r="F928" s="176">
        <v>3</v>
      </c>
      <c r="G928" s="176">
        <v>63021101</v>
      </c>
      <c r="H928" s="172">
        <v>0</v>
      </c>
      <c r="I928" s="174">
        <v>0</v>
      </c>
      <c r="J928" s="21">
        <v>0</v>
      </c>
      <c r="K928" s="182">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15</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1700</v>
      </c>
      <c r="AX928" s="176" t="s">
        <v>1473</v>
      </c>
      <c r="AY928" s="176">
        <v>10002001</v>
      </c>
      <c r="AZ928" s="176">
        <v>21201010</v>
      </c>
      <c r="BA928" s="205" t="s">
        <v>1180</v>
      </c>
      <c r="BB928" s="205" t="s">
        <v>2091</v>
      </c>
      <c r="BC928" s="174">
        <v>0</v>
      </c>
      <c r="BD928" s="174">
        <v>0</v>
      </c>
      <c r="BE928" s="211" t="s">
        <v>2092</v>
      </c>
      <c r="BF928" s="211" t="s">
        <v>2093</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63021105</v>
      </c>
      <c r="D929" s="205" t="s">
        <v>2083</v>
      </c>
      <c r="E929" s="205" t="s">
        <v>2084</v>
      </c>
      <c r="F929" s="176">
        <v>4</v>
      </c>
      <c r="G929" s="176">
        <v>63021101</v>
      </c>
      <c r="H929" s="172">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15</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1700</v>
      </c>
      <c r="AX929" s="176" t="s">
        <v>1473</v>
      </c>
      <c r="AY929" s="176">
        <v>10002001</v>
      </c>
      <c r="AZ929" s="176">
        <v>21201010</v>
      </c>
      <c r="BA929" s="205" t="s">
        <v>1180</v>
      </c>
      <c r="BB929" s="205" t="s">
        <v>2094</v>
      </c>
      <c r="BC929" s="174">
        <v>0</v>
      </c>
      <c r="BD929" s="174">
        <v>0</v>
      </c>
      <c r="BE929" s="211" t="s">
        <v>2095</v>
      </c>
      <c r="BF929" s="211" t="s">
        <v>2096</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20.100000000000001" customHeight="1">
      <c r="C930" s="172">
        <v>63021106</v>
      </c>
      <c r="D930" s="205" t="s">
        <v>2083</v>
      </c>
      <c r="E930" s="205" t="s">
        <v>2084</v>
      </c>
      <c r="F930" s="176">
        <v>5</v>
      </c>
      <c r="G930" s="176">
        <v>63021101</v>
      </c>
      <c r="H930" s="176">
        <v>0</v>
      </c>
      <c r="I930" s="174">
        <v>0</v>
      </c>
      <c r="J930" s="21">
        <v>0</v>
      </c>
      <c r="K930" s="21">
        <v>0</v>
      </c>
      <c r="L930" s="176">
        <v>0</v>
      </c>
      <c r="M930" s="176">
        <v>0</v>
      </c>
      <c r="N930" s="176">
        <v>0</v>
      </c>
      <c r="O930" s="176">
        <v>1</v>
      </c>
      <c r="P930" s="176">
        <v>0</v>
      </c>
      <c r="Q930" s="176">
        <v>0</v>
      </c>
      <c r="R930" s="176">
        <v>0</v>
      </c>
      <c r="S930" s="175">
        <v>0</v>
      </c>
      <c r="T930" s="174">
        <v>0</v>
      </c>
      <c r="U930" s="172">
        <v>1</v>
      </c>
      <c r="V930" s="176">
        <v>2</v>
      </c>
      <c r="W930" s="176">
        <v>0</v>
      </c>
      <c r="X930" s="176">
        <v>0</v>
      </c>
      <c r="Y930" s="19">
        <v>0</v>
      </c>
      <c r="Z930" s="176">
        <v>0</v>
      </c>
      <c r="AA930" s="176">
        <v>0</v>
      </c>
      <c r="AB930" s="176">
        <v>15</v>
      </c>
      <c r="AC930" s="176">
        <v>0</v>
      </c>
      <c r="AD930" s="176">
        <v>0</v>
      </c>
      <c r="AE930" s="176">
        <v>0</v>
      </c>
      <c r="AF930" s="176">
        <v>7</v>
      </c>
      <c r="AG930" s="176">
        <v>1</v>
      </c>
      <c r="AH930" s="176">
        <v>4</v>
      </c>
      <c r="AI930" s="175">
        <v>2</v>
      </c>
      <c r="AJ930" s="175">
        <v>1</v>
      </c>
      <c r="AK930" s="175">
        <v>0</v>
      </c>
      <c r="AL930" s="175">
        <v>8</v>
      </c>
      <c r="AM930" s="176">
        <v>0</v>
      </c>
      <c r="AN930" s="176">
        <v>0</v>
      </c>
      <c r="AO930" s="176">
        <v>0</v>
      </c>
      <c r="AP930" s="176">
        <v>0</v>
      </c>
      <c r="AQ930" s="176">
        <v>360000</v>
      </c>
      <c r="AR930" s="176">
        <v>0.5</v>
      </c>
      <c r="AS930" s="176">
        <v>0</v>
      </c>
      <c r="AT930" s="175">
        <v>0</v>
      </c>
      <c r="AU930" s="176" t="s">
        <v>581</v>
      </c>
      <c r="AV930" s="176"/>
      <c r="AW930" s="205" t="s">
        <v>1700</v>
      </c>
      <c r="AX930" s="176" t="s">
        <v>1473</v>
      </c>
      <c r="AY930" s="176">
        <v>10002001</v>
      </c>
      <c r="AZ930" s="176">
        <v>21201010</v>
      </c>
      <c r="BA930" s="205" t="s">
        <v>1180</v>
      </c>
      <c r="BB930" s="205" t="s">
        <v>2097</v>
      </c>
      <c r="BC930" s="174">
        <v>0</v>
      </c>
      <c r="BD930" s="174">
        <v>0</v>
      </c>
      <c r="BE930" s="211" t="s">
        <v>2098</v>
      </c>
      <c r="BF930" s="211" t="s">
        <v>2099</v>
      </c>
      <c r="BG930" s="176">
        <v>0</v>
      </c>
      <c r="BH930" s="172">
        <v>0</v>
      </c>
      <c r="BI930" s="176">
        <v>0</v>
      </c>
      <c r="BJ930" s="176">
        <v>0</v>
      </c>
      <c r="BK930" s="176">
        <v>0</v>
      </c>
      <c r="BL930" s="176">
        <v>0</v>
      </c>
      <c r="BM930" s="178">
        <v>0</v>
      </c>
      <c r="BN930" s="175">
        <v>0</v>
      </c>
      <c r="BO930" s="175">
        <v>0</v>
      </c>
      <c r="BP930" s="175">
        <v>0</v>
      </c>
      <c r="BQ930" s="175">
        <v>0</v>
      </c>
      <c r="BR930" s="175">
        <v>0</v>
      </c>
      <c r="BS930" s="175">
        <v>0</v>
      </c>
      <c r="BT930" s="19">
        <v>0</v>
      </c>
      <c r="BU930" s="23">
        <v>0</v>
      </c>
      <c r="BV930" s="23"/>
      <c r="BW930" s="23"/>
      <c r="BX930" s="23"/>
      <c r="BY930" s="23"/>
      <c r="BZ930" s="23"/>
    </row>
    <row r="931" spans="3:78" ht="19.5" customHeight="1">
      <c r="C931" s="21">
        <v>63021111</v>
      </c>
      <c r="D931" s="35" t="s">
        <v>2100</v>
      </c>
      <c r="E931" s="35" t="s">
        <v>2101</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2.6</v>
      </c>
      <c r="Y931" s="19">
        <v>0</v>
      </c>
      <c r="Z931" s="32">
        <v>750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1802</v>
      </c>
      <c r="AY931" s="176">
        <v>10002001</v>
      </c>
      <c r="AZ931" s="176">
        <v>21201010</v>
      </c>
      <c r="BA931" s="35" t="s">
        <v>206</v>
      </c>
      <c r="BB931" s="35">
        <v>0</v>
      </c>
      <c r="BC931" s="31">
        <v>0</v>
      </c>
      <c r="BD931" s="31">
        <v>0</v>
      </c>
      <c r="BE931" s="185" t="str">
        <f>"在指定区域释放一个冰封陷阱,2秒后陷阱开启触发机制,对触碰的敌人造成"&amp;X931*100&amp;"%攻击伤害+"&amp;Z931&amp;"点固定伤害,并使其减速50%,持续5秒"</f>
        <v>在指定区域释放一个冰封陷阱,2秒后陷阱开启触发机制,对触碰的敌人造成260%攻击伤害+750点固定伤害,并使其减速50%,持续5秒</v>
      </c>
      <c r="BF931" s="185" t="s">
        <v>2102</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63021112</v>
      </c>
      <c r="D932" s="35" t="s">
        <v>2100</v>
      </c>
      <c r="E932" s="35" t="s">
        <v>2101</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2.9</v>
      </c>
      <c r="Y932" s="19">
        <v>0</v>
      </c>
      <c r="Z932" s="32">
        <v>1500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1802</v>
      </c>
      <c r="AY932" s="176">
        <v>10002001</v>
      </c>
      <c r="AZ932" s="176">
        <v>21201010</v>
      </c>
      <c r="BA932" s="35" t="s">
        <v>206</v>
      </c>
      <c r="BB932" s="35">
        <v>0</v>
      </c>
      <c r="BC932" s="31">
        <v>0</v>
      </c>
      <c r="BD932" s="31">
        <v>0</v>
      </c>
      <c r="BE932" s="185" t="str">
        <f t="shared" ref="BE932:BE935" si="90">"在指定区域释放一个冰封陷阱,2秒后陷阱开启触发机制,对触碰的敌人造成"&amp;X932*100&amp;"%攻击伤害+"&amp;Z932&amp;"点固定伤害,并使其减速50%,持续5秒"</f>
        <v>在指定区域释放一个冰封陷阱,2秒后陷阱开启触发机制,对触碰的敌人造成290%攻击伤害+1500点固定伤害,并使其减速50%,持续5秒</v>
      </c>
      <c r="BF932" s="185" t="s">
        <v>2103</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63021113</v>
      </c>
      <c r="D933" s="35" t="s">
        <v>2100</v>
      </c>
      <c r="E933" s="35" t="s">
        <v>2101</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3.2</v>
      </c>
      <c r="Y933" s="19">
        <v>0</v>
      </c>
      <c r="Z933" s="32">
        <v>2250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1802</v>
      </c>
      <c r="AY933" s="176">
        <v>10002001</v>
      </c>
      <c r="AZ933" s="176">
        <v>21201010</v>
      </c>
      <c r="BA933" s="35" t="s">
        <v>206</v>
      </c>
      <c r="BB933" s="35">
        <v>0</v>
      </c>
      <c r="BC933" s="31">
        <v>0</v>
      </c>
      <c r="BD933" s="31">
        <v>0</v>
      </c>
      <c r="BE933" s="185" t="str">
        <f t="shared" si="90"/>
        <v>在指定区域释放一个冰封陷阱,2秒后陷阱开启触发机制,对触碰的敌人造成320%攻击伤害+2250点固定伤害,并使其减速50%,持续5秒</v>
      </c>
      <c r="BF933" s="185" t="s">
        <v>2104</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63021114</v>
      </c>
      <c r="D934" s="35" t="s">
        <v>2100</v>
      </c>
      <c r="E934" s="35" t="s">
        <v>2101</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3.5</v>
      </c>
      <c r="Y934" s="19">
        <v>0</v>
      </c>
      <c r="Z934" s="32">
        <v>3250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1802</v>
      </c>
      <c r="AY934" s="176">
        <v>10002001</v>
      </c>
      <c r="AZ934" s="176">
        <v>21201010</v>
      </c>
      <c r="BA934" s="35" t="s">
        <v>206</v>
      </c>
      <c r="BB934" s="35">
        <v>0</v>
      </c>
      <c r="BC934" s="31">
        <v>0</v>
      </c>
      <c r="BD934" s="31">
        <v>0</v>
      </c>
      <c r="BE934" s="185" t="str">
        <f t="shared" si="90"/>
        <v>在指定区域释放一个冰封陷阱,2秒后陷阱开启触发机制,对触碰的敌人造成350%攻击伤害+3250点固定伤害,并使其减速50%,持续5秒</v>
      </c>
      <c r="BF934" s="185" t="s">
        <v>2105</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19.5" customHeight="1">
      <c r="C935" s="21">
        <v>63021115</v>
      </c>
      <c r="D935" s="35" t="s">
        <v>2100</v>
      </c>
      <c r="E935" s="35" t="s">
        <v>2101</v>
      </c>
      <c r="F935" s="21">
        <v>1</v>
      </c>
      <c r="G935" s="32">
        <v>62011101</v>
      </c>
      <c r="H935" s="21">
        <v>0</v>
      </c>
      <c r="I935" s="31">
        <v>0</v>
      </c>
      <c r="J935" s="21">
        <v>1</v>
      </c>
      <c r="K935" s="21">
        <v>0</v>
      </c>
      <c r="L935" s="21">
        <v>0</v>
      </c>
      <c r="M935" s="32">
        <v>0</v>
      </c>
      <c r="N935" s="32">
        <v>0</v>
      </c>
      <c r="O935" s="32">
        <v>2</v>
      </c>
      <c r="P935" s="32">
        <v>10</v>
      </c>
      <c r="Q935" s="32">
        <v>0.8</v>
      </c>
      <c r="R935" s="32">
        <v>0</v>
      </c>
      <c r="S935" s="19">
        <v>0</v>
      </c>
      <c r="T935" s="31">
        <v>0</v>
      </c>
      <c r="U935" s="21">
        <v>1</v>
      </c>
      <c r="V935" s="32">
        <v>2</v>
      </c>
      <c r="W935" s="32">
        <v>0</v>
      </c>
      <c r="X935" s="19">
        <v>3.8</v>
      </c>
      <c r="Y935" s="19">
        <v>0</v>
      </c>
      <c r="Z935" s="32">
        <v>4250</v>
      </c>
      <c r="AA935" s="32">
        <v>0</v>
      </c>
      <c r="AB935" s="32">
        <v>0</v>
      </c>
      <c r="AC935" s="32">
        <v>0</v>
      </c>
      <c r="AD935" s="32">
        <v>0</v>
      </c>
      <c r="AE935" s="32">
        <v>0</v>
      </c>
      <c r="AF935" s="176">
        <v>6</v>
      </c>
      <c r="AG935" s="32">
        <v>1</v>
      </c>
      <c r="AH935" s="32">
        <v>4</v>
      </c>
      <c r="AI935" s="19">
        <v>2</v>
      </c>
      <c r="AJ935" s="19">
        <v>1</v>
      </c>
      <c r="AK935" s="19">
        <v>1</v>
      </c>
      <c r="AL935" s="175">
        <v>2</v>
      </c>
      <c r="AM935" s="32">
        <v>0</v>
      </c>
      <c r="AN935" s="32">
        <v>0</v>
      </c>
      <c r="AO935" s="32">
        <v>0</v>
      </c>
      <c r="AP935" s="32">
        <v>0</v>
      </c>
      <c r="AQ935" s="32">
        <v>3000</v>
      </c>
      <c r="AR935" s="32">
        <v>0.5</v>
      </c>
      <c r="AS935" s="32">
        <v>0</v>
      </c>
      <c r="AT935" s="19">
        <v>0</v>
      </c>
      <c r="AU935" s="19">
        <v>90000011</v>
      </c>
      <c r="AV935" s="19"/>
      <c r="AW935" s="35" t="s">
        <v>205</v>
      </c>
      <c r="AX935" s="32" t="s">
        <v>1802</v>
      </c>
      <c r="AY935" s="176">
        <v>10002001</v>
      </c>
      <c r="AZ935" s="176">
        <v>21201010</v>
      </c>
      <c r="BA935" s="35" t="s">
        <v>206</v>
      </c>
      <c r="BB935" s="35">
        <v>0</v>
      </c>
      <c r="BC935" s="31">
        <v>0</v>
      </c>
      <c r="BD935" s="31">
        <v>0</v>
      </c>
      <c r="BE935" s="185" t="str">
        <f t="shared" si="90"/>
        <v>在指定区域释放一个冰封陷阱,2秒后陷阱开启触发机制,对触碰的敌人造成380%攻击伤害+4250点固定伤害,并使其减速50%,持续5秒</v>
      </c>
      <c r="BF935" s="185" t="s">
        <v>2106</v>
      </c>
      <c r="BG935" s="32">
        <v>0</v>
      </c>
      <c r="BH935" s="21">
        <v>0</v>
      </c>
      <c r="BI935" s="32">
        <v>0</v>
      </c>
      <c r="BJ935" s="32">
        <v>0</v>
      </c>
      <c r="BK935" s="32">
        <v>0</v>
      </c>
      <c r="BL935" s="32">
        <v>0</v>
      </c>
      <c r="BM935" s="25">
        <v>0</v>
      </c>
      <c r="BN935" s="19">
        <v>0</v>
      </c>
      <c r="BO935" s="19">
        <v>0</v>
      </c>
      <c r="BP935" s="19">
        <v>0</v>
      </c>
      <c r="BQ935" s="19">
        <v>0</v>
      </c>
      <c r="BR935" s="19">
        <v>0</v>
      </c>
      <c r="BS935" s="19">
        <v>0</v>
      </c>
      <c r="BT935" s="19">
        <v>0</v>
      </c>
      <c r="BU935" s="23">
        <v>0</v>
      </c>
      <c r="BV935" s="23"/>
      <c r="BW935" s="23"/>
      <c r="BX935" s="23"/>
      <c r="BY935" s="23"/>
      <c r="BZ935" s="23"/>
    </row>
    <row r="936" spans="3:78" ht="20.100000000000001" customHeight="1">
      <c r="C936" s="172">
        <v>63021201</v>
      </c>
      <c r="D936" s="205" t="s">
        <v>2107</v>
      </c>
      <c r="E936" s="205" t="s">
        <v>2108</v>
      </c>
      <c r="F936" s="176">
        <v>0</v>
      </c>
      <c r="G936" s="176">
        <v>63021201</v>
      </c>
      <c r="H936" s="172">
        <f t="shared" ref="H936:H938" si="91">C937</f>
        <v>63021202</v>
      </c>
      <c r="I936" s="174">
        <v>0</v>
      </c>
      <c r="J936" s="21">
        <v>25</v>
      </c>
      <c r="K936" s="21">
        <v>5</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15</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1700</v>
      </c>
      <c r="AX936" s="176" t="s">
        <v>1473</v>
      </c>
      <c r="AY936" s="176">
        <v>10002001</v>
      </c>
      <c r="AZ936" s="176">
        <v>21201020</v>
      </c>
      <c r="BA936" s="205" t="s">
        <v>1180</v>
      </c>
      <c r="BB936" s="205" t="s">
        <v>2109</v>
      </c>
      <c r="BC936" s="174">
        <v>0</v>
      </c>
      <c r="BD936" s="174">
        <v>0</v>
      </c>
      <c r="BE936" s="211" t="s">
        <v>2110</v>
      </c>
      <c r="BF936" s="211" t="s">
        <v>2111</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63021202</v>
      </c>
      <c r="D937" s="205" t="s">
        <v>2107</v>
      </c>
      <c r="E937" s="205" t="s">
        <v>2108</v>
      </c>
      <c r="F937" s="176">
        <v>1</v>
      </c>
      <c r="G937" s="176">
        <v>63021201</v>
      </c>
      <c r="H937" s="172">
        <f t="shared" si="91"/>
        <v>63021203</v>
      </c>
      <c r="I937" s="174">
        <v>0</v>
      </c>
      <c r="J937" s="21">
        <v>32</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15</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1700</v>
      </c>
      <c r="AX937" s="176" t="s">
        <v>1473</v>
      </c>
      <c r="AY937" s="176">
        <v>10002001</v>
      </c>
      <c r="AZ937" s="176">
        <v>21201020</v>
      </c>
      <c r="BA937" s="205" t="s">
        <v>1180</v>
      </c>
      <c r="BB937" s="205" t="s">
        <v>2109</v>
      </c>
      <c r="BC937" s="174">
        <v>0</v>
      </c>
      <c r="BD937" s="174">
        <v>0</v>
      </c>
      <c r="BE937" s="211" t="s">
        <v>2110</v>
      </c>
      <c r="BF937" s="211" t="s">
        <v>2111</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63021203</v>
      </c>
      <c r="D938" s="205" t="s">
        <v>2107</v>
      </c>
      <c r="E938" s="205" t="s">
        <v>2108</v>
      </c>
      <c r="F938" s="176">
        <v>2</v>
      </c>
      <c r="G938" s="176">
        <v>63021201</v>
      </c>
      <c r="H938" s="172">
        <f t="shared" si="91"/>
        <v>63021204</v>
      </c>
      <c r="I938" s="174">
        <v>0</v>
      </c>
      <c r="J938" s="21">
        <v>37</v>
      </c>
      <c r="K938" s="21">
        <v>2</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15</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1700</v>
      </c>
      <c r="AX938" s="176" t="s">
        <v>1473</v>
      </c>
      <c r="AY938" s="176">
        <v>10002001</v>
      </c>
      <c r="AZ938" s="176">
        <v>21201020</v>
      </c>
      <c r="BA938" s="205" t="s">
        <v>1180</v>
      </c>
      <c r="BB938" s="205" t="s">
        <v>2112</v>
      </c>
      <c r="BC938" s="174">
        <v>0</v>
      </c>
      <c r="BD938" s="174">
        <v>0</v>
      </c>
      <c r="BE938" s="211" t="s">
        <v>2113</v>
      </c>
      <c r="BF938" s="211" t="s">
        <v>2114</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63021204</v>
      </c>
      <c r="D939" s="205" t="s">
        <v>2107</v>
      </c>
      <c r="E939" s="205" t="s">
        <v>2108</v>
      </c>
      <c r="F939" s="176">
        <v>3</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15</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1700</v>
      </c>
      <c r="AX939" s="176" t="s">
        <v>1473</v>
      </c>
      <c r="AY939" s="176">
        <v>10002001</v>
      </c>
      <c r="AZ939" s="176">
        <v>21201020</v>
      </c>
      <c r="BA939" s="205" t="s">
        <v>1180</v>
      </c>
      <c r="BB939" s="205" t="s">
        <v>2115</v>
      </c>
      <c r="BC939" s="174">
        <v>0</v>
      </c>
      <c r="BD939" s="174">
        <v>0</v>
      </c>
      <c r="BE939" s="211" t="s">
        <v>2116</v>
      </c>
      <c r="BF939" s="211" t="s">
        <v>2117</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63021205</v>
      </c>
      <c r="D940" s="205" t="s">
        <v>2107</v>
      </c>
      <c r="E940" s="205" t="s">
        <v>2108</v>
      </c>
      <c r="F940" s="176">
        <v>4</v>
      </c>
      <c r="G940" s="176">
        <v>63021201</v>
      </c>
      <c r="H940" s="172">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15</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1700</v>
      </c>
      <c r="AX940" s="176" t="s">
        <v>1473</v>
      </c>
      <c r="AY940" s="176">
        <v>10002001</v>
      </c>
      <c r="AZ940" s="176">
        <v>21201020</v>
      </c>
      <c r="BA940" s="205" t="s">
        <v>1180</v>
      </c>
      <c r="BB940" s="205" t="s">
        <v>2118</v>
      </c>
      <c r="BC940" s="174">
        <v>0</v>
      </c>
      <c r="BD940" s="174">
        <v>0</v>
      </c>
      <c r="BE940" s="211" t="s">
        <v>2119</v>
      </c>
      <c r="BF940" s="211" t="s">
        <v>2120</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20.100000000000001" customHeight="1">
      <c r="C941" s="172">
        <v>63021206</v>
      </c>
      <c r="D941" s="205" t="s">
        <v>2107</v>
      </c>
      <c r="E941" s="205" t="s">
        <v>2108</v>
      </c>
      <c r="F941" s="176">
        <v>5</v>
      </c>
      <c r="G941" s="176">
        <v>63021201</v>
      </c>
      <c r="H941" s="176">
        <v>0</v>
      </c>
      <c r="I941" s="174">
        <v>0</v>
      </c>
      <c r="J941" s="21">
        <v>0</v>
      </c>
      <c r="K941" s="21">
        <v>0</v>
      </c>
      <c r="L941" s="176">
        <v>0</v>
      </c>
      <c r="M941" s="176">
        <v>0</v>
      </c>
      <c r="N941" s="176">
        <v>0</v>
      </c>
      <c r="O941" s="176">
        <v>1</v>
      </c>
      <c r="P941" s="176">
        <v>0</v>
      </c>
      <c r="Q941" s="176">
        <v>0</v>
      </c>
      <c r="R941" s="176">
        <v>0</v>
      </c>
      <c r="S941" s="175">
        <v>0</v>
      </c>
      <c r="T941" s="174">
        <v>0</v>
      </c>
      <c r="U941" s="172">
        <v>1</v>
      </c>
      <c r="V941" s="176">
        <v>2</v>
      </c>
      <c r="W941" s="176">
        <v>0</v>
      </c>
      <c r="X941" s="176">
        <v>0</v>
      </c>
      <c r="Y941" s="19">
        <v>0</v>
      </c>
      <c r="Z941" s="176">
        <v>0</v>
      </c>
      <c r="AA941" s="176">
        <v>0</v>
      </c>
      <c r="AB941" s="176">
        <v>15</v>
      </c>
      <c r="AC941" s="176">
        <v>0</v>
      </c>
      <c r="AD941" s="176">
        <v>0</v>
      </c>
      <c r="AE941" s="176">
        <v>0</v>
      </c>
      <c r="AF941" s="176">
        <v>7</v>
      </c>
      <c r="AG941" s="176">
        <v>1</v>
      </c>
      <c r="AH941" s="176">
        <v>4</v>
      </c>
      <c r="AI941" s="175">
        <v>2</v>
      </c>
      <c r="AJ941" s="175">
        <v>1</v>
      </c>
      <c r="AK941" s="175">
        <v>0</v>
      </c>
      <c r="AL941" s="175">
        <v>8</v>
      </c>
      <c r="AM941" s="176">
        <v>0</v>
      </c>
      <c r="AN941" s="176">
        <v>0</v>
      </c>
      <c r="AO941" s="176">
        <v>0</v>
      </c>
      <c r="AP941" s="176">
        <v>0</v>
      </c>
      <c r="AQ941" s="176">
        <v>360000</v>
      </c>
      <c r="AR941" s="176">
        <v>0.5</v>
      </c>
      <c r="AS941" s="176">
        <v>0</v>
      </c>
      <c r="AT941" s="175">
        <v>0</v>
      </c>
      <c r="AU941" s="176" t="s">
        <v>581</v>
      </c>
      <c r="AV941" s="176"/>
      <c r="AW941" s="205" t="s">
        <v>1700</v>
      </c>
      <c r="AX941" s="176" t="s">
        <v>1473</v>
      </c>
      <c r="AY941" s="176">
        <v>10002001</v>
      </c>
      <c r="AZ941" s="176">
        <v>21201020</v>
      </c>
      <c r="BA941" s="205" t="s">
        <v>1180</v>
      </c>
      <c r="BB941" s="205" t="s">
        <v>2121</v>
      </c>
      <c r="BC941" s="174">
        <v>0</v>
      </c>
      <c r="BD941" s="174">
        <v>0</v>
      </c>
      <c r="BE941" s="211" t="s">
        <v>2122</v>
      </c>
      <c r="BF941" s="211" t="s">
        <v>2123</v>
      </c>
      <c r="BG941" s="176">
        <v>0</v>
      </c>
      <c r="BH941" s="172">
        <v>0</v>
      </c>
      <c r="BI941" s="176">
        <v>0</v>
      </c>
      <c r="BJ941" s="176">
        <v>0</v>
      </c>
      <c r="BK941" s="176">
        <v>0</v>
      </c>
      <c r="BL941" s="176">
        <v>0</v>
      </c>
      <c r="BM941" s="178">
        <v>0</v>
      </c>
      <c r="BN941" s="175">
        <v>0</v>
      </c>
      <c r="BO941" s="175">
        <v>0</v>
      </c>
      <c r="BP941" s="175">
        <v>0</v>
      </c>
      <c r="BQ941" s="175">
        <v>0</v>
      </c>
      <c r="BR941" s="175">
        <v>0</v>
      </c>
      <c r="BS941" s="175">
        <v>0</v>
      </c>
      <c r="BT941" s="19">
        <v>0</v>
      </c>
      <c r="BU941" s="23">
        <v>0</v>
      </c>
      <c r="BV941" s="23"/>
      <c r="BW941" s="23"/>
      <c r="BX941" s="23"/>
      <c r="BY941" s="23"/>
      <c r="BZ941" s="23"/>
    </row>
    <row r="942" spans="3:78" ht="19.5" customHeight="1">
      <c r="C942" s="172">
        <v>63021211</v>
      </c>
      <c r="D942" s="35" t="s">
        <v>2124</v>
      </c>
      <c r="E942" s="35" t="s">
        <v>2125</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2.6</v>
      </c>
      <c r="Y942" s="19">
        <v>0</v>
      </c>
      <c r="Z942" s="32">
        <v>750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1802</v>
      </c>
      <c r="AY942" s="176">
        <v>10002001</v>
      </c>
      <c r="AZ942" s="176">
        <v>21201020</v>
      </c>
      <c r="BA942" s="35" t="s">
        <v>206</v>
      </c>
      <c r="BB942" s="35">
        <v>0</v>
      </c>
      <c r="BC942" s="31">
        <v>0</v>
      </c>
      <c r="BD942" s="31">
        <v>0</v>
      </c>
      <c r="BE942" s="185" t="str">
        <f t="shared" ref="BE942:BE946" si="92">"在指定区域释放一个爆炸陷阱,2秒后陷阱开启触发机制,对触碰的敌人造成"&amp;X942*100&amp;"%攻击伤害+"&amp;Z942&amp;"点固定伤害,并使其眩晕1秒"</f>
        <v>在指定区域释放一个爆炸陷阱,2秒后陷阱开启触发机制,对触碰的敌人造成260%攻击伤害+750点固定伤害,并使其眩晕1秒</v>
      </c>
      <c r="BF942" s="185" t="s">
        <v>2126</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63021212</v>
      </c>
      <c r="D943" s="35" t="s">
        <v>2124</v>
      </c>
      <c r="E943" s="35" t="s">
        <v>2125</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2.9</v>
      </c>
      <c r="Y943" s="19">
        <v>0</v>
      </c>
      <c r="Z943" s="32">
        <v>1500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1802</v>
      </c>
      <c r="AY943" s="176">
        <v>10002001</v>
      </c>
      <c r="AZ943" s="176">
        <v>21201020</v>
      </c>
      <c r="BA943" s="35" t="s">
        <v>206</v>
      </c>
      <c r="BB943" s="35">
        <v>0</v>
      </c>
      <c r="BC943" s="31">
        <v>0</v>
      </c>
      <c r="BD943" s="31">
        <v>0</v>
      </c>
      <c r="BE943" s="185" t="str">
        <f t="shared" si="92"/>
        <v>在指定区域释放一个爆炸陷阱,2秒后陷阱开启触发机制,对触碰的敌人造成290%攻击伤害+1500点固定伤害,并使其眩晕1秒</v>
      </c>
      <c r="BF943" s="185" t="s">
        <v>2127</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63021213</v>
      </c>
      <c r="D944" s="35" t="s">
        <v>2124</v>
      </c>
      <c r="E944" s="35" t="s">
        <v>2125</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3.2</v>
      </c>
      <c r="Y944" s="19">
        <v>0</v>
      </c>
      <c r="Z944" s="32">
        <v>2250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1802</v>
      </c>
      <c r="AY944" s="176">
        <v>10002001</v>
      </c>
      <c r="AZ944" s="176">
        <v>21201020</v>
      </c>
      <c r="BA944" s="35" t="s">
        <v>206</v>
      </c>
      <c r="BB944" s="35">
        <v>0</v>
      </c>
      <c r="BC944" s="31">
        <v>0</v>
      </c>
      <c r="BD944" s="31">
        <v>0</v>
      </c>
      <c r="BE944" s="185" t="str">
        <f t="shared" si="92"/>
        <v>在指定区域释放一个爆炸陷阱,2秒后陷阱开启触发机制,对触碰的敌人造成320%攻击伤害+2250点固定伤害,并使其眩晕1秒</v>
      </c>
      <c r="BF944" s="185" t="s">
        <v>2128</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63021214</v>
      </c>
      <c r="D945" s="35" t="s">
        <v>2124</v>
      </c>
      <c r="E945" s="35" t="s">
        <v>2125</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3.5</v>
      </c>
      <c r="Y945" s="19">
        <v>0</v>
      </c>
      <c r="Z945" s="32">
        <v>3250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1802</v>
      </c>
      <c r="AY945" s="176">
        <v>10002001</v>
      </c>
      <c r="AZ945" s="176">
        <v>21201020</v>
      </c>
      <c r="BA945" s="35" t="s">
        <v>206</v>
      </c>
      <c r="BB945" s="35">
        <v>0</v>
      </c>
      <c r="BC945" s="31">
        <v>0</v>
      </c>
      <c r="BD945" s="31">
        <v>0</v>
      </c>
      <c r="BE945" s="185" t="str">
        <f t="shared" si="92"/>
        <v>在指定区域释放一个爆炸陷阱,2秒后陷阱开启触发机制,对触碰的敌人造成350%攻击伤害+3250点固定伤害,并使其眩晕1秒</v>
      </c>
      <c r="BF945" s="185" t="s">
        <v>2129</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19.5" customHeight="1">
      <c r="C946" s="172">
        <v>63021215</v>
      </c>
      <c r="D946" s="35" t="s">
        <v>2124</v>
      </c>
      <c r="E946" s="35" t="s">
        <v>2125</v>
      </c>
      <c r="F946" s="21">
        <v>1</v>
      </c>
      <c r="G946" s="32">
        <v>62011101</v>
      </c>
      <c r="H946" s="21">
        <v>0</v>
      </c>
      <c r="I946" s="31">
        <v>0</v>
      </c>
      <c r="J946" s="21">
        <v>1</v>
      </c>
      <c r="K946" s="21">
        <v>0</v>
      </c>
      <c r="L946" s="21">
        <v>0</v>
      </c>
      <c r="M946" s="32">
        <v>0</v>
      </c>
      <c r="N946" s="32">
        <v>0</v>
      </c>
      <c r="O946" s="32">
        <v>2</v>
      </c>
      <c r="P946" s="32">
        <v>10</v>
      </c>
      <c r="Q946" s="32">
        <v>0.8</v>
      </c>
      <c r="R946" s="32">
        <v>0</v>
      </c>
      <c r="S946" s="19">
        <v>0</v>
      </c>
      <c r="T946" s="31">
        <v>0</v>
      </c>
      <c r="U946" s="21">
        <v>1</v>
      </c>
      <c r="V946" s="32">
        <v>2</v>
      </c>
      <c r="W946" s="32">
        <v>0</v>
      </c>
      <c r="X946" s="19">
        <v>3.8</v>
      </c>
      <c r="Y946" s="19">
        <v>0</v>
      </c>
      <c r="Z946" s="32">
        <v>4250</v>
      </c>
      <c r="AA946" s="32">
        <v>0</v>
      </c>
      <c r="AB946" s="32">
        <v>0</v>
      </c>
      <c r="AC946" s="32">
        <v>0</v>
      </c>
      <c r="AD946" s="32">
        <v>0</v>
      </c>
      <c r="AE946" s="32">
        <v>0</v>
      </c>
      <c r="AF946" s="176">
        <v>6</v>
      </c>
      <c r="AG946" s="32">
        <v>1</v>
      </c>
      <c r="AH946" s="32">
        <v>4</v>
      </c>
      <c r="AI946" s="19">
        <v>2</v>
      </c>
      <c r="AJ946" s="19">
        <v>1</v>
      </c>
      <c r="AK946" s="19">
        <v>1</v>
      </c>
      <c r="AL946" s="175">
        <v>2</v>
      </c>
      <c r="AM946" s="32">
        <v>0</v>
      </c>
      <c r="AN946" s="32">
        <v>0</v>
      </c>
      <c r="AO946" s="32">
        <v>0</v>
      </c>
      <c r="AP946" s="32">
        <v>0</v>
      </c>
      <c r="AQ946" s="32">
        <v>3000</v>
      </c>
      <c r="AR946" s="32">
        <v>0.5</v>
      </c>
      <c r="AS946" s="32">
        <v>0</v>
      </c>
      <c r="AT946" s="19">
        <v>0</v>
      </c>
      <c r="AU946" s="32">
        <v>90000010</v>
      </c>
      <c r="AV946" s="32"/>
      <c r="AW946" s="35" t="s">
        <v>205</v>
      </c>
      <c r="AX946" s="32" t="s">
        <v>1802</v>
      </c>
      <c r="AY946" s="176">
        <v>10002001</v>
      </c>
      <c r="AZ946" s="176">
        <v>21201020</v>
      </c>
      <c r="BA946" s="35" t="s">
        <v>206</v>
      </c>
      <c r="BB946" s="35">
        <v>0</v>
      </c>
      <c r="BC946" s="31">
        <v>0</v>
      </c>
      <c r="BD946" s="31">
        <v>0</v>
      </c>
      <c r="BE946" s="185" t="str">
        <f t="shared" si="92"/>
        <v>在指定区域释放一个爆炸陷阱,2秒后陷阱开启触发机制,对触碰的敌人造成380%攻击伤害+4250点固定伤害,并使其眩晕1秒</v>
      </c>
      <c r="BF946" s="185" t="s">
        <v>2130</v>
      </c>
      <c r="BG946" s="32">
        <v>0</v>
      </c>
      <c r="BH946" s="21">
        <v>0</v>
      </c>
      <c r="BI946" s="32">
        <v>0</v>
      </c>
      <c r="BJ946" s="32">
        <v>0</v>
      </c>
      <c r="BK946" s="32">
        <v>0</v>
      </c>
      <c r="BL946" s="32">
        <v>0</v>
      </c>
      <c r="BM946" s="25">
        <v>0</v>
      </c>
      <c r="BN946" s="19">
        <v>0</v>
      </c>
      <c r="BO946" s="19">
        <v>0</v>
      </c>
      <c r="BP946" s="19">
        <v>0</v>
      </c>
      <c r="BQ946" s="19">
        <v>0</v>
      </c>
      <c r="BR946" s="19">
        <v>0</v>
      </c>
      <c r="BS946" s="19">
        <v>0</v>
      </c>
      <c r="BT946" s="19">
        <v>0</v>
      </c>
      <c r="BU946" s="23">
        <v>0</v>
      </c>
      <c r="BV946" s="23"/>
      <c r="BW946" s="23"/>
      <c r="BX946" s="23"/>
      <c r="BY946" s="23"/>
      <c r="BZ946" s="23"/>
    </row>
    <row r="947" spans="3:78" ht="20.100000000000001" customHeight="1">
      <c r="C947" s="172">
        <v>63021301</v>
      </c>
      <c r="D947" s="205" t="s">
        <v>5730</v>
      </c>
      <c r="E947" s="205" t="s">
        <v>2132</v>
      </c>
      <c r="F947" s="176">
        <v>0</v>
      </c>
      <c r="G947" s="176">
        <v>63021301</v>
      </c>
      <c r="H947" s="172">
        <f t="shared" ref="H947:H949" si="93">C948</f>
        <v>63021302</v>
      </c>
      <c r="I947" s="174">
        <v>0</v>
      </c>
      <c r="J947" s="21">
        <v>30</v>
      </c>
      <c r="K947" s="32">
        <v>5</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92041043</v>
      </c>
      <c r="AU947" s="19">
        <v>90000011</v>
      </c>
      <c r="AV947" s="19"/>
      <c r="AW947" s="205" t="s">
        <v>1705</v>
      </c>
      <c r="AX947" s="176" t="s">
        <v>1415</v>
      </c>
      <c r="AY947" s="176">
        <v>10002001</v>
      </c>
      <c r="AZ947" s="176">
        <v>21201030</v>
      </c>
      <c r="BA947" s="205" t="s">
        <v>321</v>
      </c>
      <c r="BB947" s="205" t="s">
        <v>377</v>
      </c>
      <c r="BC947" s="174">
        <v>0</v>
      </c>
      <c r="BD947" s="174">
        <v>0</v>
      </c>
      <c r="BE947" s="210" t="str">
        <f>"在脚底下立即释放法术,在此范围内的目标每秒造成"&amp;X947*100&amp;"%攻击伤害+"&amp;Z947&amp;"点固定伤害,目标移动速度降低50%,持续5秒"</f>
        <v>在脚底下立即释放法术,在此范围内的目标每秒造成80%攻击伤害+500点固定伤害,目标移动速度降低50%,持续5秒</v>
      </c>
      <c r="BF947" s="210" t="s">
        <v>5731</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63021302</v>
      </c>
      <c r="D948" s="205" t="s">
        <v>2131</v>
      </c>
      <c r="E948" s="205" t="s">
        <v>2132</v>
      </c>
      <c r="F948" s="176">
        <v>1</v>
      </c>
      <c r="G948" s="176">
        <v>63021301</v>
      </c>
      <c r="H948" s="172">
        <f t="shared" si="93"/>
        <v>63021303</v>
      </c>
      <c r="I948" s="174">
        <v>0</v>
      </c>
      <c r="J948" s="21">
        <v>37</v>
      </c>
      <c r="K948" s="32">
        <v>2</v>
      </c>
      <c r="L948" s="172">
        <v>0</v>
      </c>
      <c r="M948" s="176">
        <v>0</v>
      </c>
      <c r="N948" s="176">
        <v>0</v>
      </c>
      <c r="O948" s="176">
        <v>1</v>
      </c>
      <c r="P948" s="176">
        <v>0</v>
      </c>
      <c r="Q948" s="176">
        <v>0</v>
      </c>
      <c r="R948" s="176">
        <v>0</v>
      </c>
      <c r="S948" s="175">
        <v>0</v>
      </c>
      <c r="T948" s="174">
        <v>0</v>
      </c>
      <c r="U948" s="172">
        <v>1</v>
      </c>
      <c r="V948" s="176">
        <v>2</v>
      </c>
      <c r="W948" s="176">
        <v>0</v>
      </c>
      <c r="X948" s="176">
        <v>0.8</v>
      </c>
      <c r="Y948" s="19">
        <v>0</v>
      </c>
      <c r="Z948" s="176">
        <v>500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92041043</v>
      </c>
      <c r="AU948" s="19">
        <v>90000011</v>
      </c>
      <c r="AV948" s="19"/>
      <c r="AW948" s="205" t="s">
        <v>1705</v>
      </c>
      <c r="AX948" s="176" t="s">
        <v>1415</v>
      </c>
      <c r="AY948" s="176">
        <v>10002001</v>
      </c>
      <c r="AZ948" s="176">
        <v>21201030</v>
      </c>
      <c r="BA948" s="205" t="s">
        <v>321</v>
      </c>
      <c r="BB948" s="205" t="s">
        <v>377</v>
      </c>
      <c r="BC948" s="174">
        <v>0</v>
      </c>
      <c r="BD948" s="174">
        <v>0</v>
      </c>
      <c r="BE948" s="210" t="str">
        <f t="shared" ref="BE948:BE952" si="94">"在脚底下立即释放法术,在此范围内的目标每秒造成"&amp;X948*100&amp;"%攻击伤害+"&amp;Z948&amp;"点固定伤害,目标移动速度降低50%,持续5秒"</f>
        <v>在脚底下立即释放法术,在此范围内的目标每秒造成80%攻击伤害+500点固定伤害,目标移动速度降低50%,持续5秒</v>
      </c>
      <c r="BF948" s="210" t="s">
        <v>5731</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63021303</v>
      </c>
      <c r="D949" s="205" t="s">
        <v>2131</v>
      </c>
      <c r="E949" s="205" t="s">
        <v>2132</v>
      </c>
      <c r="F949" s="176">
        <v>2</v>
      </c>
      <c r="G949" s="176">
        <v>63021301</v>
      </c>
      <c r="H949" s="172">
        <f t="shared" si="93"/>
        <v>63021304</v>
      </c>
      <c r="I949" s="174">
        <v>0</v>
      </c>
      <c r="J949" s="21">
        <v>42</v>
      </c>
      <c r="K949" s="32">
        <v>2</v>
      </c>
      <c r="L949" s="172">
        <v>0</v>
      </c>
      <c r="M949" s="176">
        <v>0</v>
      </c>
      <c r="N949" s="176">
        <v>0</v>
      </c>
      <c r="O949" s="176">
        <v>1</v>
      </c>
      <c r="P949" s="176">
        <v>0</v>
      </c>
      <c r="Q949" s="176">
        <v>0</v>
      </c>
      <c r="R949" s="176">
        <v>0</v>
      </c>
      <c r="S949" s="175">
        <v>0</v>
      </c>
      <c r="T949" s="174">
        <v>0</v>
      </c>
      <c r="U949" s="172">
        <v>1</v>
      </c>
      <c r="V949" s="176">
        <v>2</v>
      </c>
      <c r="W949" s="176">
        <v>0</v>
      </c>
      <c r="X949" s="176">
        <v>0.9</v>
      </c>
      <c r="Y949" s="19">
        <v>0</v>
      </c>
      <c r="Z949" s="176">
        <v>800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92041043</v>
      </c>
      <c r="AU949" s="19">
        <v>90000011</v>
      </c>
      <c r="AV949" s="19"/>
      <c r="AW949" s="205" t="s">
        <v>1705</v>
      </c>
      <c r="AX949" s="176" t="s">
        <v>1415</v>
      </c>
      <c r="AY949" s="176">
        <v>10002001</v>
      </c>
      <c r="AZ949" s="176">
        <v>21201030</v>
      </c>
      <c r="BA949" s="205" t="s">
        <v>321</v>
      </c>
      <c r="BB949" s="205" t="s">
        <v>377</v>
      </c>
      <c r="BC949" s="174">
        <v>0</v>
      </c>
      <c r="BD949" s="174">
        <v>0</v>
      </c>
      <c r="BE949" s="210" t="str">
        <f t="shared" si="94"/>
        <v>在脚底下立即释放法术,在此范围内的目标每秒造成90%攻击伤害+800点固定伤害,目标移动速度降低50%,持续5秒</v>
      </c>
      <c r="BF949" s="210" t="s">
        <v>5732</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63021304</v>
      </c>
      <c r="D950" s="205" t="s">
        <v>2131</v>
      </c>
      <c r="E950" s="205" t="s">
        <v>2132</v>
      </c>
      <c r="F950" s="176">
        <v>3</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v>
      </c>
      <c r="Y950" s="19">
        <v>0</v>
      </c>
      <c r="Z950" s="176">
        <v>1150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92041043</v>
      </c>
      <c r="AU950" s="19">
        <v>90000011</v>
      </c>
      <c r="AV950" s="19"/>
      <c r="AW950" s="205" t="s">
        <v>1705</v>
      </c>
      <c r="AX950" s="176" t="s">
        <v>1415</v>
      </c>
      <c r="AY950" s="176">
        <v>10002001</v>
      </c>
      <c r="AZ950" s="176">
        <v>21201030</v>
      </c>
      <c r="BA950" s="205" t="s">
        <v>321</v>
      </c>
      <c r="BB950" s="205" t="s">
        <v>377</v>
      </c>
      <c r="BC950" s="174">
        <v>0</v>
      </c>
      <c r="BD950" s="174">
        <v>0</v>
      </c>
      <c r="BE950" s="210" t="str">
        <f t="shared" si="94"/>
        <v>在脚底下立即释放法术,在此范围内的目标每秒造成100%攻击伤害+1150点固定伤害,目标移动速度降低50%,持续5秒</v>
      </c>
      <c r="BF950" s="210" t="s">
        <v>5733</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63021305</v>
      </c>
      <c r="D951" s="205" t="s">
        <v>2131</v>
      </c>
      <c r="E951" s="205" t="s">
        <v>2132</v>
      </c>
      <c r="F951" s="176">
        <v>4</v>
      </c>
      <c r="G951" s="176">
        <v>63021301</v>
      </c>
      <c r="H951" s="172">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1.1000000000000001</v>
      </c>
      <c r="Y951" s="19">
        <v>0</v>
      </c>
      <c r="Z951" s="176">
        <v>1550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92041043</v>
      </c>
      <c r="AU951" s="19">
        <v>90000011</v>
      </c>
      <c r="AV951" s="19"/>
      <c r="AW951" s="205" t="s">
        <v>1705</v>
      </c>
      <c r="AX951" s="176" t="s">
        <v>1415</v>
      </c>
      <c r="AY951" s="176">
        <v>10002001</v>
      </c>
      <c r="AZ951" s="176">
        <v>21201030</v>
      </c>
      <c r="BA951" s="205" t="s">
        <v>321</v>
      </c>
      <c r="BB951" s="205" t="s">
        <v>377</v>
      </c>
      <c r="BC951" s="174">
        <v>0</v>
      </c>
      <c r="BD951" s="174">
        <v>0</v>
      </c>
      <c r="BE951" s="210" t="str">
        <f t="shared" si="94"/>
        <v>在脚底下立即释放法术,在此范围内的目标每秒造成110%攻击伤害+1550点固定伤害,目标移动速度降低50%,持续5秒</v>
      </c>
      <c r="BF951" s="210" t="s">
        <v>5734</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20.100000000000001" customHeight="1">
      <c r="C952" s="172">
        <v>63021306</v>
      </c>
      <c r="D952" s="205" t="s">
        <v>2131</v>
      </c>
      <c r="E952" s="205" t="s">
        <v>2132</v>
      </c>
      <c r="F952" s="176">
        <v>5</v>
      </c>
      <c r="G952" s="176">
        <v>63021301</v>
      </c>
      <c r="H952" s="176">
        <v>0</v>
      </c>
      <c r="I952" s="174">
        <v>0</v>
      </c>
      <c r="J952" s="32">
        <v>0</v>
      </c>
      <c r="K952" s="32">
        <v>0</v>
      </c>
      <c r="L952" s="172">
        <v>0</v>
      </c>
      <c r="M952" s="176">
        <v>0</v>
      </c>
      <c r="N952" s="176">
        <v>0</v>
      </c>
      <c r="O952" s="176">
        <v>1</v>
      </c>
      <c r="P952" s="176">
        <v>0</v>
      </c>
      <c r="Q952" s="176">
        <v>0</v>
      </c>
      <c r="R952" s="176">
        <v>0</v>
      </c>
      <c r="S952" s="175">
        <v>0</v>
      </c>
      <c r="T952" s="174">
        <v>0</v>
      </c>
      <c r="U952" s="172">
        <v>1</v>
      </c>
      <c r="V952" s="176">
        <v>2</v>
      </c>
      <c r="W952" s="176">
        <v>0</v>
      </c>
      <c r="X952" s="176">
        <v>1.2</v>
      </c>
      <c r="Y952" s="19">
        <v>0</v>
      </c>
      <c r="Z952" s="176">
        <v>2050</v>
      </c>
      <c r="AA952" s="176">
        <v>0</v>
      </c>
      <c r="AB952" s="176">
        <v>25</v>
      </c>
      <c r="AC952" s="176">
        <v>0</v>
      </c>
      <c r="AD952" s="176">
        <v>0</v>
      </c>
      <c r="AE952" s="176">
        <v>0</v>
      </c>
      <c r="AF952" s="176">
        <v>9</v>
      </c>
      <c r="AG952" s="176">
        <v>1</v>
      </c>
      <c r="AH952" s="176">
        <v>4</v>
      </c>
      <c r="AI952" s="175">
        <v>2</v>
      </c>
      <c r="AJ952" s="175">
        <v>1</v>
      </c>
      <c r="AK952" s="175">
        <v>0</v>
      </c>
      <c r="AL952" s="175">
        <v>8</v>
      </c>
      <c r="AM952" s="176">
        <v>0</v>
      </c>
      <c r="AN952" s="176">
        <v>0</v>
      </c>
      <c r="AO952" s="176">
        <v>0</v>
      </c>
      <c r="AP952" s="176">
        <v>0.5</v>
      </c>
      <c r="AQ952" s="176">
        <v>10000</v>
      </c>
      <c r="AR952" s="176">
        <v>0.5</v>
      </c>
      <c r="AS952" s="176">
        <v>0</v>
      </c>
      <c r="AT952" s="175">
        <v>92041043</v>
      </c>
      <c r="AU952" s="19">
        <v>90000011</v>
      </c>
      <c r="AV952" s="19"/>
      <c r="AW952" s="205" t="s">
        <v>1705</v>
      </c>
      <c r="AX952" s="176" t="s">
        <v>1415</v>
      </c>
      <c r="AY952" s="176">
        <v>10002001</v>
      </c>
      <c r="AZ952" s="176">
        <v>21201030</v>
      </c>
      <c r="BA952" s="205" t="s">
        <v>321</v>
      </c>
      <c r="BB952" s="205" t="s">
        <v>377</v>
      </c>
      <c r="BC952" s="174">
        <v>0</v>
      </c>
      <c r="BD952" s="174">
        <v>0</v>
      </c>
      <c r="BE952" s="210" t="str">
        <f t="shared" si="94"/>
        <v>在脚底下立即释放法术,在此范围内的目标每秒造成120%攻击伤害+2050点固定伤害,目标移动速度降低50%,持续5秒</v>
      </c>
      <c r="BF952" s="210" t="s">
        <v>5735</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63021401</v>
      </c>
      <c r="D953" s="205" t="s">
        <v>2133</v>
      </c>
      <c r="E953" s="205" t="s">
        <v>2134</v>
      </c>
      <c r="F953" s="176">
        <v>0</v>
      </c>
      <c r="G953" s="176">
        <v>63021401</v>
      </c>
      <c r="H953" s="172">
        <f t="shared" ref="H953:H955" si="95">C954</f>
        <v>63021402</v>
      </c>
      <c r="I953" s="174">
        <v>0</v>
      </c>
      <c r="J953" s="21">
        <v>35</v>
      </c>
      <c r="K953" s="32">
        <v>5</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1769</v>
      </c>
      <c r="AX953" s="176" t="s">
        <v>1047</v>
      </c>
      <c r="AY953" s="176">
        <v>0</v>
      </c>
      <c r="AZ953" s="176">
        <v>21201040</v>
      </c>
      <c r="BA953" s="205" t="s">
        <v>2135</v>
      </c>
      <c r="BB953" s="343" t="s">
        <v>5725</v>
      </c>
      <c r="BC953" s="174">
        <v>0</v>
      </c>
      <c r="BD953" s="174">
        <v>0</v>
      </c>
      <c r="BE953" s="211" t="s">
        <v>5720</v>
      </c>
      <c r="BF953" s="211" t="s">
        <v>2137</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63021402</v>
      </c>
      <c r="D954" s="205" t="s">
        <v>2133</v>
      </c>
      <c r="E954" s="205" t="s">
        <v>2134</v>
      </c>
      <c r="F954" s="176">
        <v>1</v>
      </c>
      <c r="G954" s="176">
        <v>63021401</v>
      </c>
      <c r="H954" s="172">
        <f t="shared" si="95"/>
        <v>63021403</v>
      </c>
      <c r="I954" s="174">
        <v>0</v>
      </c>
      <c r="J954" s="21">
        <v>42</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1769</v>
      </c>
      <c r="AX954" s="176" t="s">
        <v>1047</v>
      </c>
      <c r="AY954" s="176">
        <v>0</v>
      </c>
      <c r="AZ954" s="176">
        <v>21201040</v>
      </c>
      <c r="BA954" s="205" t="s">
        <v>2135</v>
      </c>
      <c r="BB954" s="343" t="s">
        <v>5725</v>
      </c>
      <c r="BC954" s="174">
        <v>0</v>
      </c>
      <c r="BD954" s="174">
        <v>0</v>
      </c>
      <c r="BE954" s="211" t="s">
        <v>5720</v>
      </c>
      <c r="BF954" s="211" t="s">
        <v>2137</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63021403</v>
      </c>
      <c r="D955" s="205" t="s">
        <v>2133</v>
      </c>
      <c r="E955" s="205" t="s">
        <v>2134</v>
      </c>
      <c r="F955" s="176">
        <v>2</v>
      </c>
      <c r="G955" s="176">
        <v>63021401</v>
      </c>
      <c r="H955" s="172">
        <f t="shared" si="95"/>
        <v>63021404</v>
      </c>
      <c r="I955" s="174">
        <v>0</v>
      </c>
      <c r="J955" s="21">
        <v>47</v>
      </c>
      <c r="K955" s="32">
        <v>2</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1769</v>
      </c>
      <c r="AX955" s="176" t="s">
        <v>1047</v>
      </c>
      <c r="AY955" s="176">
        <v>0</v>
      </c>
      <c r="AZ955" s="176">
        <v>21201040</v>
      </c>
      <c r="BA955" s="205" t="s">
        <v>2135</v>
      </c>
      <c r="BB955" s="343" t="s">
        <v>5726</v>
      </c>
      <c r="BC955" s="174">
        <v>0</v>
      </c>
      <c r="BD955" s="174">
        <v>0</v>
      </c>
      <c r="BE955" s="211" t="s">
        <v>5721</v>
      </c>
      <c r="BF955" s="211" t="s">
        <v>2138</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63021404</v>
      </c>
      <c r="D956" s="205" t="s">
        <v>2133</v>
      </c>
      <c r="E956" s="205" t="s">
        <v>2134</v>
      </c>
      <c r="F956" s="176">
        <v>3</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1769</v>
      </c>
      <c r="AX956" s="176" t="s">
        <v>1047</v>
      </c>
      <c r="AY956" s="176">
        <v>0</v>
      </c>
      <c r="AZ956" s="176">
        <v>21201040</v>
      </c>
      <c r="BA956" s="205" t="s">
        <v>2135</v>
      </c>
      <c r="BB956" s="343" t="s">
        <v>5727</v>
      </c>
      <c r="BC956" s="174">
        <v>0</v>
      </c>
      <c r="BD956" s="174">
        <v>0</v>
      </c>
      <c r="BE956" s="211" t="s">
        <v>5722</v>
      </c>
      <c r="BF956" s="211" t="s">
        <v>2139</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63021405</v>
      </c>
      <c r="D957" s="205" t="s">
        <v>2133</v>
      </c>
      <c r="E957" s="205" t="s">
        <v>2134</v>
      </c>
      <c r="F957" s="176">
        <v>4</v>
      </c>
      <c r="G957" s="176">
        <v>63021401</v>
      </c>
      <c r="H957" s="172">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1769</v>
      </c>
      <c r="AX957" s="176" t="s">
        <v>1047</v>
      </c>
      <c r="AY957" s="176">
        <v>0</v>
      </c>
      <c r="AZ957" s="176">
        <v>21201040</v>
      </c>
      <c r="BA957" s="205" t="s">
        <v>2135</v>
      </c>
      <c r="BB957" s="343" t="s">
        <v>5728</v>
      </c>
      <c r="BC957" s="174">
        <v>0</v>
      </c>
      <c r="BD957" s="174">
        <v>0</v>
      </c>
      <c r="BE957" s="211" t="s">
        <v>5723</v>
      </c>
      <c r="BF957" s="211" t="s">
        <v>2140</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19.5" customHeight="1">
      <c r="C958" s="172">
        <v>63021406</v>
      </c>
      <c r="D958" s="205" t="s">
        <v>2133</v>
      </c>
      <c r="E958" s="205" t="s">
        <v>2134</v>
      </c>
      <c r="F958" s="176">
        <v>5</v>
      </c>
      <c r="G958" s="176">
        <v>63021401</v>
      </c>
      <c r="H958" s="176">
        <v>0</v>
      </c>
      <c r="I958" s="174">
        <v>0</v>
      </c>
      <c r="J958" s="32">
        <v>0</v>
      </c>
      <c r="K958" s="32">
        <v>0</v>
      </c>
      <c r="L958" s="176">
        <v>0</v>
      </c>
      <c r="M958" s="176">
        <v>0</v>
      </c>
      <c r="N958" s="176">
        <v>0</v>
      </c>
      <c r="O958" s="172">
        <v>1</v>
      </c>
      <c r="P958" s="176">
        <v>0</v>
      </c>
      <c r="Q958" s="176">
        <v>0</v>
      </c>
      <c r="R958" s="176">
        <v>0</v>
      </c>
      <c r="S958" s="175">
        <v>0</v>
      </c>
      <c r="T958" s="174">
        <v>0</v>
      </c>
      <c r="U958" s="172">
        <v>1</v>
      </c>
      <c r="V958" s="176">
        <v>2</v>
      </c>
      <c r="W958" s="176">
        <v>0</v>
      </c>
      <c r="X958" s="176">
        <v>0</v>
      </c>
      <c r="Y958" s="19">
        <v>0</v>
      </c>
      <c r="Z958" s="176">
        <v>0</v>
      </c>
      <c r="AA958" s="176">
        <v>0</v>
      </c>
      <c r="AB958" s="176">
        <v>20</v>
      </c>
      <c r="AC958" s="176">
        <v>0</v>
      </c>
      <c r="AD958" s="176">
        <v>0</v>
      </c>
      <c r="AE958" s="176">
        <v>0</v>
      </c>
      <c r="AF958" s="176">
        <v>30</v>
      </c>
      <c r="AG958" s="176">
        <v>1</v>
      </c>
      <c r="AH958" s="176">
        <v>2</v>
      </c>
      <c r="AI958" s="175">
        <v>2</v>
      </c>
      <c r="AJ958" s="175">
        <v>1</v>
      </c>
      <c r="AK958" s="175">
        <v>0</v>
      </c>
      <c r="AL958" s="175">
        <v>5</v>
      </c>
      <c r="AM958" s="176">
        <v>0</v>
      </c>
      <c r="AN958" s="176">
        <v>0</v>
      </c>
      <c r="AO958" s="176">
        <v>0</v>
      </c>
      <c r="AP958" s="176">
        <v>0.5</v>
      </c>
      <c r="AQ958" s="176">
        <v>2000</v>
      </c>
      <c r="AR958" s="176">
        <v>0</v>
      </c>
      <c r="AS958" s="176">
        <v>0</v>
      </c>
      <c r="AT958" s="175">
        <v>0</v>
      </c>
      <c r="AU958" s="176" t="s">
        <v>204</v>
      </c>
      <c r="AV958" s="176"/>
      <c r="AW958" s="173" t="s">
        <v>1769</v>
      </c>
      <c r="AX958" s="176" t="s">
        <v>1047</v>
      </c>
      <c r="AY958" s="176">
        <v>0</v>
      </c>
      <c r="AZ958" s="176">
        <v>21201040</v>
      </c>
      <c r="BA958" s="205" t="s">
        <v>2135</v>
      </c>
      <c r="BB958" s="343" t="s">
        <v>5729</v>
      </c>
      <c r="BC958" s="174">
        <v>0</v>
      </c>
      <c r="BD958" s="174">
        <v>0</v>
      </c>
      <c r="BE958" s="211" t="s">
        <v>5724</v>
      </c>
      <c r="BF958" s="211" t="s">
        <v>2141</v>
      </c>
      <c r="BG958" s="176">
        <v>0</v>
      </c>
      <c r="BH958" s="172">
        <v>0</v>
      </c>
      <c r="BI958" s="176">
        <v>0</v>
      </c>
      <c r="BJ958" s="176">
        <v>0</v>
      </c>
      <c r="BK958" s="176">
        <v>0</v>
      </c>
      <c r="BL958" s="176">
        <v>0</v>
      </c>
      <c r="BM958" s="178">
        <v>0</v>
      </c>
      <c r="BN958" s="175">
        <v>0</v>
      </c>
      <c r="BO958" s="175">
        <v>0</v>
      </c>
      <c r="BP958" s="175">
        <v>0</v>
      </c>
      <c r="BQ958" s="175">
        <v>0</v>
      </c>
      <c r="BR958" s="175">
        <v>0</v>
      </c>
      <c r="BS958" s="175">
        <v>0</v>
      </c>
      <c r="BT958" s="19">
        <v>0</v>
      </c>
      <c r="BU958" s="23">
        <v>0</v>
      </c>
      <c r="BV958" s="23"/>
      <c r="BW958" s="23"/>
      <c r="BX958" s="23"/>
      <c r="BY958" s="23"/>
      <c r="BZ958" s="23"/>
    </row>
    <row r="959" spans="3:78" ht="20.100000000000001" customHeight="1">
      <c r="C959" s="172">
        <v>63021411</v>
      </c>
      <c r="D959" s="30" t="s">
        <v>2142</v>
      </c>
      <c r="E959" s="30" t="s">
        <v>2143</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2144</v>
      </c>
      <c r="BC959" s="31">
        <v>0</v>
      </c>
      <c r="BD959" s="31">
        <v>0</v>
      </c>
      <c r="BE959" s="33" t="s">
        <v>2145</v>
      </c>
      <c r="BF959" s="33" t="s">
        <v>2146</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63021412</v>
      </c>
      <c r="D960" s="30" t="s">
        <v>2147</v>
      </c>
      <c r="E960" s="30" t="s">
        <v>2148</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2149</v>
      </c>
      <c r="BC960" s="31">
        <v>0</v>
      </c>
      <c r="BD960" s="31">
        <v>0</v>
      </c>
      <c r="BE960" s="33" t="s">
        <v>2150</v>
      </c>
      <c r="BF960" s="33" t="s">
        <v>2151</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20.100000000000001" customHeight="1">
      <c r="C961" s="172">
        <v>63021413</v>
      </c>
      <c r="D961" s="30" t="s">
        <v>2152</v>
      </c>
      <c r="E961" s="30" t="s">
        <v>2153</v>
      </c>
      <c r="F961" s="21">
        <v>1</v>
      </c>
      <c r="G961" s="21">
        <v>60010500</v>
      </c>
      <c r="H961" s="32">
        <v>0</v>
      </c>
      <c r="I961" s="31">
        <v>0</v>
      </c>
      <c r="J961" s="32">
        <v>1</v>
      </c>
      <c r="K961" s="32">
        <v>0</v>
      </c>
      <c r="L961" s="32">
        <v>0</v>
      </c>
      <c r="M961" s="21">
        <v>0</v>
      </c>
      <c r="N961" s="21">
        <v>0</v>
      </c>
      <c r="O961" s="21">
        <v>5</v>
      </c>
      <c r="P961" s="21">
        <v>0</v>
      </c>
      <c r="Q961" s="21">
        <v>0</v>
      </c>
      <c r="R961" s="21">
        <v>0</v>
      </c>
      <c r="S961" s="19">
        <v>0</v>
      </c>
      <c r="T961" s="21">
        <v>0</v>
      </c>
      <c r="U961" s="21">
        <v>1</v>
      </c>
      <c r="V961" s="21">
        <v>2</v>
      </c>
      <c r="W961" s="21">
        <v>0</v>
      </c>
      <c r="X961" s="21">
        <v>0</v>
      </c>
      <c r="Y961" s="19">
        <v>0</v>
      </c>
      <c r="Z961" s="21">
        <v>0</v>
      </c>
      <c r="AA961" s="21">
        <v>0</v>
      </c>
      <c r="AB961" s="21">
        <v>0</v>
      </c>
      <c r="AC961" s="21">
        <v>0</v>
      </c>
      <c r="AD961" s="21">
        <v>0</v>
      </c>
      <c r="AE961" s="21">
        <v>0</v>
      </c>
      <c r="AF961" s="21">
        <v>9</v>
      </c>
      <c r="AG961" s="21">
        <v>2</v>
      </c>
      <c r="AH961" s="21" t="s">
        <v>219</v>
      </c>
      <c r="AI961" s="19">
        <v>2</v>
      </c>
      <c r="AJ961" s="19">
        <v>2</v>
      </c>
      <c r="AK961" s="19">
        <v>0</v>
      </c>
      <c r="AL961" s="19">
        <v>1.5</v>
      </c>
      <c r="AM961" s="21">
        <v>0</v>
      </c>
      <c r="AN961" s="21">
        <v>0</v>
      </c>
      <c r="AO961" s="21">
        <v>0</v>
      </c>
      <c r="AP961" s="21">
        <v>0</v>
      </c>
      <c r="AQ961" s="21">
        <v>3000</v>
      </c>
      <c r="AR961" s="21">
        <v>0.5</v>
      </c>
      <c r="AS961" s="21">
        <v>0</v>
      </c>
      <c r="AT961" s="19">
        <v>0</v>
      </c>
      <c r="AU961" s="21" t="s">
        <v>204</v>
      </c>
      <c r="AV961" s="21"/>
      <c r="AW961" s="30" t="s">
        <v>205</v>
      </c>
      <c r="AX961" s="21">
        <v>0</v>
      </c>
      <c r="AY961" s="32">
        <v>0</v>
      </c>
      <c r="AZ961" s="32">
        <v>0</v>
      </c>
      <c r="BA961" s="30" t="s">
        <v>206</v>
      </c>
      <c r="BB961" s="21" t="s">
        <v>2154</v>
      </c>
      <c r="BC961" s="31">
        <v>0</v>
      </c>
      <c r="BD961" s="31">
        <v>0</v>
      </c>
      <c r="BE961" s="33" t="s">
        <v>2155</v>
      </c>
      <c r="BF961" s="33" t="s">
        <v>2156</v>
      </c>
      <c r="BG961" s="21"/>
      <c r="BH961" s="21">
        <v>0</v>
      </c>
      <c r="BI961" s="21"/>
      <c r="BJ961" s="21"/>
      <c r="BK961" s="21"/>
      <c r="BL961" s="32"/>
      <c r="BM961" s="21">
        <v>0</v>
      </c>
      <c r="BN961" s="19">
        <v>0</v>
      </c>
      <c r="BO961" s="19">
        <v>0</v>
      </c>
      <c r="BP961" s="19">
        <v>0</v>
      </c>
      <c r="BQ961" s="19">
        <v>0</v>
      </c>
      <c r="BR961" s="19">
        <v>0</v>
      </c>
      <c r="BS961" s="19">
        <v>0</v>
      </c>
      <c r="BT961" s="19">
        <v>0</v>
      </c>
      <c r="BU961" s="23">
        <v>0</v>
      </c>
      <c r="BV961" s="23"/>
      <c r="BW961" s="23"/>
      <c r="BX961" s="23"/>
      <c r="BY961" s="23"/>
      <c r="BZ961" s="23"/>
    </row>
    <row r="962" spans="3:78" ht="19.5" customHeight="1">
      <c r="C962" s="172">
        <v>63022101</v>
      </c>
      <c r="D962" s="212" t="s">
        <v>2157</v>
      </c>
      <c r="E962" s="212" t="s">
        <v>2158</v>
      </c>
      <c r="F962" s="206">
        <v>0</v>
      </c>
      <c r="G962" s="206">
        <v>63022101</v>
      </c>
      <c r="H962" s="172">
        <f t="shared" ref="H962:H964" si="96">C963</f>
        <v>63022102</v>
      </c>
      <c r="I962" s="174">
        <v>0</v>
      </c>
      <c r="J962" s="21">
        <v>18</v>
      </c>
      <c r="K962" s="21">
        <v>5</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1407</v>
      </c>
      <c r="AY962" s="206">
        <v>10003002</v>
      </c>
      <c r="AZ962" s="206">
        <v>21202010</v>
      </c>
      <c r="BA962" s="212" t="s">
        <v>592</v>
      </c>
      <c r="BB962" s="212">
        <v>0</v>
      </c>
      <c r="BC962" s="206">
        <v>0</v>
      </c>
      <c r="BD962" s="206">
        <v>0</v>
      </c>
      <c r="BE962" s="213" t="str">
        <f>"立即对目标范围内的怪物造成"&amp;X962*100&amp;"%攻击伤害+"&amp;Z962&amp;"点固定伤害"&amp;",并使目标移动速度降低50%,持续3秒,如果目标为怪物则附带易伤状态,使其受到伤害在提升20%,持续6秒"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2159</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63022102</v>
      </c>
      <c r="D963" s="212" t="s">
        <v>2157</v>
      </c>
      <c r="E963" s="212" t="s">
        <v>2158</v>
      </c>
      <c r="F963" s="206">
        <v>1</v>
      </c>
      <c r="G963" s="206">
        <v>63022101</v>
      </c>
      <c r="H963" s="172">
        <f t="shared" si="96"/>
        <v>63022103</v>
      </c>
      <c r="I963" s="174">
        <v>0</v>
      </c>
      <c r="J963" s="21">
        <v>27</v>
      </c>
      <c r="K963" s="21">
        <v>2</v>
      </c>
      <c r="L963" s="206">
        <v>0</v>
      </c>
      <c r="M963" s="206">
        <v>0</v>
      </c>
      <c r="N963" s="206">
        <v>0</v>
      </c>
      <c r="O963" s="206">
        <v>1</v>
      </c>
      <c r="P963" s="206">
        <v>0</v>
      </c>
      <c r="Q963" s="206">
        <v>0</v>
      </c>
      <c r="R963" s="206">
        <v>0</v>
      </c>
      <c r="S963" s="206">
        <v>0</v>
      </c>
      <c r="T963" s="206">
        <v>0</v>
      </c>
      <c r="U963" s="206">
        <v>1</v>
      </c>
      <c r="V963" s="206">
        <v>2</v>
      </c>
      <c r="W963" s="176">
        <v>0</v>
      </c>
      <c r="X963" s="176">
        <v>3</v>
      </c>
      <c r="Y963" s="19">
        <v>0</v>
      </c>
      <c r="Z963" s="176">
        <v>1800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1407</v>
      </c>
      <c r="AY963" s="206">
        <v>10003002</v>
      </c>
      <c r="AZ963" s="206">
        <v>21202010</v>
      </c>
      <c r="BA963" s="212" t="s">
        <v>592</v>
      </c>
      <c r="BB963" s="212">
        <v>0</v>
      </c>
      <c r="BC963" s="206">
        <v>0</v>
      </c>
      <c r="BD963" s="206">
        <v>0</v>
      </c>
      <c r="BE963" s="213" t="str">
        <f t="shared" ref="BE963:BE967" si="97">"立即对目标范围内的怪物造成"&amp;X963*100&amp;"%攻击伤害+"&amp;Z963&amp;"点固定伤害"&amp;",并使目标移动速度降低50%,持续3秒,如果目标为怪物则附带易伤状态,使其受到伤害在提升20%,持续6秒"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3" s="213" t="s">
        <v>2159</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63022103</v>
      </c>
      <c r="D964" s="212" t="s">
        <v>2157</v>
      </c>
      <c r="E964" s="212" t="s">
        <v>2158</v>
      </c>
      <c r="F964" s="206">
        <v>2</v>
      </c>
      <c r="G964" s="206">
        <v>63022101</v>
      </c>
      <c r="H964" s="172">
        <f t="shared" si="96"/>
        <v>63022104</v>
      </c>
      <c r="I964" s="174">
        <v>0</v>
      </c>
      <c r="J964" s="21">
        <v>32</v>
      </c>
      <c r="K964" s="21">
        <v>2</v>
      </c>
      <c r="L964" s="206">
        <v>0</v>
      </c>
      <c r="M964" s="206">
        <v>0</v>
      </c>
      <c r="N964" s="206">
        <v>0</v>
      </c>
      <c r="O964" s="206">
        <v>1</v>
      </c>
      <c r="P964" s="206">
        <v>0</v>
      </c>
      <c r="Q964" s="206">
        <v>0</v>
      </c>
      <c r="R964" s="206">
        <v>0</v>
      </c>
      <c r="S964" s="206">
        <v>0</v>
      </c>
      <c r="T964" s="206">
        <v>0</v>
      </c>
      <c r="U964" s="206">
        <v>1</v>
      </c>
      <c r="V964" s="206">
        <v>2</v>
      </c>
      <c r="W964" s="176">
        <v>0</v>
      </c>
      <c r="X964" s="176">
        <v>3.5</v>
      </c>
      <c r="Y964" s="19">
        <v>0</v>
      </c>
      <c r="Z964" s="176">
        <v>3600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1407</v>
      </c>
      <c r="AY964" s="206">
        <v>10003002</v>
      </c>
      <c r="AZ964" s="206">
        <v>21202010</v>
      </c>
      <c r="BA964" s="212" t="s">
        <v>592</v>
      </c>
      <c r="BB964" s="212">
        <v>0</v>
      </c>
      <c r="BC964" s="206">
        <v>0</v>
      </c>
      <c r="BD964" s="206">
        <v>0</v>
      </c>
      <c r="BE964" s="213" t="str">
        <f t="shared" si="97"/>
        <v>立即对目标范围内的怪物造成350%攻击伤害+3600点固定伤害,并使目标移动速度降低50%,持续3秒,如果目标为怪物则附带易伤状态,使其受到伤害在提升20%,持续6秒</v>
      </c>
      <c r="BF964" s="213" t="s">
        <v>2160</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63022104</v>
      </c>
      <c r="D965" s="212" t="s">
        <v>2157</v>
      </c>
      <c r="E965" s="212" t="s">
        <v>2158</v>
      </c>
      <c r="F965" s="206">
        <v>3</v>
      </c>
      <c r="G965" s="206">
        <v>63022101</v>
      </c>
      <c r="H965" s="172">
        <v>0</v>
      </c>
      <c r="I965" s="174">
        <v>0</v>
      </c>
      <c r="J965" s="21">
        <v>0</v>
      </c>
      <c r="K965" s="182">
        <v>0</v>
      </c>
      <c r="L965" s="206">
        <v>0</v>
      </c>
      <c r="M965" s="206">
        <v>0</v>
      </c>
      <c r="N965" s="206">
        <v>0</v>
      </c>
      <c r="O965" s="206">
        <v>1</v>
      </c>
      <c r="P965" s="206">
        <v>0</v>
      </c>
      <c r="Q965" s="206">
        <v>0</v>
      </c>
      <c r="R965" s="206">
        <v>0</v>
      </c>
      <c r="S965" s="206">
        <v>0</v>
      </c>
      <c r="T965" s="206">
        <v>0</v>
      </c>
      <c r="U965" s="206">
        <v>1</v>
      </c>
      <c r="V965" s="206">
        <v>2</v>
      </c>
      <c r="W965" s="176">
        <v>0</v>
      </c>
      <c r="X965" s="176">
        <v>4</v>
      </c>
      <c r="Y965" s="19">
        <v>0</v>
      </c>
      <c r="Z965" s="176">
        <v>5600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1407</v>
      </c>
      <c r="AY965" s="206">
        <v>10003002</v>
      </c>
      <c r="AZ965" s="206">
        <v>21202010</v>
      </c>
      <c r="BA965" s="212" t="s">
        <v>592</v>
      </c>
      <c r="BB965" s="212">
        <v>0</v>
      </c>
      <c r="BC965" s="206">
        <v>0</v>
      </c>
      <c r="BD965" s="206">
        <v>0</v>
      </c>
      <c r="BE965" s="213" t="str">
        <f t="shared" si="97"/>
        <v>立即对目标范围内的怪物造成400%攻击伤害+5600点固定伤害,并使目标移动速度降低50%,持续3秒,如果目标为怪物则附带易伤状态,使其受到伤害在提升20%,持续6秒</v>
      </c>
      <c r="BF965" s="213" t="s">
        <v>2161</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63022105</v>
      </c>
      <c r="D966" s="212" t="s">
        <v>2157</v>
      </c>
      <c r="E966" s="212" t="s">
        <v>2158</v>
      </c>
      <c r="F966" s="206">
        <v>4</v>
      </c>
      <c r="G966" s="206">
        <v>63022101</v>
      </c>
      <c r="H966" s="172">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4.5</v>
      </c>
      <c r="Y966" s="19">
        <v>0</v>
      </c>
      <c r="Z966" s="176">
        <v>8000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1407</v>
      </c>
      <c r="AY966" s="206">
        <v>10003002</v>
      </c>
      <c r="AZ966" s="206">
        <v>21202010</v>
      </c>
      <c r="BA966" s="212" t="s">
        <v>592</v>
      </c>
      <c r="BB966" s="212">
        <v>0</v>
      </c>
      <c r="BC966" s="206">
        <v>0</v>
      </c>
      <c r="BD966" s="206">
        <v>0</v>
      </c>
      <c r="BE966" s="213" t="str">
        <f t="shared" si="97"/>
        <v>立即对目标范围内的怪物造成450%攻击伤害+8000点固定伤害,并使目标移动速度降低50%,持续3秒,如果目标为怪物则附带易伤状态,使其受到伤害在提升20%,持续6秒</v>
      </c>
      <c r="BF966" s="213" t="s">
        <v>2162</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19.5" customHeight="1">
      <c r="C967" s="172">
        <v>63022106</v>
      </c>
      <c r="D967" s="212" t="s">
        <v>2157</v>
      </c>
      <c r="E967" s="212" t="s">
        <v>2158</v>
      </c>
      <c r="F967" s="206">
        <v>5</v>
      </c>
      <c r="G967" s="206">
        <v>63022101</v>
      </c>
      <c r="H967" s="176">
        <v>0</v>
      </c>
      <c r="I967" s="174">
        <v>0</v>
      </c>
      <c r="J967" s="21">
        <v>0</v>
      </c>
      <c r="K967" s="21">
        <v>0</v>
      </c>
      <c r="L967" s="206">
        <v>0</v>
      </c>
      <c r="M967" s="206">
        <v>0</v>
      </c>
      <c r="N967" s="206">
        <v>0</v>
      </c>
      <c r="O967" s="206">
        <v>1</v>
      </c>
      <c r="P967" s="206">
        <v>0</v>
      </c>
      <c r="Q967" s="206">
        <v>0</v>
      </c>
      <c r="R967" s="206">
        <v>0</v>
      </c>
      <c r="S967" s="206">
        <v>0</v>
      </c>
      <c r="T967" s="206">
        <v>0</v>
      </c>
      <c r="U967" s="206">
        <v>1</v>
      </c>
      <c r="V967" s="206">
        <v>2</v>
      </c>
      <c r="W967" s="176">
        <v>0</v>
      </c>
      <c r="X967" s="176">
        <v>5</v>
      </c>
      <c r="Y967" s="19">
        <v>0</v>
      </c>
      <c r="Z967" s="176">
        <v>10400</v>
      </c>
      <c r="AA967" s="206">
        <v>0</v>
      </c>
      <c r="AB967" s="206">
        <v>15</v>
      </c>
      <c r="AC967" s="206">
        <v>0</v>
      </c>
      <c r="AD967" s="206">
        <v>0</v>
      </c>
      <c r="AE967" s="206">
        <v>0</v>
      </c>
      <c r="AF967" s="206">
        <v>9</v>
      </c>
      <c r="AG967" s="206">
        <v>1</v>
      </c>
      <c r="AH967" s="206">
        <v>3</v>
      </c>
      <c r="AI967" s="206">
        <v>2</v>
      </c>
      <c r="AJ967" s="206">
        <v>2</v>
      </c>
      <c r="AK967" s="206">
        <v>0</v>
      </c>
      <c r="AL967" s="206">
        <v>4</v>
      </c>
      <c r="AM967" s="206">
        <v>0</v>
      </c>
      <c r="AN967" s="206">
        <v>0</v>
      </c>
      <c r="AO967" s="206">
        <v>0</v>
      </c>
      <c r="AP967" s="206">
        <v>0.25</v>
      </c>
      <c r="AQ967" s="206">
        <v>1500</v>
      </c>
      <c r="AR967" s="206">
        <v>0.25</v>
      </c>
      <c r="AS967" s="206">
        <v>20</v>
      </c>
      <c r="AT967" s="206">
        <v>0</v>
      </c>
      <c r="AU967" s="206">
        <v>92002001</v>
      </c>
      <c r="AV967" s="206"/>
      <c r="AW967" s="212" t="s">
        <v>205</v>
      </c>
      <c r="AX967" s="206" t="s">
        <v>1407</v>
      </c>
      <c r="AY967" s="206">
        <v>10003002</v>
      </c>
      <c r="AZ967" s="206">
        <v>21202010</v>
      </c>
      <c r="BA967" s="212" t="s">
        <v>592</v>
      </c>
      <c r="BB967" s="212">
        <v>0</v>
      </c>
      <c r="BC967" s="206">
        <v>0</v>
      </c>
      <c r="BD967" s="206">
        <v>0</v>
      </c>
      <c r="BE967" s="213" t="str">
        <f t="shared" si="97"/>
        <v>立即对目标范围内的怪物造成500%攻击伤害+10400点固定伤害,并使目标移动速度降低50%,持续3秒,如果目标为怪物则附带易伤状态,使其受到伤害在提升20%,持续6秒</v>
      </c>
      <c r="BF967" s="213" t="s">
        <v>2163</v>
      </c>
      <c r="BG967" s="206">
        <v>0</v>
      </c>
      <c r="BH967" s="206">
        <v>0</v>
      </c>
      <c r="BI967" s="206">
        <v>0</v>
      </c>
      <c r="BJ967" s="206">
        <v>0</v>
      </c>
      <c r="BK967" s="206">
        <v>0</v>
      </c>
      <c r="BL967" s="206">
        <v>0</v>
      </c>
      <c r="BM967" s="214">
        <v>0</v>
      </c>
      <c r="BN967" s="206">
        <v>0</v>
      </c>
      <c r="BO967" s="206">
        <v>0</v>
      </c>
      <c r="BP967" s="206">
        <v>0</v>
      </c>
      <c r="BQ967" s="206">
        <v>0</v>
      </c>
      <c r="BR967" s="206">
        <v>0</v>
      </c>
      <c r="BS967" s="206">
        <v>0</v>
      </c>
      <c r="BT967" s="19">
        <v>0</v>
      </c>
      <c r="BU967" s="23">
        <v>0</v>
      </c>
      <c r="BV967" s="23"/>
      <c r="BW967" s="23"/>
      <c r="BX967" s="23"/>
      <c r="BY967" s="23"/>
      <c r="BZ967" s="23"/>
    </row>
    <row r="968" spans="3:78" ht="20.100000000000001" customHeight="1">
      <c r="C968" s="172">
        <v>63022201</v>
      </c>
      <c r="D968" s="202" t="s">
        <v>2164</v>
      </c>
      <c r="E968" s="202" t="s">
        <v>2165</v>
      </c>
      <c r="F968" s="176">
        <v>0</v>
      </c>
      <c r="G968" s="176">
        <v>63022201</v>
      </c>
      <c r="H968" s="172">
        <f t="shared" ref="H968:H970" si="98">C969</f>
        <v>63022202</v>
      </c>
      <c r="I968" s="174">
        <v>0</v>
      </c>
      <c r="J968" s="21">
        <v>25</v>
      </c>
      <c r="K968" s="21">
        <v>5</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2166</v>
      </c>
      <c r="AY968" s="176">
        <v>10000007</v>
      </c>
      <c r="AZ968" s="176">
        <v>21202020</v>
      </c>
      <c r="BA968" s="205" t="s">
        <v>592</v>
      </c>
      <c r="BB968" s="175" t="s">
        <v>2070</v>
      </c>
      <c r="BC968" s="174">
        <v>0</v>
      </c>
      <c r="BD968" s="174">
        <v>0</v>
      </c>
      <c r="BE968" s="213" t="str">
        <f>"每次向前方释放5个烈焰飓风，每个飓风可以对目标造成"&amp;X968*100&amp;"%攻击伤害+"&amp;Z968&amp;"点固定伤害"&amp;",并使目标造成眩晕效果,持续1秒"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2167</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63022202</v>
      </c>
      <c r="D969" s="202" t="s">
        <v>2164</v>
      </c>
      <c r="E969" s="202" t="s">
        <v>2165</v>
      </c>
      <c r="F969" s="176">
        <v>1</v>
      </c>
      <c r="G969" s="176">
        <v>63022201</v>
      </c>
      <c r="H969" s="172">
        <f t="shared" si="98"/>
        <v>63022203</v>
      </c>
      <c r="I969" s="174">
        <v>0</v>
      </c>
      <c r="J969" s="21">
        <v>32</v>
      </c>
      <c r="K969" s="21">
        <v>2</v>
      </c>
      <c r="L969" s="176">
        <v>0</v>
      </c>
      <c r="M969" s="172">
        <v>0</v>
      </c>
      <c r="N969" s="172">
        <v>0</v>
      </c>
      <c r="O969" s="172">
        <v>1</v>
      </c>
      <c r="P969" s="172">
        <v>0</v>
      </c>
      <c r="Q969" s="172">
        <v>1</v>
      </c>
      <c r="R969" s="172">
        <v>0</v>
      </c>
      <c r="S969" s="175">
        <v>0</v>
      </c>
      <c r="T969" s="172">
        <v>0</v>
      </c>
      <c r="U969" s="172">
        <v>1</v>
      </c>
      <c r="V969" s="172">
        <v>2</v>
      </c>
      <c r="W969" s="172">
        <v>0</v>
      </c>
      <c r="X969" s="175">
        <v>2</v>
      </c>
      <c r="Y969" s="19">
        <v>0</v>
      </c>
      <c r="Z969" s="175">
        <v>750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2166</v>
      </c>
      <c r="AY969" s="176">
        <v>10000007</v>
      </c>
      <c r="AZ969" s="176">
        <v>21202020</v>
      </c>
      <c r="BA969" s="205" t="s">
        <v>592</v>
      </c>
      <c r="BB969" s="175" t="s">
        <v>2070</v>
      </c>
      <c r="BC969" s="174">
        <v>0</v>
      </c>
      <c r="BD969" s="174">
        <v>0</v>
      </c>
      <c r="BE969" s="213" t="str">
        <f t="shared" ref="BE969:BE973" si="99">"每次向前方释放5个烈焰飓风，每个飓风可以对目标造成"&amp;X969*100&amp;"%攻击伤害+"&amp;Z969&amp;"点固定伤害"&amp;",并使目标造成眩晕效果,持续1秒"</f>
        <v>每次向前方释放5个烈焰飓风，每个飓风可以对目标造成200%攻击伤害+750点固定伤害,并使目标造成眩晕效果,持续1秒</v>
      </c>
      <c r="BF969" s="213" t="s">
        <v>2167</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63022203</v>
      </c>
      <c r="D970" s="202" t="s">
        <v>2164</v>
      </c>
      <c r="E970" s="202" t="s">
        <v>2165</v>
      </c>
      <c r="F970" s="176">
        <v>2</v>
      </c>
      <c r="G970" s="176">
        <v>63022201</v>
      </c>
      <c r="H970" s="172">
        <f t="shared" si="98"/>
        <v>63022204</v>
      </c>
      <c r="I970" s="174">
        <v>0</v>
      </c>
      <c r="J970" s="21">
        <v>37</v>
      </c>
      <c r="K970" s="21">
        <v>2</v>
      </c>
      <c r="L970" s="176">
        <v>0</v>
      </c>
      <c r="M970" s="172">
        <v>0</v>
      </c>
      <c r="N970" s="172">
        <v>0</v>
      </c>
      <c r="O970" s="172">
        <v>1</v>
      </c>
      <c r="P970" s="172">
        <v>0</v>
      </c>
      <c r="Q970" s="172">
        <v>1</v>
      </c>
      <c r="R970" s="172">
        <v>0</v>
      </c>
      <c r="S970" s="175">
        <v>0</v>
      </c>
      <c r="T970" s="172">
        <v>0</v>
      </c>
      <c r="U970" s="172">
        <v>1</v>
      </c>
      <c r="V970" s="172">
        <v>2</v>
      </c>
      <c r="W970" s="172">
        <v>0</v>
      </c>
      <c r="X970" s="175">
        <v>2.25</v>
      </c>
      <c r="Y970" s="19">
        <v>0</v>
      </c>
      <c r="Z970" s="175">
        <v>1500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2166</v>
      </c>
      <c r="AY970" s="176">
        <v>10000007</v>
      </c>
      <c r="AZ970" s="176">
        <v>21202020</v>
      </c>
      <c r="BA970" s="205" t="s">
        <v>592</v>
      </c>
      <c r="BB970" s="175" t="s">
        <v>2070</v>
      </c>
      <c r="BC970" s="174">
        <v>0</v>
      </c>
      <c r="BD970" s="174">
        <v>0</v>
      </c>
      <c r="BE970" s="213" t="str">
        <f t="shared" si="99"/>
        <v>每次向前方释放5个烈焰飓风，每个飓风可以对目标造成225%攻击伤害+1500点固定伤害,并使目标造成眩晕效果,持续1秒</v>
      </c>
      <c r="BF970" s="213" t="s">
        <v>2168</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63022204</v>
      </c>
      <c r="D971" s="202" t="s">
        <v>2164</v>
      </c>
      <c r="E971" s="202" t="s">
        <v>2165</v>
      </c>
      <c r="F971" s="176">
        <v>3</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2.5</v>
      </c>
      <c r="Y971" s="19">
        <v>0</v>
      </c>
      <c r="Z971" s="175">
        <v>2250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2166</v>
      </c>
      <c r="AY971" s="176">
        <v>10000007</v>
      </c>
      <c r="AZ971" s="176">
        <v>21202020</v>
      </c>
      <c r="BA971" s="205" t="s">
        <v>592</v>
      </c>
      <c r="BB971" s="175" t="s">
        <v>2070</v>
      </c>
      <c r="BC971" s="174">
        <v>0</v>
      </c>
      <c r="BD971" s="174">
        <v>0</v>
      </c>
      <c r="BE971" s="213" t="str">
        <f t="shared" si="99"/>
        <v>每次向前方释放5个烈焰飓风，每个飓风可以对目标造成250%攻击伤害+2250点固定伤害,并使目标造成眩晕效果,持续1秒</v>
      </c>
      <c r="BF971" s="213" t="s">
        <v>2169</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63022205</v>
      </c>
      <c r="D972" s="202" t="s">
        <v>2164</v>
      </c>
      <c r="E972" s="202" t="s">
        <v>2165</v>
      </c>
      <c r="F972" s="176">
        <v>4</v>
      </c>
      <c r="G972" s="176">
        <v>63022201</v>
      </c>
      <c r="H972" s="172">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2.75</v>
      </c>
      <c r="Y972" s="19">
        <v>0</v>
      </c>
      <c r="Z972" s="175">
        <v>3250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2166</v>
      </c>
      <c r="AY972" s="176">
        <v>10000007</v>
      </c>
      <c r="AZ972" s="176">
        <v>21202020</v>
      </c>
      <c r="BA972" s="205" t="s">
        <v>592</v>
      </c>
      <c r="BB972" s="175" t="s">
        <v>2070</v>
      </c>
      <c r="BC972" s="174">
        <v>0</v>
      </c>
      <c r="BD972" s="174">
        <v>0</v>
      </c>
      <c r="BE972" s="213" t="str">
        <f t="shared" si="99"/>
        <v>每次向前方释放5个烈焰飓风，每个飓风可以对目标造成275%攻击伤害+3250点固定伤害,并使目标造成眩晕效果,持续1秒</v>
      </c>
      <c r="BF972" s="213" t="s">
        <v>2170</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20.100000000000001" customHeight="1">
      <c r="C973" s="172">
        <v>63022206</v>
      </c>
      <c r="D973" s="202" t="s">
        <v>2164</v>
      </c>
      <c r="E973" s="202" t="s">
        <v>2165</v>
      </c>
      <c r="F973" s="176">
        <v>5</v>
      </c>
      <c r="G973" s="176">
        <v>63022201</v>
      </c>
      <c r="H973" s="176">
        <v>0</v>
      </c>
      <c r="I973" s="174">
        <v>0</v>
      </c>
      <c r="J973" s="21">
        <v>0</v>
      </c>
      <c r="K973" s="21">
        <v>0</v>
      </c>
      <c r="L973" s="176">
        <v>0</v>
      </c>
      <c r="M973" s="172">
        <v>0</v>
      </c>
      <c r="N973" s="172">
        <v>0</v>
      </c>
      <c r="O973" s="172">
        <v>1</v>
      </c>
      <c r="P973" s="172">
        <v>0</v>
      </c>
      <c r="Q973" s="172">
        <v>1</v>
      </c>
      <c r="R973" s="172">
        <v>0</v>
      </c>
      <c r="S973" s="175">
        <v>0</v>
      </c>
      <c r="T973" s="172">
        <v>0</v>
      </c>
      <c r="U973" s="172">
        <v>1</v>
      </c>
      <c r="V973" s="172">
        <v>2</v>
      </c>
      <c r="W973" s="172">
        <v>0</v>
      </c>
      <c r="X973" s="175">
        <v>3</v>
      </c>
      <c r="Y973" s="19">
        <v>0</v>
      </c>
      <c r="Z973" s="175">
        <v>4250</v>
      </c>
      <c r="AA973" s="206">
        <v>0</v>
      </c>
      <c r="AB973" s="172">
        <v>20</v>
      </c>
      <c r="AC973" s="172">
        <v>0</v>
      </c>
      <c r="AD973" s="172">
        <v>0</v>
      </c>
      <c r="AE973" s="172">
        <v>0</v>
      </c>
      <c r="AF973" s="172">
        <v>9</v>
      </c>
      <c r="AG973" s="172">
        <v>1</v>
      </c>
      <c r="AH973" s="172">
        <v>3</v>
      </c>
      <c r="AI973" s="175">
        <v>0</v>
      </c>
      <c r="AJ973" s="175">
        <v>2</v>
      </c>
      <c r="AK973" s="175">
        <v>0</v>
      </c>
      <c r="AL973" s="175">
        <v>2</v>
      </c>
      <c r="AM973" s="172">
        <v>0</v>
      </c>
      <c r="AN973" s="172">
        <v>0</v>
      </c>
      <c r="AO973" s="172">
        <v>0</v>
      </c>
      <c r="AP973" s="172">
        <v>0.5</v>
      </c>
      <c r="AQ973" s="206">
        <v>1500</v>
      </c>
      <c r="AR973" s="172">
        <v>0.5</v>
      </c>
      <c r="AS973" s="206">
        <v>20</v>
      </c>
      <c r="AT973" s="175">
        <v>0</v>
      </c>
      <c r="AU973" s="172">
        <v>92000028</v>
      </c>
      <c r="AV973" s="172"/>
      <c r="AW973" s="205" t="s">
        <v>262</v>
      </c>
      <c r="AX973" s="172" t="s">
        <v>2166</v>
      </c>
      <c r="AY973" s="176">
        <v>10000007</v>
      </c>
      <c r="AZ973" s="176">
        <v>21202020</v>
      </c>
      <c r="BA973" s="205" t="s">
        <v>592</v>
      </c>
      <c r="BB973" s="175" t="s">
        <v>2070</v>
      </c>
      <c r="BC973" s="174">
        <v>0</v>
      </c>
      <c r="BD973" s="174">
        <v>0</v>
      </c>
      <c r="BE973" s="213" t="str">
        <f t="shared" si="99"/>
        <v>每次向前方释放5个烈焰飓风，每个飓风可以对目标造成300%攻击伤害+4250点固定伤害,并使目标造成眩晕效果,持续1秒</v>
      </c>
      <c r="BF973" s="213" t="s">
        <v>2171</v>
      </c>
      <c r="BG973" s="172">
        <v>0</v>
      </c>
      <c r="BH973" s="172">
        <v>0</v>
      </c>
      <c r="BI973" s="172">
        <v>0</v>
      </c>
      <c r="BJ973" s="172">
        <v>0</v>
      </c>
      <c r="BK973" s="172">
        <v>0</v>
      </c>
      <c r="BL973" s="172">
        <v>0</v>
      </c>
      <c r="BM973" s="178">
        <v>0</v>
      </c>
      <c r="BN973" s="175">
        <v>0</v>
      </c>
      <c r="BO973" s="175">
        <v>0</v>
      </c>
      <c r="BP973" s="175">
        <v>0</v>
      </c>
      <c r="BQ973" s="175">
        <v>0</v>
      </c>
      <c r="BR973" s="175">
        <v>0</v>
      </c>
      <c r="BS973" s="175">
        <v>0</v>
      </c>
      <c r="BT973" s="19">
        <v>0</v>
      </c>
      <c r="BU973" s="23">
        <v>0</v>
      </c>
      <c r="BV973" s="23"/>
      <c r="BW973" s="23"/>
      <c r="BX973" s="23"/>
      <c r="BY973" s="23"/>
      <c r="BZ973" s="23"/>
    </row>
    <row r="974" spans="3:78" ht="19.5" customHeight="1">
      <c r="C974" s="172">
        <v>63022301</v>
      </c>
      <c r="D974" s="212" t="s">
        <v>1126</v>
      </c>
      <c r="E974" s="212" t="s">
        <v>1127</v>
      </c>
      <c r="F974" s="206">
        <v>0</v>
      </c>
      <c r="G974" s="206">
        <v>63022301</v>
      </c>
      <c r="H974" s="172">
        <f t="shared" ref="H974:H976" si="100">C975</f>
        <v>63022302</v>
      </c>
      <c r="I974" s="174">
        <v>0</v>
      </c>
      <c r="J974" s="21">
        <v>30</v>
      </c>
      <c r="K974" s="32">
        <v>5</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1407</v>
      </c>
      <c r="AY974" s="206">
        <v>10003002</v>
      </c>
      <c r="AZ974" s="206">
        <v>21202030</v>
      </c>
      <c r="BA974" s="212" t="s">
        <v>592</v>
      </c>
      <c r="BB974" s="212">
        <v>0</v>
      </c>
      <c r="BC974" s="206">
        <v>0</v>
      </c>
      <c r="BD974" s="206">
        <v>0</v>
      </c>
      <c r="BE974" s="213" t="str">
        <f>"蓄力1秒,立即对目标范围内的怪物造成"&amp;X974*100&amp;"%攻击伤害+"&amp;Z974&amp;"点固定伤害"&amp;",中途可随时取消蓄力直接释放,但是技能伤害会相应降低"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2172</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63022302</v>
      </c>
      <c r="D975" s="212" t="s">
        <v>1126</v>
      </c>
      <c r="E975" s="212" t="s">
        <v>1127</v>
      </c>
      <c r="F975" s="206">
        <v>1</v>
      </c>
      <c r="G975" s="206">
        <v>63022301</v>
      </c>
      <c r="H975" s="172">
        <f t="shared" si="100"/>
        <v>63022303</v>
      </c>
      <c r="I975" s="174">
        <v>0</v>
      </c>
      <c r="J975" s="21">
        <v>37</v>
      </c>
      <c r="K975" s="32">
        <v>2</v>
      </c>
      <c r="L975" s="206">
        <v>0</v>
      </c>
      <c r="M975" s="206">
        <v>0</v>
      </c>
      <c r="N975" s="206">
        <v>0</v>
      </c>
      <c r="O975" s="206">
        <v>1</v>
      </c>
      <c r="P975" s="206">
        <v>2</v>
      </c>
      <c r="Q975" s="206">
        <v>0</v>
      </c>
      <c r="R975" s="206">
        <v>0</v>
      </c>
      <c r="S975" s="206">
        <v>0</v>
      </c>
      <c r="T975" s="206">
        <v>0</v>
      </c>
      <c r="U975" s="206">
        <v>1</v>
      </c>
      <c r="V975" s="206">
        <v>2</v>
      </c>
      <c r="W975" s="206">
        <v>0</v>
      </c>
      <c r="X975" s="175">
        <v>7.5</v>
      </c>
      <c r="Y975" s="19">
        <v>0</v>
      </c>
      <c r="Z975" s="175">
        <v>1500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1407</v>
      </c>
      <c r="AY975" s="206">
        <v>10003002</v>
      </c>
      <c r="AZ975" s="206">
        <v>21202030</v>
      </c>
      <c r="BA975" s="212" t="s">
        <v>592</v>
      </c>
      <c r="BB975" s="212">
        <v>0</v>
      </c>
      <c r="BC975" s="206">
        <v>0</v>
      </c>
      <c r="BD975" s="206">
        <v>0</v>
      </c>
      <c r="BE975" s="213" t="str">
        <f t="shared" ref="BE975:BE979" si="101">"蓄力1秒,立即对目标范围内的怪物造成"&amp;X975*100&amp;"%攻击伤害+"&amp;Z975&amp;"点固定伤害"&amp;",中途可随时取消蓄力直接释放,但是技能伤害会相应降低"</f>
        <v>蓄力1秒,立即对目标范围内的怪物造成750%攻击伤害+1500点固定伤害,中途可随时取消蓄力直接释放,但是技能伤害会相应降低</v>
      </c>
      <c r="BF975" s="213" t="s">
        <v>2172</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63022303</v>
      </c>
      <c r="D976" s="212" t="s">
        <v>1126</v>
      </c>
      <c r="E976" s="212" t="s">
        <v>1127</v>
      </c>
      <c r="F976" s="206">
        <v>2</v>
      </c>
      <c r="G976" s="206">
        <v>63022301</v>
      </c>
      <c r="H976" s="172">
        <f t="shared" si="100"/>
        <v>63022304</v>
      </c>
      <c r="I976" s="174">
        <v>0</v>
      </c>
      <c r="J976" s="21">
        <v>42</v>
      </c>
      <c r="K976" s="32">
        <v>2</v>
      </c>
      <c r="L976" s="206">
        <v>0</v>
      </c>
      <c r="M976" s="206">
        <v>0</v>
      </c>
      <c r="N976" s="206">
        <v>0</v>
      </c>
      <c r="O976" s="206">
        <v>1</v>
      </c>
      <c r="P976" s="206">
        <v>2</v>
      </c>
      <c r="Q976" s="206">
        <v>0</v>
      </c>
      <c r="R976" s="206">
        <v>0</v>
      </c>
      <c r="S976" s="206">
        <v>0</v>
      </c>
      <c r="T976" s="206">
        <v>0</v>
      </c>
      <c r="U976" s="206">
        <v>1</v>
      </c>
      <c r="V976" s="206">
        <v>2</v>
      </c>
      <c r="W976" s="206">
        <v>0</v>
      </c>
      <c r="X976" s="175">
        <v>8.25</v>
      </c>
      <c r="Y976" s="19">
        <v>0</v>
      </c>
      <c r="Z976" s="175">
        <v>3000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1407</v>
      </c>
      <c r="AY976" s="206">
        <v>10003002</v>
      </c>
      <c r="AZ976" s="206">
        <v>21202030</v>
      </c>
      <c r="BA976" s="212" t="s">
        <v>592</v>
      </c>
      <c r="BB976" s="212">
        <v>0</v>
      </c>
      <c r="BC976" s="206">
        <v>0</v>
      </c>
      <c r="BD976" s="206">
        <v>0</v>
      </c>
      <c r="BE976" s="213" t="str">
        <f t="shared" si="101"/>
        <v>蓄力1秒,立即对目标范围内的怪物造成825%攻击伤害+3000点固定伤害,中途可随时取消蓄力直接释放,但是技能伤害会相应降低</v>
      </c>
      <c r="BF976" s="213" t="s">
        <v>2173</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63022304</v>
      </c>
      <c r="D977" s="212" t="s">
        <v>1126</v>
      </c>
      <c r="E977" s="212" t="s">
        <v>1127</v>
      </c>
      <c r="F977" s="206">
        <v>3</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v>
      </c>
      <c r="Y977" s="19">
        <v>0</v>
      </c>
      <c r="Z977" s="175">
        <v>4500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1407</v>
      </c>
      <c r="AY977" s="206">
        <v>10003002</v>
      </c>
      <c r="AZ977" s="206">
        <v>21202030</v>
      </c>
      <c r="BA977" s="212" t="s">
        <v>592</v>
      </c>
      <c r="BB977" s="212">
        <v>0</v>
      </c>
      <c r="BC977" s="206">
        <v>0</v>
      </c>
      <c r="BD977" s="206">
        <v>0</v>
      </c>
      <c r="BE977" s="213" t="str">
        <f t="shared" si="101"/>
        <v>蓄力1秒,立即对目标范围内的怪物造成900%攻击伤害+4500点固定伤害,中途可随时取消蓄力直接释放,但是技能伤害会相应降低</v>
      </c>
      <c r="BF977" s="213" t="s">
        <v>2174</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63022305</v>
      </c>
      <c r="D978" s="212" t="s">
        <v>1126</v>
      </c>
      <c r="E978" s="212" t="s">
        <v>1127</v>
      </c>
      <c r="F978" s="206">
        <v>4</v>
      </c>
      <c r="G978" s="206">
        <v>63022301</v>
      </c>
      <c r="H978" s="172">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9.75</v>
      </c>
      <c r="Y978" s="19">
        <v>0</v>
      </c>
      <c r="Z978" s="175">
        <v>6500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1407</v>
      </c>
      <c r="AY978" s="206">
        <v>10003002</v>
      </c>
      <c r="AZ978" s="206">
        <v>21202030</v>
      </c>
      <c r="BA978" s="212" t="s">
        <v>592</v>
      </c>
      <c r="BB978" s="212">
        <v>0</v>
      </c>
      <c r="BC978" s="206">
        <v>0</v>
      </c>
      <c r="BD978" s="206">
        <v>0</v>
      </c>
      <c r="BE978" s="213" t="str">
        <f t="shared" si="101"/>
        <v>蓄力1秒,立即对目标范围内的怪物造成975%攻击伤害+6500点固定伤害,中途可随时取消蓄力直接释放,但是技能伤害会相应降低</v>
      </c>
      <c r="BF978" s="213" t="s">
        <v>2175</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19.5" customHeight="1">
      <c r="C979" s="172">
        <v>63022306</v>
      </c>
      <c r="D979" s="212" t="s">
        <v>1126</v>
      </c>
      <c r="E979" s="212" t="s">
        <v>1127</v>
      </c>
      <c r="F979" s="206">
        <v>5</v>
      </c>
      <c r="G979" s="206">
        <v>63022301</v>
      </c>
      <c r="H979" s="176">
        <v>0</v>
      </c>
      <c r="I979" s="174">
        <v>0</v>
      </c>
      <c r="J979" s="32">
        <v>0</v>
      </c>
      <c r="K979" s="32">
        <v>0</v>
      </c>
      <c r="L979" s="206">
        <v>0</v>
      </c>
      <c r="M979" s="206">
        <v>0</v>
      </c>
      <c r="N979" s="206">
        <v>0</v>
      </c>
      <c r="O979" s="206">
        <v>1</v>
      </c>
      <c r="P979" s="206">
        <v>2</v>
      </c>
      <c r="Q979" s="206">
        <v>0</v>
      </c>
      <c r="R979" s="206">
        <v>0</v>
      </c>
      <c r="S979" s="206">
        <v>0</v>
      </c>
      <c r="T979" s="206">
        <v>0</v>
      </c>
      <c r="U979" s="206">
        <v>1</v>
      </c>
      <c r="V979" s="206">
        <v>2</v>
      </c>
      <c r="W979" s="206">
        <v>0</v>
      </c>
      <c r="X979" s="175">
        <v>10.5</v>
      </c>
      <c r="Y979" s="19">
        <v>0</v>
      </c>
      <c r="Z979" s="175">
        <v>8500</v>
      </c>
      <c r="AA979" s="206">
        <v>0</v>
      </c>
      <c r="AB979" s="206">
        <v>25</v>
      </c>
      <c r="AC979" s="206">
        <v>0</v>
      </c>
      <c r="AD979" s="206">
        <v>0</v>
      </c>
      <c r="AE979" s="206">
        <v>0</v>
      </c>
      <c r="AF979" s="206">
        <v>9</v>
      </c>
      <c r="AG979" s="206">
        <v>1</v>
      </c>
      <c r="AH979" s="206">
        <v>3</v>
      </c>
      <c r="AI979" s="206">
        <v>2</v>
      </c>
      <c r="AJ979" s="206">
        <v>2</v>
      </c>
      <c r="AK979" s="206">
        <v>0</v>
      </c>
      <c r="AL979" s="206">
        <v>4</v>
      </c>
      <c r="AM979" s="206">
        <v>0</v>
      </c>
      <c r="AN979" s="206">
        <v>1</v>
      </c>
      <c r="AO979" s="206">
        <v>0</v>
      </c>
      <c r="AP979" s="206">
        <v>0</v>
      </c>
      <c r="AQ979" s="206">
        <v>2000</v>
      </c>
      <c r="AR979" s="206">
        <v>0.25</v>
      </c>
      <c r="AS979" s="206">
        <v>30</v>
      </c>
      <c r="AT979" s="206">
        <v>0</v>
      </c>
      <c r="AU979" s="206">
        <v>92002001</v>
      </c>
      <c r="AV979" s="206"/>
      <c r="AW979" s="205" t="s">
        <v>262</v>
      </c>
      <c r="AX979" s="206" t="s">
        <v>1407</v>
      </c>
      <c r="AY979" s="206">
        <v>10003002</v>
      </c>
      <c r="AZ979" s="206">
        <v>21202030</v>
      </c>
      <c r="BA979" s="212" t="s">
        <v>592</v>
      </c>
      <c r="BB979" s="212">
        <v>0</v>
      </c>
      <c r="BC979" s="206">
        <v>0</v>
      </c>
      <c r="BD979" s="206">
        <v>0</v>
      </c>
      <c r="BE979" s="213" t="str">
        <f t="shared" si="101"/>
        <v>蓄力1秒,立即对目标范围内的怪物造成1050%攻击伤害+8500点固定伤害,中途可随时取消蓄力直接释放,但是技能伤害会相应降低</v>
      </c>
      <c r="BF979" s="213" t="s">
        <v>2176</v>
      </c>
      <c r="BG979" s="206">
        <v>0</v>
      </c>
      <c r="BH979" s="206">
        <v>0</v>
      </c>
      <c r="BI979" s="206">
        <v>0</v>
      </c>
      <c r="BJ979" s="206">
        <v>0</v>
      </c>
      <c r="BK979" s="206">
        <v>0</v>
      </c>
      <c r="BL979" s="206">
        <v>0</v>
      </c>
      <c r="BM979" s="214">
        <v>0</v>
      </c>
      <c r="BN979" s="206">
        <v>0</v>
      </c>
      <c r="BO979" s="206">
        <v>0</v>
      </c>
      <c r="BP979" s="206">
        <v>0</v>
      </c>
      <c r="BQ979" s="206">
        <v>0</v>
      </c>
      <c r="BR979" s="206">
        <v>0</v>
      </c>
      <c r="BS979" s="206">
        <v>0</v>
      </c>
      <c r="BT979" s="19">
        <v>0</v>
      </c>
      <c r="BU979" s="23">
        <v>0</v>
      </c>
      <c r="BV979" s="23"/>
      <c r="BW979" s="23"/>
      <c r="BX979" s="23"/>
      <c r="BY979" s="23"/>
      <c r="BZ979" s="23"/>
    </row>
    <row r="980" spans="3:78" ht="20.100000000000001" customHeight="1">
      <c r="C980" s="172">
        <v>63022401</v>
      </c>
      <c r="D980" s="205" t="s">
        <v>2177</v>
      </c>
      <c r="E980" s="205" t="s">
        <v>2178</v>
      </c>
      <c r="F980" s="172">
        <v>0</v>
      </c>
      <c r="G980" s="172">
        <v>63022401</v>
      </c>
      <c r="H980" s="172">
        <f t="shared" ref="H980:H982" si="102">C981</f>
        <v>63022402</v>
      </c>
      <c r="I980" s="174">
        <v>0</v>
      </c>
      <c r="J980" s="21">
        <v>35</v>
      </c>
      <c r="K980" s="32">
        <v>5</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2179</v>
      </c>
      <c r="AV980" s="205"/>
      <c r="AW980" s="205" t="s">
        <v>623</v>
      </c>
      <c r="AX980" s="176" t="s">
        <v>1934</v>
      </c>
      <c r="AY980" s="176">
        <v>10002001</v>
      </c>
      <c r="AZ980" s="176">
        <v>21202040</v>
      </c>
      <c r="BA980" s="205" t="s">
        <v>321</v>
      </c>
      <c r="BB980" s="205" t="s">
        <v>377</v>
      </c>
      <c r="BC980" s="174">
        <v>0</v>
      </c>
      <c r="BD980" s="174">
        <v>0</v>
      </c>
      <c r="BE980" s="210" t="str">
        <f>"对目标区域释放箭域,在此范围内的目标每秒造成"&amp;X980*100&amp;"%攻击伤害+"&amp;Z980&amp;"点固定伤害,在剑域内的目标受到物理伤害会额外提升20%,并使其移动速度降低50%"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2180</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63022402</v>
      </c>
      <c r="D981" s="205" t="s">
        <v>2177</v>
      </c>
      <c r="E981" s="205" t="s">
        <v>2178</v>
      </c>
      <c r="F981" s="172">
        <v>1</v>
      </c>
      <c r="G981" s="172">
        <v>63022401</v>
      </c>
      <c r="H981" s="172">
        <f t="shared" si="102"/>
        <v>63022403</v>
      </c>
      <c r="I981" s="174">
        <v>0</v>
      </c>
      <c r="J981" s="21">
        <v>42</v>
      </c>
      <c r="K981" s="32">
        <v>2</v>
      </c>
      <c r="L981" s="172">
        <v>0</v>
      </c>
      <c r="M981" s="176">
        <v>0</v>
      </c>
      <c r="N981" s="176">
        <v>0</v>
      </c>
      <c r="O981" s="176">
        <v>1</v>
      </c>
      <c r="P981" s="176">
        <v>0</v>
      </c>
      <c r="Q981" s="176">
        <v>0</v>
      </c>
      <c r="R981" s="176">
        <v>0</v>
      </c>
      <c r="S981" s="175">
        <v>0</v>
      </c>
      <c r="T981" s="174">
        <v>0</v>
      </c>
      <c r="U981" s="172">
        <v>1</v>
      </c>
      <c r="V981" s="176">
        <v>1</v>
      </c>
      <c r="W981" s="176">
        <v>0</v>
      </c>
      <c r="X981" s="176">
        <v>1.3</v>
      </c>
      <c r="Y981" s="19">
        <v>0</v>
      </c>
      <c r="Z981" s="176">
        <v>600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2179</v>
      </c>
      <c r="AV981" s="205"/>
      <c r="AW981" s="205" t="s">
        <v>623</v>
      </c>
      <c r="AX981" s="176" t="s">
        <v>1934</v>
      </c>
      <c r="AY981" s="176">
        <v>10002001</v>
      </c>
      <c r="AZ981" s="176">
        <v>21202040</v>
      </c>
      <c r="BA981" s="205" t="s">
        <v>321</v>
      </c>
      <c r="BB981" s="205" t="s">
        <v>377</v>
      </c>
      <c r="BC981" s="174">
        <v>0</v>
      </c>
      <c r="BD981" s="174">
        <v>0</v>
      </c>
      <c r="BE981" s="210" t="str">
        <f t="shared" ref="BE981:BE985" si="103">"对目标区域释放箭域,在此范围内的目标每秒造成"&amp;X981*100&amp;"%攻击伤害+"&amp;Z981&amp;"点固定伤害,在剑域内的目标受到物理伤害会额外提升20%,并使其移动速度降低50%"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1" s="210" t="s">
        <v>2180</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63022403</v>
      </c>
      <c r="D982" s="205" t="s">
        <v>2177</v>
      </c>
      <c r="E982" s="205" t="s">
        <v>2178</v>
      </c>
      <c r="F982" s="172">
        <v>2</v>
      </c>
      <c r="G982" s="172">
        <v>63022401</v>
      </c>
      <c r="H982" s="172">
        <f t="shared" si="102"/>
        <v>63022404</v>
      </c>
      <c r="I982" s="174">
        <v>0</v>
      </c>
      <c r="J982" s="21">
        <v>47</v>
      </c>
      <c r="K982" s="32">
        <v>2</v>
      </c>
      <c r="L982" s="172">
        <v>0</v>
      </c>
      <c r="M982" s="176">
        <v>0</v>
      </c>
      <c r="N982" s="176">
        <v>0</v>
      </c>
      <c r="O982" s="176">
        <v>1</v>
      </c>
      <c r="P982" s="176">
        <v>0</v>
      </c>
      <c r="Q982" s="176">
        <v>0</v>
      </c>
      <c r="R982" s="176">
        <v>0</v>
      </c>
      <c r="S982" s="175">
        <v>0</v>
      </c>
      <c r="T982" s="174">
        <v>0</v>
      </c>
      <c r="U982" s="172">
        <v>1</v>
      </c>
      <c r="V982" s="176">
        <v>1</v>
      </c>
      <c r="W982" s="176">
        <v>0</v>
      </c>
      <c r="X982" s="176">
        <v>1.45</v>
      </c>
      <c r="Y982" s="19">
        <v>0</v>
      </c>
      <c r="Z982" s="176">
        <v>960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2179</v>
      </c>
      <c r="AV982" s="205"/>
      <c r="AW982" s="205" t="s">
        <v>623</v>
      </c>
      <c r="AX982" s="176" t="s">
        <v>1934</v>
      </c>
      <c r="AY982" s="176">
        <v>10002001</v>
      </c>
      <c r="AZ982" s="176">
        <v>21202040</v>
      </c>
      <c r="BA982" s="205" t="s">
        <v>321</v>
      </c>
      <c r="BB982" s="205" t="s">
        <v>377</v>
      </c>
      <c r="BC982" s="174">
        <v>0</v>
      </c>
      <c r="BD982" s="174">
        <v>0</v>
      </c>
      <c r="BE982" s="210" t="str">
        <f t="shared" si="103"/>
        <v>对目标区域释放箭域,在此范围内的目标每秒造成145%攻击伤害+960点固定伤害,在剑域内的目标受到物理伤害会额外提升20%,并使其移动速度降低50%</v>
      </c>
      <c r="BF982" s="210" t="s">
        <v>2181</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63022404</v>
      </c>
      <c r="D983" s="205" t="s">
        <v>2177</v>
      </c>
      <c r="E983" s="205" t="s">
        <v>2178</v>
      </c>
      <c r="F983" s="172">
        <v>3</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1.6</v>
      </c>
      <c r="Y983" s="19">
        <v>0</v>
      </c>
      <c r="Z983" s="176">
        <v>1380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2179</v>
      </c>
      <c r="AV983" s="205"/>
      <c r="AW983" s="205" t="s">
        <v>623</v>
      </c>
      <c r="AX983" s="176" t="s">
        <v>1934</v>
      </c>
      <c r="AY983" s="176">
        <v>10002001</v>
      </c>
      <c r="AZ983" s="176">
        <v>21202040</v>
      </c>
      <c r="BA983" s="205" t="s">
        <v>321</v>
      </c>
      <c r="BB983" s="205" t="s">
        <v>377</v>
      </c>
      <c r="BC983" s="174">
        <v>0</v>
      </c>
      <c r="BD983" s="174">
        <v>0</v>
      </c>
      <c r="BE983" s="210" t="str">
        <f t="shared" si="103"/>
        <v>对目标区域释放箭域,在此范围内的目标每秒造成160%攻击伤害+1380点固定伤害,在剑域内的目标受到物理伤害会额外提升20%,并使其移动速度降低50%</v>
      </c>
      <c r="BF983" s="210" t="s">
        <v>2182</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63022405</v>
      </c>
      <c r="D984" s="205" t="s">
        <v>2177</v>
      </c>
      <c r="E984" s="205" t="s">
        <v>2178</v>
      </c>
      <c r="F984" s="172">
        <v>4</v>
      </c>
      <c r="G984" s="172">
        <v>63022401</v>
      </c>
      <c r="H984" s="172">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1.75</v>
      </c>
      <c r="Y984" s="19">
        <v>0</v>
      </c>
      <c r="Z984" s="176">
        <v>1860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2179</v>
      </c>
      <c r="AV984" s="205"/>
      <c r="AW984" s="205" t="s">
        <v>623</v>
      </c>
      <c r="AX984" s="176" t="s">
        <v>1934</v>
      </c>
      <c r="AY984" s="176">
        <v>10002001</v>
      </c>
      <c r="AZ984" s="176">
        <v>21202040</v>
      </c>
      <c r="BA984" s="205" t="s">
        <v>321</v>
      </c>
      <c r="BB984" s="205" t="s">
        <v>377</v>
      </c>
      <c r="BC984" s="174">
        <v>0</v>
      </c>
      <c r="BD984" s="174">
        <v>0</v>
      </c>
      <c r="BE984" s="210" t="str">
        <f t="shared" si="103"/>
        <v>对目标区域释放箭域,在此范围内的目标每秒造成175%攻击伤害+1860点固定伤害,在剑域内的目标受到物理伤害会额外提升20%,并使其移动速度降低50%</v>
      </c>
      <c r="BF984" s="210" t="s">
        <v>2183</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63022406</v>
      </c>
      <c r="D985" s="205" t="s">
        <v>2177</v>
      </c>
      <c r="E985" s="205" t="s">
        <v>2178</v>
      </c>
      <c r="F985" s="172">
        <v>5</v>
      </c>
      <c r="G985" s="172">
        <v>63022401</v>
      </c>
      <c r="H985" s="176">
        <v>0</v>
      </c>
      <c r="I985" s="174">
        <v>0</v>
      </c>
      <c r="J985" s="32">
        <v>0</v>
      </c>
      <c r="K985" s="32">
        <v>0</v>
      </c>
      <c r="L985" s="172">
        <v>0</v>
      </c>
      <c r="M985" s="176">
        <v>0</v>
      </c>
      <c r="N985" s="176">
        <v>0</v>
      </c>
      <c r="O985" s="176">
        <v>1</v>
      </c>
      <c r="P985" s="176">
        <v>0</v>
      </c>
      <c r="Q985" s="176">
        <v>0</v>
      </c>
      <c r="R985" s="176">
        <v>0</v>
      </c>
      <c r="S985" s="175">
        <v>0</v>
      </c>
      <c r="T985" s="174">
        <v>0</v>
      </c>
      <c r="U985" s="172">
        <v>1</v>
      </c>
      <c r="V985" s="176">
        <v>1</v>
      </c>
      <c r="W985" s="176">
        <v>0</v>
      </c>
      <c r="X985" s="176">
        <v>1.9</v>
      </c>
      <c r="Y985" s="19">
        <v>0</v>
      </c>
      <c r="Z985" s="176">
        <v>2460</v>
      </c>
      <c r="AA985" s="206">
        <v>0</v>
      </c>
      <c r="AB985" s="176">
        <v>30</v>
      </c>
      <c r="AC985" s="176">
        <v>0</v>
      </c>
      <c r="AD985" s="176">
        <v>0</v>
      </c>
      <c r="AE985" s="176">
        <v>0</v>
      </c>
      <c r="AF985" s="175">
        <v>9</v>
      </c>
      <c r="AG985" s="176">
        <v>1</v>
      </c>
      <c r="AH985" s="176">
        <v>5</v>
      </c>
      <c r="AI985" s="175">
        <v>2</v>
      </c>
      <c r="AJ985" s="175">
        <v>1</v>
      </c>
      <c r="AK985" s="175">
        <v>0</v>
      </c>
      <c r="AL985" s="175">
        <v>10</v>
      </c>
      <c r="AM985" s="176">
        <v>0</v>
      </c>
      <c r="AN985" s="176">
        <v>0</v>
      </c>
      <c r="AO985" s="176">
        <v>0</v>
      </c>
      <c r="AP985" s="175">
        <v>0.25</v>
      </c>
      <c r="AQ985" s="176">
        <v>6000</v>
      </c>
      <c r="AR985" s="176">
        <v>0.5</v>
      </c>
      <c r="AS985" s="176">
        <v>0</v>
      </c>
      <c r="AT985" s="175">
        <v>0</v>
      </c>
      <c r="AU985" s="205" t="s">
        <v>2179</v>
      </c>
      <c r="AV985" s="205"/>
      <c r="AW985" s="205" t="s">
        <v>623</v>
      </c>
      <c r="AX985" s="176" t="s">
        <v>1934</v>
      </c>
      <c r="AY985" s="176">
        <v>10002001</v>
      </c>
      <c r="AZ985" s="176">
        <v>21202040</v>
      </c>
      <c r="BA985" s="205" t="s">
        <v>321</v>
      </c>
      <c r="BB985" s="205" t="s">
        <v>377</v>
      </c>
      <c r="BC985" s="174">
        <v>0</v>
      </c>
      <c r="BD985" s="174">
        <v>0</v>
      </c>
      <c r="BE985" s="210" t="str">
        <f t="shared" si="103"/>
        <v>对目标区域释放箭域,在此范围内的目标每秒造成190%攻击伤害+2460点固定伤害,在剑域内的目标受到物理伤害会额外提升20%,并使其移动速度降低50%</v>
      </c>
      <c r="BF985" s="210" t="s">
        <v>2184</v>
      </c>
      <c r="BG985" s="176">
        <v>0</v>
      </c>
      <c r="BH985" s="172">
        <v>0</v>
      </c>
      <c r="BI985" s="176">
        <v>0</v>
      </c>
      <c r="BJ985" s="176">
        <v>0</v>
      </c>
      <c r="BK985" s="176">
        <v>0</v>
      </c>
      <c r="BL985" s="176">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63023101</v>
      </c>
      <c r="D986" s="202" t="s">
        <v>2185</v>
      </c>
      <c r="E986" s="202" t="s">
        <v>2186</v>
      </c>
      <c r="F986" s="172">
        <v>0</v>
      </c>
      <c r="G986" s="175">
        <v>63023101</v>
      </c>
      <c r="H986" s="172">
        <f t="shared" ref="H986:H988" si="104">C987</f>
        <v>63023102</v>
      </c>
      <c r="I986" s="174">
        <v>0</v>
      </c>
      <c r="J986" s="21">
        <v>18</v>
      </c>
      <c r="K986" s="21">
        <v>5</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206">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2187</v>
      </c>
      <c r="AU986" s="343" t="s">
        <v>2188</v>
      </c>
      <c r="AV986" s="205"/>
      <c r="AW986" s="205" t="s">
        <v>1700</v>
      </c>
      <c r="AX986" s="175" t="s">
        <v>2189</v>
      </c>
      <c r="AY986" s="175" t="s">
        <v>204</v>
      </c>
      <c r="AZ986" s="175">
        <v>21203010</v>
      </c>
      <c r="BA986" s="202" t="s">
        <v>206</v>
      </c>
      <c r="BB986" s="175">
        <v>0</v>
      </c>
      <c r="BC986" s="175">
        <v>0</v>
      </c>
      <c r="BD986" s="175">
        <v>0</v>
      </c>
      <c r="BE986" s="215" t="s">
        <v>2190</v>
      </c>
      <c r="BF986" s="215" t="s">
        <v>2191</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63023102</v>
      </c>
      <c r="D987" s="202" t="s">
        <v>2185</v>
      </c>
      <c r="E987" s="202" t="s">
        <v>2186</v>
      </c>
      <c r="F987" s="172">
        <v>1</v>
      </c>
      <c r="G987" s="175">
        <v>63023101</v>
      </c>
      <c r="H987" s="172">
        <f t="shared" si="104"/>
        <v>63023103</v>
      </c>
      <c r="I987" s="174">
        <v>0</v>
      </c>
      <c r="J987" s="21">
        <v>27</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2187</v>
      </c>
      <c r="AU987" s="343" t="s">
        <v>2188</v>
      </c>
      <c r="AV987" s="205"/>
      <c r="AW987" s="205" t="s">
        <v>1700</v>
      </c>
      <c r="AX987" s="175" t="s">
        <v>2189</v>
      </c>
      <c r="AY987" s="175" t="s">
        <v>204</v>
      </c>
      <c r="AZ987" s="175">
        <v>21203010</v>
      </c>
      <c r="BA987" s="202" t="s">
        <v>206</v>
      </c>
      <c r="BB987" s="175">
        <v>0</v>
      </c>
      <c r="BC987" s="175">
        <v>0</v>
      </c>
      <c r="BD987" s="175">
        <v>0</v>
      </c>
      <c r="BE987" s="215" t="s">
        <v>2190</v>
      </c>
      <c r="BF987" s="215" t="s">
        <v>2191</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63023103</v>
      </c>
      <c r="D988" s="202" t="s">
        <v>2185</v>
      </c>
      <c r="E988" s="202" t="s">
        <v>2186</v>
      </c>
      <c r="F988" s="172">
        <v>2</v>
      </c>
      <c r="G988" s="175">
        <v>63023101</v>
      </c>
      <c r="H988" s="172">
        <f t="shared" si="104"/>
        <v>63023104</v>
      </c>
      <c r="I988" s="174">
        <v>0</v>
      </c>
      <c r="J988" s="21">
        <v>32</v>
      </c>
      <c r="K988" s="21">
        <v>2</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205" t="s">
        <v>2192</v>
      </c>
      <c r="AU988" s="343" t="s">
        <v>2193</v>
      </c>
      <c r="AV988" s="205"/>
      <c r="AW988" s="205" t="s">
        <v>1700</v>
      </c>
      <c r="AX988" s="175" t="s">
        <v>2189</v>
      </c>
      <c r="AY988" s="175" t="s">
        <v>204</v>
      </c>
      <c r="AZ988" s="175">
        <v>21203010</v>
      </c>
      <c r="BA988" s="202" t="s">
        <v>206</v>
      </c>
      <c r="BB988" s="175">
        <v>0</v>
      </c>
      <c r="BC988" s="175">
        <v>0</v>
      </c>
      <c r="BD988" s="175">
        <v>0</v>
      </c>
      <c r="BE988" s="215" t="s">
        <v>2194</v>
      </c>
      <c r="BF988" s="215" t="s">
        <v>2195</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63023104</v>
      </c>
      <c r="D989" s="202" t="s">
        <v>2185</v>
      </c>
      <c r="E989" s="202" t="s">
        <v>2186</v>
      </c>
      <c r="F989" s="172">
        <v>3</v>
      </c>
      <c r="G989" s="175">
        <v>63023101</v>
      </c>
      <c r="H989" s="172">
        <v>0</v>
      </c>
      <c r="I989" s="174">
        <v>0</v>
      </c>
      <c r="J989" s="21">
        <v>0</v>
      </c>
      <c r="K989" s="182">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343" t="s">
        <v>2196</v>
      </c>
      <c r="AU989" s="343" t="s">
        <v>2197</v>
      </c>
      <c r="AV989" s="205"/>
      <c r="AW989" s="205" t="s">
        <v>1700</v>
      </c>
      <c r="AX989" s="175" t="s">
        <v>2189</v>
      </c>
      <c r="AY989" s="175" t="s">
        <v>204</v>
      </c>
      <c r="AZ989" s="175">
        <v>21203010</v>
      </c>
      <c r="BA989" s="202" t="s">
        <v>206</v>
      </c>
      <c r="BB989" s="175">
        <v>0</v>
      </c>
      <c r="BC989" s="175">
        <v>0</v>
      </c>
      <c r="BD989" s="175">
        <v>0</v>
      </c>
      <c r="BE989" s="215" t="s">
        <v>2198</v>
      </c>
      <c r="BF989" s="215" t="s">
        <v>2199</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63023105</v>
      </c>
      <c r="D990" s="202" t="s">
        <v>2185</v>
      </c>
      <c r="E990" s="202" t="s">
        <v>2186</v>
      </c>
      <c r="F990" s="172">
        <v>4</v>
      </c>
      <c r="G990" s="175">
        <v>63023101</v>
      </c>
      <c r="H990" s="172">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2200</v>
      </c>
      <c r="AU990" s="343" t="s">
        <v>2201</v>
      </c>
      <c r="AV990" s="205"/>
      <c r="AW990" s="205" t="s">
        <v>1700</v>
      </c>
      <c r="AX990" s="175" t="s">
        <v>2189</v>
      </c>
      <c r="AY990" s="175" t="s">
        <v>204</v>
      </c>
      <c r="AZ990" s="175">
        <v>21203010</v>
      </c>
      <c r="BA990" s="202" t="s">
        <v>206</v>
      </c>
      <c r="BB990" s="175">
        <v>0</v>
      </c>
      <c r="BC990" s="175">
        <v>0</v>
      </c>
      <c r="BD990" s="175">
        <v>0</v>
      </c>
      <c r="BE990" s="215" t="s">
        <v>2202</v>
      </c>
      <c r="BF990" s="215" t="s">
        <v>2203</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63023106</v>
      </c>
      <c r="D991" s="202" t="s">
        <v>2185</v>
      </c>
      <c r="E991" s="202" t="s">
        <v>2186</v>
      </c>
      <c r="F991" s="172">
        <v>5</v>
      </c>
      <c r="G991" s="175">
        <v>63023101</v>
      </c>
      <c r="H991" s="176">
        <v>0</v>
      </c>
      <c r="I991" s="174">
        <v>0</v>
      </c>
      <c r="J991" s="21">
        <v>0</v>
      </c>
      <c r="K991" s="21">
        <v>0</v>
      </c>
      <c r="L991" s="172">
        <v>0</v>
      </c>
      <c r="M991" s="175">
        <v>0</v>
      </c>
      <c r="N991" s="175">
        <v>0</v>
      </c>
      <c r="O991" s="175">
        <v>1</v>
      </c>
      <c r="P991" s="175">
        <v>0</v>
      </c>
      <c r="Q991" s="175">
        <v>0</v>
      </c>
      <c r="R991" s="175">
        <v>0</v>
      </c>
      <c r="S991" s="175">
        <v>0</v>
      </c>
      <c r="T991" s="175">
        <v>0</v>
      </c>
      <c r="U991" s="172">
        <v>1</v>
      </c>
      <c r="V991" s="175">
        <v>2</v>
      </c>
      <c r="W991" s="175">
        <v>0</v>
      </c>
      <c r="X991" s="176">
        <v>0</v>
      </c>
      <c r="Y991" s="19">
        <v>0</v>
      </c>
      <c r="Z991" s="176">
        <v>0</v>
      </c>
      <c r="AA991" s="175">
        <v>0</v>
      </c>
      <c r="AB991" s="175">
        <v>15</v>
      </c>
      <c r="AC991" s="175">
        <v>0</v>
      </c>
      <c r="AD991" s="176">
        <v>0</v>
      </c>
      <c r="AE991" s="175">
        <v>0</v>
      </c>
      <c r="AF991" s="176">
        <v>15</v>
      </c>
      <c r="AG991" s="175">
        <v>1</v>
      </c>
      <c r="AH991" s="176">
        <v>20</v>
      </c>
      <c r="AI991" s="175">
        <v>2</v>
      </c>
      <c r="AJ991" s="175">
        <v>1</v>
      </c>
      <c r="AK991" s="175">
        <v>1</v>
      </c>
      <c r="AL991" s="175">
        <v>6</v>
      </c>
      <c r="AM991" s="175">
        <v>0</v>
      </c>
      <c r="AN991" s="175">
        <v>0</v>
      </c>
      <c r="AO991" s="175">
        <v>0</v>
      </c>
      <c r="AP991" s="176">
        <v>0.25</v>
      </c>
      <c r="AQ991" s="176">
        <v>2000</v>
      </c>
      <c r="AR991" s="175">
        <v>0.1</v>
      </c>
      <c r="AS991" s="175">
        <v>0</v>
      </c>
      <c r="AT991" s="205" t="s">
        <v>2204</v>
      </c>
      <c r="AU991" s="343" t="s">
        <v>2205</v>
      </c>
      <c r="AV991" s="205"/>
      <c r="AW991" s="205" t="s">
        <v>1700</v>
      </c>
      <c r="AX991" s="175" t="s">
        <v>2189</v>
      </c>
      <c r="AY991" s="175" t="s">
        <v>204</v>
      </c>
      <c r="AZ991" s="175">
        <v>21203010</v>
      </c>
      <c r="BA991" s="202" t="s">
        <v>206</v>
      </c>
      <c r="BB991" s="175">
        <v>0</v>
      </c>
      <c r="BC991" s="175">
        <v>0</v>
      </c>
      <c r="BD991" s="175">
        <v>0</v>
      </c>
      <c r="BE991" s="215" t="s">
        <v>2206</v>
      </c>
      <c r="BF991" s="215" t="s">
        <v>2207</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63023201</v>
      </c>
      <c r="D992" s="202" t="s">
        <v>2208</v>
      </c>
      <c r="E992" s="202" t="s">
        <v>2209</v>
      </c>
      <c r="F992" s="172">
        <v>0</v>
      </c>
      <c r="G992" s="172">
        <v>63023201</v>
      </c>
      <c r="H992" s="172">
        <f t="shared" ref="H992:H994" si="105">C993</f>
        <v>63023202</v>
      </c>
      <c r="I992" s="174">
        <v>0</v>
      </c>
      <c r="J992" s="21">
        <v>25</v>
      </c>
      <c r="K992" s="21">
        <v>5</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1700</v>
      </c>
      <c r="AX992" s="175" t="s">
        <v>1802</v>
      </c>
      <c r="AY992" s="175">
        <v>21203020</v>
      </c>
      <c r="AZ992" s="175">
        <v>21203020</v>
      </c>
      <c r="BA992" s="202" t="s">
        <v>206</v>
      </c>
      <c r="BB992" s="175">
        <v>0</v>
      </c>
      <c r="BC992" s="174">
        <v>0</v>
      </c>
      <c r="BD992" s="174">
        <v>0</v>
      </c>
      <c r="BE992" s="210" t="str">
        <f t="shared" ref="BE992:BE994" si="106">"立即对目标区域的怪物造成"&amp;X992*100&amp;"%攻击伤害+"&amp;Z992&amp;"点固定伤害,并让其附带一个狩猎印记,使其受到伤害额外提升20%,持续15秒"</f>
        <v>立即对目标区域的怪物造成200%攻击伤害+900点固定伤害,并让其附带一个狩猎印记,使其受到伤害额外提升20%,持续15秒</v>
      </c>
      <c r="BF992" s="210" t="s">
        <v>2210</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63023202</v>
      </c>
      <c r="D993" s="202" t="s">
        <v>2208</v>
      </c>
      <c r="E993" s="202" t="s">
        <v>2209</v>
      </c>
      <c r="F993" s="172">
        <v>1</v>
      </c>
      <c r="G993" s="172">
        <v>63023201</v>
      </c>
      <c r="H993" s="172">
        <f t="shared" si="105"/>
        <v>63023203</v>
      </c>
      <c r="I993" s="174">
        <v>0</v>
      </c>
      <c r="J993" s="21">
        <v>32</v>
      </c>
      <c r="K993" s="21">
        <v>2</v>
      </c>
      <c r="L993" s="172">
        <v>0</v>
      </c>
      <c r="M993" s="175">
        <v>0</v>
      </c>
      <c r="N993" s="175">
        <v>0</v>
      </c>
      <c r="O993" s="175">
        <v>1</v>
      </c>
      <c r="P993" s="175">
        <v>0</v>
      </c>
      <c r="Q993" s="175">
        <v>0</v>
      </c>
      <c r="R993" s="175">
        <v>0</v>
      </c>
      <c r="S993" s="175">
        <v>0</v>
      </c>
      <c r="T993" s="175">
        <v>0</v>
      </c>
      <c r="U993" s="172">
        <v>1</v>
      </c>
      <c r="V993" s="175">
        <v>2</v>
      </c>
      <c r="W993" s="175">
        <v>0</v>
      </c>
      <c r="X993" s="176">
        <v>2</v>
      </c>
      <c r="Y993" s="19">
        <v>0</v>
      </c>
      <c r="Z993" s="176">
        <v>900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1700</v>
      </c>
      <c r="AX993" s="175" t="s">
        <v>1802</v>
      </c>
      <c r="AY993" s="175">
        <v>21203020</v>
      </c>
      <c r="AZ993" s="175">
        <v>21203020</v>
      </c>
      <c r="BA993" s="202" t="s">
        <v>206</v>
      </c>
      <c r="BB993" s="175">
        <v>0</v>
      </c>
      <c r="BC993" s="174">
        <v>0</v>
      </c>
      <c r="BD993" s="174">
        <v>0</v>
      </c>
      <c r="BE993" s="210" t="str">
        <f t="shared" si="106"/>
        <v>立即对目标区域的怪物造成200%攻击伤害+900点固定伤害,并让其附带一个狩猎印记,使其受到伤害额外提升20%,持续15秒</v>
      </c>
      <c r="BF993" s="210" t="s">
        <v>2210</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63023203</v>
      </c>
      <c r="D994" s="202" t="s">
        <v>2208</v>
      </c>
      <c r="E994" s="202" t="s">
        <v>2209</v>
      </c>
      <c r="F994" s="172">
        <v>2</v>
      </c>
      <c r="G994" s="172">
        <v>63023201</v>
      </c>
      <c r="H994" s="172">
        <f t="shared" si="105"/>
        <v>63023204</v>
      </c>
      <c r="I994" s="174">
        <v>0</v>
      </c>
      <c r="J994" s="21">
        <v>37</v>
      </c>
      <c r="K994" s="21">
        <v>2</v>
      </c>
      <c r="L994" s="172">
        <v>0</v>
      </c>
      <c r="M994" s="175">
        <v>0</v>
      </c>
      <c r="N994" s="175">
        <v>0</v>
      </c>
      <c r="O994" s="175">
        <v>1</v>
      </c>
      <c r="P994" s="175">
        <v>0</v>
      </c>
      <c r="Q994" s="175">
        <v>0</v>
      </c>
      <c r="R994" s="175">
        <v>0</v>
      </c>
      <c r="S994" s="175">
        <v>0</v>
      </c>
      <c r="T994" s="175">
        <v>0</v>
      </c>
      <c r="U994" s="172">
        <v>1</v>
      </c>
      <c r="V994" s="175">
        <v>2</v>
      </c>
      <c r="W994" s="175">
        <v>0</v>
      </c>
      <c r="X994" s="176">
        <v>2.25</v>
      </c>
      <c r="Y994" s="19">
        <v>0</v>
      </c>
      <c r="Z994" s="176">
        <v>1800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92033003</v>
      </c>
      <c r="AV994" s="175"/>
      <c r="AW994" s="205" t="s">
        <v>1700</v>
      </c>
      <c r="AX994" s="175" t="s">
        <v>1802</v>
      </c>
      <c r="AY994" s="175">
        <v>21203020</v>
      </c>
      <c r="AZ994" s="175">
        <v>21203020</v>
      </c>
      <c r="BA994" s="202" t="s">
        <v>206</v>
      </c>
      <c r="BB994" s="175">
        <v>0</v>
      </c>
      <c r="BC994" s="174">
        <v>0</v>
      </c>
      <c r="BD994" s="174">
        <v>0</v>
      </c>
      <c r="BE994" s="210" t="str">
        <f t="shared" si="106"/>
        <v>立即对目标区域的怪物造成225%攻击伤害+1800点固定伤害,并让其附带一个狩猎印记,使其受到伤害额外提升20%,持续15秒</v>
      </c>
      <c r="BF994" s="210" t="s">
        <v>2211</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63023204</v>
      </c>
      <c r="D995" s="202" t="s">
        <v>2208</v>
      </c>
      <c r="E995" s="202" t="s">
        <v>2209</v>
      </c>
      <c r="F995" s="172">
        <v>3</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2.5</v>
      </c>
      <c r="Y995" s="19">
        <v>0</v>
      </c>
      <c r="Z995" s="176">
        <v>2800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1700</v>
      </c>
      <c r="AX995" s="175" t="s">
        <v>1802</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立即对目标区域的怪物造成250%攻击伤害+2800点固定伤害,并让其附带一个狩猎印记,使其受到伤害额外提升25%,持续15秒</v>
      </c>
      <c r="BF995" s="210" t="s">
        <v>2212</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63023205</v>
      </c>
      <c r="D996" s="202" t="s">
        <v>2208</v>
      </c>
      <c r="E996" s="202" t="s">
        <v>2209</v>
      </c>
      <c r="F996" s="172">
        <v>4</v>
      </c>
      <c r="G996" s="172">
        <v>63023201</v>
      </c>
      <c r="H996" s="172">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2.75</v>
      </c>
      <c r="Y996" s="19">
        <v>0</v>
      </c>
      <c r="Z996" s="176">
        <v>4000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92033004</v>
      </c>
      <c r="AV996" s="175"/>
      <c r="AW996" s="205" t="s">
        <v>1700</v>
      </c>
      <c r="AX996" s="175" t="s">
        <v>1802</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"立即对目标区域的怪物造成"&amp;X996*100&amp;"%攻击伤害+"&amp;Z996&amp;"点固定伤害,并让其附带一个狩猎印记,使其受到伤害额外提升25%,持续15秒"</f>
        <v>立即对目标区域的怪物造成275%攻击伤害+4000点固定伤害,并让其附带一个狩猎印记,使其受到伤害额外提升25%,持续15秒</v>
      </c>
      <c r="BF996" s="210" t="s">
        <v>2213</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20.100000000000001" customHeight="1">
      <c r="C997" s="172">
        <v>63023206</v>
      </c>
      <c r="D997" s="202" t="s">
        <v>2208</v>
      </c>
      <c r="E997" s="202" t="s">
        <v>2209</v>
      </c>
      <c r="F997" s="172">
        <v>5</v>
      </c>
      <c r="G997" s="172">
        <v>63023201</v>
      </c>
      <c r="H997" s="176">
        <v>0</v>
      </c>
      <c r="I997" s="174">
        <v>0</v>
      </c>
      <c r="J997" s="21">
        <v>0</v>
      </c>
      <c r="K997" s="21">
        <v>0</v>
      </c>
      <c r="L997" s="172">
        <v>0</v>
      </c>
      <c r="M997" s="175">
        <v>0</v>
      </c>
      <c r="N997" s="175">
        <v>0</v>
      </c>
      <c r="O997" s="175">
        <v>1</v>
      </c>
      <c r="P997" s="175">
        <v>0</v>
      </c>
      <c r="Q997" s="175">
        <v>0</v>
      </c>
      <c r="R997" s="175">
        <v>0</v>
      </c>
      <c r="S997" s="175">
        <v>0</v>
      </c>
      <c r="T997" s="175">
        <v>0</v>
      </c>
      <c r="U997" s="172">
        <v>1</v>
      </c>
      <c r="V997" s="175">
        <v>2</v>
      </c>
      <c r="W997" s="175">
        <v>0</v>
      </c>
      <c r="X997" s="176">
        <v>3</v>
      </c>
      <c r="Y997" s="19">
        <v>0</v>
      </c>
      <c r="Z997" s="176">
        <v>5200</v>
      </c>
      <c r="AA997" s="175">
        <v>0</v>
      </c>
      <c r="AB997" s="175">
        <v>20</v>
      </c>
      <c r="AC997" s="175">
        <v>0</v>
      </c>
      <c r="AD997" s="175">
        <v>0</v>
      </c>
      <c r="AE997" s="175">
        <v>0</v>
      </c>
      <c r="AF997" s="175">
        <v>10</v>
      </c>
      <c r="AG997" s="175">
        <v>0</v>
      </c>
      <c r="AH997" s="176">
        <v>4</v>
      </c>
      <c r="AI997" s="175">
        <v>2</v>
      </c>
      <c r="AJ997" s="175">
        <v>1</v>
      </c>
      <c r="AK997" s="175">
        <v>0</v>
      </c>
      <c r="AL997" s="175">
        <v>8</v>
      </c>
      <c r="AM997" s="175">
        <v>0</v>
      </c>
      <c r="AN997" s="175">
        <v>0</v>
      </c>
      <c r="AO997" s="175">
        <v>0</v>
      </c>
      <c r="AP997" s="175">
        <v>0.25</v>
      </c>
      <c r="AQ997" s="175">
        <v>1000</v>
      </c>
      <c r="AR997" s="175">
        <v>0</v>
      </c>
      <c r="AS997" s="175">
        <v>0</v>
      </c>
      <c r="AT997" s="175">
        <v>0</v>
      </c>
      <c r="AU997" s="175">
        <v>92033005</v>
      </c>
      <c r="AV997" s="175"/>
      <c r="AW997" s="205" t="s">
        <v>1700</v>
      </c>
      <c r="AX997" s="175" t="s">
        <v>1802</v>
      </c>
      <c r="AY997" s="175">
        <v>21203020</v>
      </c>
      <c r="AZ997" s="175">
        <v>21203020</v>
      </c>
      <c r="BA997" s="202" t="s">
        <v>206</v>
      </c>
      <c r="BB997" s="175">
        <v>0</v>
      </c>
      <c r="BC997" s="174">
        <v>0</v>
      </c>
      <c r="BD997" s="174">
        <v>0</v>
      </c>
      <c r="BE997" s="210" t="str">
        <f>"立即对目标区域的怪物造成"&amp;X997*100&amp;"%攻击伤害+"&amp;Z997&amp;"点固定伤害,并让其附带一个狩猎印记,使其受到伤害额外提升30%,持续15秒"</f>
        <v>立即对目标区域的怪物造成300%攻击伤害+5200点固定伤害,并让其附带一个狩猎印记,使其受到伤害额外提升30%,持续15秒</v>
      </c>
      <c r="BF997" s="210" t="s">
        <v>2214</v>
      </c>
      <c r="BG997" s="175">
        <v>0</v>
      </c>
      <c r="BH997" s="172">
        <v>0</v>
      </c>
      <c r="BI997" s="175">
        <v>0</v>
      </c>
      <c r="BJ997" s="175">
        <v>0</v>
      </c>
      <c r="BK997" s="175">
        <v>0</v>
      </c>
      <c r="BL997" s="175">
        <v>0</v>
      </c>
      <c r="BM997" s="178">
        <v>0</v>
      </c>
      <c r="BN997" s="175">
        <v>0</v>
      </c>
      <c r="BO997" s="175">
        <v>0</v>
      </c>
      <c r="BP997" s="175">
        <v>0</v>
      </c>
      <c r="BQ997" s="175">
        <v>0</v>
      </c>
      <c r="BR997" s="175">
        <v>0</v>
      </c>
      <c r="BS997" s="175">
        <v>0</v>
      </c>
      <c r="BT997" s="19">
        <v>0</v>
      </c>
      <c r="BU997" s="23">
        <v>0</v>
      </c>
      <c r="BV997" s="23"/>
      <c r="BW997" s="23"/>
      <c r="BX997" s="23"/>
      <c r="BY997" s="23"/>
      <c r="BZ997" s="23"/>
    </row>
    <row r="998" spans="3:78" ht="19.5" customHeight="1">
      <c r="C998" s="172">
        <v>63023301</v>
      </c>
      <c r="D998" s="35" t="s">
        <v>2215</v>
      </c>
      <c r="E998" s="35" t="s">
        <v>2216</v>
      </c>
      <c r="F998" s="176">
        <v>0</v>
      </c>
      <c r="G998" s="176">
        <v>66001002</v>
      </c>
      <c r="H998" s="172">
        <f t="shared" ref="H998:H1000" si="107">C999</f>
        <v>63023302</v>
      </c>
      <c r="I998" s="174">
        <v>0</v>
      </c>
      <c r="J998" s="21">
        <v>30</v>
      </c>
      <c r="K998" s="32">
        <v>5</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"野兽怒吼发出的烈焰,对指定区域内的目标造成"&amp;X998*100&amp;"%攻击伤害+"&amp;Z998&amp;"点固定伤害,并眩晕目标2秒"</f>
        <v>野兽怒吼发出的烈焰,对指定区域内的目标造成200%攻击伤害+900点固定伤害,并眩晕目标2秒</v>
      </c>
      <c r="BF998" s="185" t="s">
        <v>2217</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63023302</v>
      </c>
      <c r="D999" s="35" t="s">
        <v>2215</v>
      </c>
      <c r="E999" s="35" t="s">
        <v>2216</v>
      </c>
      <c r="F999" s="176">
        <v>1</v>
      </c>
      <c r="G999" s="176">
        <v>66001002</v>
      </c>
      <c r="H999" s="172">
        <f t="shared" si="107"/>
        <v>63023303</v>
      </c>
      <c r="I999" s="174">
        <v>0</v>
      </c>
      <c r="J999" s="21">
        <v>37</v>
      </c>
      <c r="K999" s="32">
        <v>2</v>
      </c>
      <c r="L999" s="21">
        <v>0</v>
      </c>
      <c r="M999" s="32">
        <v>0</v>
      </c>
      <c r="N999" s="32">
        <v>0</v>
      </c>
      <c r="O999" s="32">
        <v>1</v>
      </c>
      <c r="P999" s="32">
        <v>0</v>
      </c>
      <c r="Q999" s="32">
        <v>0</v>
      </c>
      <c r="R999" s="32">
        <v>0</v>
      </c>
      <c r="S999" s="19">
        <v>0</v>
      </c>
      <c r="T999" s="31">
        <v>0</v>
      </c>
      <c r="U999" s="21">
        <v>1</v>
      </c>
      <c r="V999" s="32">
        <v>2</v>
      </c>
      <c r="W999" s="32">
        <v>0</v>
      </c>
      <c r="X999" s="176">
        <v>2</v>
      </c>
      <c r="Y999" s="19">
        <v>0</v>
      </c>
      <c r="Z999" s="176">
        <v>900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ref="BE999:BE1003" si="108">"野兽怒吼发出的烈焰,对指定区域内的目标造成"&amp;X999*100&amp;"%攻击伤害+"&amp;Z999&amp;"点固定伤害,并眩晕目标2秒"</f>
        <v>野兽怒吼发出的烈焰,对指定区域内的目标造成200%攻击伤害+900点固定伤害,并眩晕目标2秒</v>
      </c>
      <c r="BF999" s="185" t="s">
        <v>2217</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63023303</v>
      </c>
      <c r="D1000" s="35" t="s">
        <v>2215</v>
      </c>
      <c r="E1000" s="35" t="s">
        <v>2216</v>
      </c>
      <c r="F1000" s="176">
        <v>2</v>
      </c>
      <c r="G1000" s="176">
        <v>66001002</v>
      </c>
      <c r="H1000" s="172">
        <f t="shared" si="107"/>
        <v>63023304</v>
      </c>
      <c r="I1000" s="174">
        <v>0</v>
      </c>
      <c r="J1000" s="21">
        <v>42</v>
      </c>
      <c r="K1000" s="32">
        <v>2</v>
      </c>
      <c r="L1000" s="21">
        <v>0</v>
      </c>
      <c r="M1000" s="32">
        <v>0</v>
      </c>
      <c r="N1000" s="32">
        <v>0</v>
      </c>
      <c r="O1000" s="32">
        <v>1</v>
      </c>
      <c r="P1000" s="32">
        <v>0</v>
      </c>
      <c r="Q1000" s="32">
        <v>0</v>
      </c>
      <c r="R1000" s="32">
        <v>0</v>
      </c>
      <c r="S1000" s="19">
        <v>0</v>
      </c>
      <c r="T1000" s="31">
        <v>0</v>
      </c>
      <c r="U1000" s="21">
        <v>1</v>
      </c>
      <c r="V1000" s="32">
        <v>2</v>
      </c>
      <c r="W1000" s="32">
        <v>0</v>
      </c>
      <c r="X1000" s="176">
        <v>2.25</v>
      </c>
      <c r="Y1000" s="19">
        <v>0</v>
      </c>
      <c r="Z1000" s="176">
        <v>1800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8"/>
        <v>野兽怒吼发出的烈焰,对指定区域内的目标造成225%攻击伤害+1800点固定伤害,并眩晕目标2秒</v>
      </c>
      <c r="BF1000" s="185" t="s">
        <v>2218</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63023304</v>
      </c>
      <c r="D1001" s="35" t="s">
        <v>2215</v>
      </c>
      <c r="E1001" s="35" t="s">
        <v>2216</v>
      </c>
      <c r="F1001" s="176">
        <v>3</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2.5</v>
      </c>
      <c r="Y1001" s="19">
        <v>0</v>
      </c>
      <c r="Z1001" s="176">
        <v>2800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8"/>
        <v>野兽怒吼发出的烈焰,对指定区域内的目标造成250%攻击伤害+2800点固定伤害,并眩晕目标2秒</v>
      </c>
      <c r="BF1001" s="185" t="s">
        <v>2219</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63023305</v>
      </c>
      <c r="D1002" s="35" t="s">
        <v>2215</v>
      </c>
      <c r="E1002" s="35" t="s">
        <v>2216</v>
      </c>
      <c r="F1002" s="176">
        <v>4</v>
      </c>
      <c r="G1002" s="176">
        <v>66001002</v>
      </c>
      <c r="H1002" s="172">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2.75</v>
      </c>
      <c r="Y1002" s="19">
        <v>0</v>
      </c>
      <c r="Z1002" s="176">
        <v>4000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8"/>
        <v>野兽怒吼发出的烈焰,对指定区域内的目标造成275%攻击伤害+4000点固定伤害,并眩晕目标2秒</v>
      </c>
      <c r="BF1002" s="185" t="s">
        <v>2220</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19.5" customHeight="1">
      <c r="C1003" s="172">
        <v>63023306</v>
      </c>
      <c r="D1003" s="35" t="s">
        <v>2215</v>
      </c>
      <c r="E1003" s="35" t="s">
        <v>2216</v>
      </c>
      <c r="F1003" s="176">
        <v>5</v>
      </c>
      <c r="G1003" s="176">
        <v>66001002</v>
      </c>
      <c r="H1003" s="176">
        <v>0</v>
      </c>
      <c r="I1003" s="174">
        <v>0</v>
      </c>
      <c r="J1003" s="32">
        <v>0</v>
      </c>
      <c r="K1003" s="32">
        <v>0</v>
      </c>
      <c r="L1003" s="21">
        <v>0</v>
      </c>
      <c r="M1003" s="32">
        <v>0</v>
      </c>
      <c r="N1003" s="32">
        <v>0</v>
      </c>
      <c r="O1003" s="32">
        <v>1</v>
      </c>
      <c r="P1003" s="32">
        <v>0</v>
      </c>
      <c r="Q1003" s="32">
        <v>0</v>
      </c>
      <c r="R1003" s="32">
        <v>0</v>
      </c>
      <c r="S1003" s="19">
        <v>0</v>
      </c>
      <c r="T1003" s="31">
        <v>0</v>
      </c>
      <c r="U1003" s="21">
        <v>1</v>
      </c>
      <c r="V1003" s="32">
        <v>2</v>
      </c>
      <c r="W1003" s="32">
        <v>0</v>
      </c>
      <c r="X1003" s="176">
        <v>3</v>
      </c>
      <c r="Y1003" s="19">
        <v>0</v>
      </c>
      <c r="Z1003" s="176">
        <v>5200</v>
      </c>
      <c r="AA1003" s="32">
        <v>0</v>
      </c>
      <c r="AB1003" s="32">
        <v>25</v>
      </c>
      <c r="AC1003" s="32">
        <v>0</v>
      </c>
      <c r="AD1003" s="32">
        <v>0</v>
      </c>
      <c r="AE1003" s="32">
        <v>0</v>
      </c>
      <c r="AF1003" s="32">
        <v>7</v>
      </c>
      <c r="AG1003" s="32">
        <v>1</v>
      </c>
      <c r="AH1003" s="32">
        <v>3</v>
      </c>
      <c r="AI1003" s="19">
        <v>2</v>
      </c>
      <c r="AJ1003" s="19">
        <v>1</v>
      </c>
      <c r="AK1003" s="19">
        <v>0</v>
      </c>
      <c r="AL1003" s="19">
        <v>6</v>
      </c>
      <c r="AM1003" s="32">
        <v>0</v>
      </c>
      <c r="AN1003" s="32">
        <v>0</v>
      </c>
      <c r="AO1003" s="32">
        <v>0</v>
      </c>
      <c r="AP1003" s="32">
        <v>0.25</v>
      </c>
      <c r="AQ1003" s="32">
        <v>2000</v>
      </c>
      <c r="AR1003" s="32">
        <v>0.25</v>
      </c>
      <c r="AS1003" s="32">
        <v>0</v>
      </c>
      <c r="AT1003" s="19">
        <v>0</v>
      </c>
      <c r="AU1003" s="172">
        <v>92002005</v>
      </c>
      <c r="AV1003" s="172"/>
      <c r="AW1003" s="205" t="s">
        <v>293</v>
      </c>
      <c r="AX1003" s="32" t="s">
        <v>221</v>
      </c>
      <c r="AY1003" s="32">
        <v>10000006</v>
      </c>
      <c r="AZ1003" s="32">
        <v>21203030</v>
      </c>
      <c r="BA1003" s="35" t="s">
        <v>206</v>
      </c>
      <c r="BB1003" s="35">
        <v>0</v>
      </c>
      <c r="BC1003" s="31">
        <v>0</v>
      </c>
      <c r="BD1003" s="31">
        <v>0</v>
      </c>
      <c r="BE1003" s="185" t="str">
        <f t="shared" si="108"/>
        <v>野兽怒吼发出的烈焰,对指定区域内的目标造成300%攻击伤害+5200点固定伤害,并眩晕目标2秒</v>
      </c>
      <c r="BF1003" s="185" t="s">
        <v>2221</v>
      </c>
      <c r="BG1003" s="32">
        <v>0</v>
      </c>
      <c r="BH1003" s="21">
        <v>0</v>
      </c>
      <c r="BI1003" s="32">
        <v>0</v>
      </c>
      <c r="BJ1003" s="32">
        <v>0</v>
      </c>
      <c r="BK1003" s="32">
        <v>0</v>
      </c>
      <c r="BL1003" s="32">
        <v>0</v>
      </c>
      <c r="BM1003" s="25">
        <v>0</v>
      </c>
      <c r="BN1003" s="19">
        <v>0</v>
      </c>
      <c r="BO1003" s="19">
        <v>0</v>
      </c>
      <c r="BP1003" s="19">
        <v>0</v>
      </c>
      <c r="BQ1003" s="19">
        <v>0</v>
      </c>
      <c r="BR1003" s="19">
        <v>0</v>
      </c>
      <c r="BS1003" s="19">
        <v>0</v>
      </c>
      <c r="BT1003" s="19">
        <v>0</v>
      </c>
      <c r="BU1003" s="23">
        <v>0</v>
      </c>
      <c r="BV1003" s="23"/>
      <c r="BW1003" s="23"/>
      <c r="BX1003" s="23"/>
      <c r="BY1003" s="23"/>
      <c r="BZ1003" s="23"/>
    </row>
    <row r="1004" spans="3:78" ht="20.100000000000001" customHeight="1">
      <c r="C1004" s="172">
        <v>63023401</v>
      </c>
      <c r="D1004" s="173" t="s">
        <v>2222</v>
      </c>
      <c r="E1004" s="173" t="s">
        <v>2223</v>
      </c>
      <c r="F1004" s="176">
        <v>0</v>
      </c>
      <c r="G1004" s="172">
        <v>63023401</v>
      </c>
      <c r="H1004" s="172">
        <f t="shared" ref="H1004:H1006" si="109">C1005</f>
        <v>63023402</v>
      </c>
      <c r="I1004" s="174">
        <v>0</v>
      </c>
      <c r="J1004" s="21">
        <v>35</v>
      </c>
      <c r="K1004" s="32">
        <v>5</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1769</v>
      </c>
      <c r="AX1004" s="172" t="s">
        <v>1047</v>
      </c>
      <c r="AY1004" s="176">
        <v>0</v>
      </c>
      <c r="AZ1004" s="176">
        <v>21201040</v>
      </c>
      <c r="BA1004" s="173" t="s">
        <v>1180</v>
      </c>
      <c r="BB1004" s="205" t="s">
        <v>2224</v>
      </c>
      <c r="BC1004" s="174">
        <v>0</v>
      </c>
      <c r="BD1004" s="174">
        <v>0</v>
      </c>
      <c r="BE1004" s="207" t="s">
        <v>2225</v>
      </c>
      <c r="BF1004" s="207" t="s">
        <v>2226</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63023402</v>
      </c>
      <c r="D1005" s="173" t="s">
        <v>2222</v>
      </c>
      <c r="E1005" s="173" t="s">
        <v>2223</v>
      </c>
      <c r="F1005" s="176">
        <v>1</v>
      </c>
      <c r="G1005" s="172">
        <v>63023401</v>
      </c>
      <c r="H1005" s="172">
        <f t="shared" si="109"/>
        <v>63023403</v>
      </c>
      <c r="I1005" s="174">
        <v>0</v>
      </c>
      <c r="J1005" s="21">
        <v>42</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1769</v>
      </c>
      <c r="AX1005" s="172" t="s">
        <v>1047</v>
      </c>
      <c r="AY1005" s="176">
        <v>0</v>
      </c>
      <c r="AZ1005" s="176">
        <v>21201040</v>
      </c>
      <c r="BA1005" s="173" t="s">
        <v>1180</v>
      </c>
      <c r="BB1005" s="205" t="s">
        <v>2227</v>
      </c>
      <c r="BC1005" s="174">
        <v>0</v>
      </c>
      <c r="BD1005" s="174">
        <v>0</v>
      </c>
      <c r="BE1005" s="207" t="s">
        <v>2225</v>
      </c>
      <c r="BF1005" s="207" t="s">
        <v>2226</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20.100000000000001" customHeight="1">
      <c r="C1006" s="172">
        <v>63023403</v>
      </c>
      <c r="D1006" s="173" t="s">
        <v>2222</v>
      </c>
      <c r="E1006" s="173" t="s">
        <v>2223</v>
      </c>
      <c r="F1006" s="176">
        <v>2</v>
      </c>
      <c r="G1006" s="172">
        <v>63023401</v>
      </c>
      <c r="H1006" s="172">
        <f t="shared" si="109"/>
        <v>63023404</v>
      </c>
      <c r="I1006" s="174">
        <v>0</v>
      </c>
      <c r="J1006" s="21">
        <v>47</v>
      </c>
      <c r="K1006" s="32">
        <v>2</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1769</v>
      </c>
      <c r="AX1006" s="172" t="s">
        <v>1047</v>
      </c>
      <c r="AY1006" s="176">
        <v>0</v>
      </c>
      <c r="AZ1006" s="176">
        <v>21201040</v>
      </c>
      <c r="BA1006" s="173" t="s">
        <v>1180</v>
      </c>
      <c r="BB1006" s="205" t="s">
        <v>2228</v>
      </c>
      <c r="BC1006" s="174">
        <v>0</v>
      </c>
      <c r="BD1006" s="174">
        <v>0</v>
      </c>
      <c r="BE1006" s="207" t="s">
        <v>2229</v>
      </c>
      <c r="BF1006" s="207" t="s">
        <v>2230</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63023404</v>
      </c>
      <c r="D1007" s="173" t="s">
        <v>2222</v>
      </c>
      <c r="E1007" s="173" t="s">
        <v>2223</v>
      </c>
      <c r="F1007" s="176">
        <v>3</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1769</v>
      </c>
      <c r="AX1007" s="172" t="s">
        <v>1047</v>
      </c>
      <c r="AY1007" s="176">
        <v>0</v>
      </c>
      <c r="AZ1007" s="176">
        <v>21201040</v>
      </c>
      <c r="BA1007" s="173" t="s">
        <v>1180</v>
      </c>
      <c r="BB1007" s="205" t="s">
        <v>2231</v>
      </c>
      <c r="BC1007" s="174">
        <v>0</v>
      </c>
      <c r="BD1007" s="174">
        <v>0</v>
      </c>
      <c r="BE1007" s="207" t="s">
        <v>2232</v>
      </c>
      <c r="BF1007" s="207" t="s">
        <v>2233</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63023405</v>
      </c>
      <c r="D1008" s="173" t="s">
        <v>2222</v>
      </c>
      <c r="E1008" s="173" t="s">
        <v>2223</v>
      </c>
      <c r="F1008" s="176">
        <v>4</v>
      </c>
      <c r="G1008" s="172">
        <v>63023401</v>
      </c>
      <c r="H1008" s="172">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1769</v>
      </c>
      <c r="AX1008" s="172" t="s">
        <v>1047</v>
      </c>
      <c r="AY1008" s="176">
        <v>0</v>
      </c>
      <c r="AZ1008" s="176">
        <v>21201040</v>
      </c>
      <c r="BA1008" s="173" t="s">
        <v>1180</v>
      </c>
      <c r="BB1008" s="205" t="s">
        <v>2234</v>
      </c>
      <c r="BC1008" s="174">
        <v>0</v>
      </c>
      <c r="BD1008" s="174">
        <v>0</v>
      </c>
      <c r="BE1008" s="207" t="s">
        <v>2235</v>
      </c>
      <c r="BF1008" s="207" t="s">
        <v>2236</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19.5" customHeight="1">
      <c r="C1009" s="172">
        <v>63023406</v>
      </c>
      <c r="D1009" s="173" t="s">
        <v>2222</v>
      </c>
      <c r="E1009" s="173" t="s">
        <v>2223</v>
      </c>
      <c r="F1009" s="176">
        <v>5</v>
      </c>
      <c r="G1009" s="172">
        <v>63023401</v>
      </c>
      <c r="H1009" s="176">
        <v>0</v>
      </c>
      <c r="I1009" s="174">
        <v>0</v>
      </c>
      <c r="J1009" s="32">
        <v>0</v>
      </c>
      <c r="K1009" s="32">
        <v>0</v>
      </c>
      <c r="L1009" s="176">
        <v>0</v>
      </c>
      <c r="M1009" s="172">
        <v>0</v>
      </c>
      <c r="N1009" s="172">
        <v>0</v>
      </c>
      <c r="O1009" s="172">
        <v>1</v>
      </c>
      <c r="P1009" s="172">
        <v>0</v>
      </c>
      <c r="Q1009" s="172">
        <v>0</v>
      </c>
      <c r="R1009" s="172">
        <v>0</v>
      </c>
      <c r="S1009" s="175">
        <v>0</v>
      </c>
      <c r="T1009" s="172">
        <v>0</v>
      </c>
      <c r="U1009" s="172">
        <v>1</v>
      </c>
      <c r="V1009" s="172">
        <v>2</v>
      </c>
      <c r="W1009" s="172">
        <v>0</v>
      </c>
      <c r="X1009" s="172">
        <v>0</v>
      </c>
      <c r="Y1009" s="19">
        <v>0</v>
      </c>
      <c r="Z1009" s="172">
        <v>0</v>
      </c>
      <c r="AA1009" s="172">
        <v>0</v>
      </c>
      <c r="AB1009" s="172">
        <v>30</v>
      </c>
      <c r="AC1009" s="172">
        <v>0</v>
      </c>
      <c r="AD1009" s="172">
        <v>0</v>
      </c>
      <c r="AE1009" s="172">
        <v>0</v>
      </c>
      <c r="AF1009" s="172">
        <v>40</v>
      </c>
      <c r="AG1009" s="172">
        <v>0</v>
      </c>
      <c r="AH1009" s="172">
        <v>0</v>
      </c>
      <c r="AI1009" s="175">
        <v>1</v>
      </c>
      <c r="AJ1009" s="175">
        <v>0</v>
      </c>
      <c r="AK1009" s="175">
        <v>0</v>
      </c>
      <c r="AL1009" s="175">
        <v>1.5</v>
      </c>
      <c r="AM1009" s="172">
        <v>0</v>
      </c>
      <c r="AN1009" s="172">
        <v>0</v>
      </c>
      <c r="AO1009" s="172">
        <v>0</v>
      </c>
      <c r="AP1009" s="176">
        <v>0.25</v>
      </c>
      <c r="AQ1009" s="172">
        <v>3000</v>
      </c>
      <c r="AR1009" s="172">
        <v>0</v>
      </c>
      <c r="AS1009" s="172">
        <v>0</v>
      </c>
      <c r="AT1009" s="175">
        <v>0</v>
      </c>
      <c r="AU1009" s="172" t="s">
        <v>204</v>
      </c>
      <c r="AV1009" s="172"/>
      <c r="AW1009" s="173" t="s">
        <v>1769</v>
      </c>
      <c r="AX1009" s="172" t="s">
        <v>1047</v>
      </c>
      <c r="AY1009" s="176">
        <v>0</v>
      </c>
      <c r="AZ1009" s="176">
        <v>21201040</v>
      </c>
      <c r="BA1009" s="173" t="s">
        <v>1180</v>
      </c>
      <c r="BB1009" s="205" t="s">
        <v>2237</v>
      </c>
      <c r="BC1009" s="174">
        <v>0</v>
      </c>
      <c r="BD1009" s="174">
        <v>0</v>
      </c>
      <c r="BE1009" s="207" t="s">
        <v>2238</v>
      </c>
      <c r="BF1009" s="207" t="s">
        <v>2239</v>
      </c>
      <c r="BG1009" s="172">
        <v>0</v>
      </c>
      <c r="BH1009" s="172">
        <v>0</v>
      </c>
      <c r="BI1009" s="172">
        <v>0</v>
      </c>
      <c r="BJ1009" s="172">
        <v>0</v>
      </c>
      <c r="BK1009" s="172">
        <v>0</v>
      </c>
      <c r="BL1009" s="172">
        <v>0</v>
      </c>
      <c r="BM1009" s="178">
        <v>0</v>
      </c>
      <c r="BN1009" s="175">
        <v>0</v>
      </c>
      <c r="BO1009" s="175">
        <v>0</v>
      </c>
      <c r="BP1009" s="175">
        <v>0</v>
      </c>
      <c r="BQ1009" s="175">
        <v>0</v>
      </c>
      <c r="BR1009" s="175">
        <v>0</v>
      </c>
      <c r="BS1009" s="175">
        <v>0</v>
      </c>
      <c r="BT1009" s="19">
        <v>0</v>
      </c>
      <c r="BU1009" s="23">
        <v>0</v>
      </c>
      <c r="BV1009" s="23"/>
      <c r="BW1009" s="23"/>
      <c r="BX1009" s="23"/>
      <c r="BY1009" s="23"/>
      <c r="BZ1009" s="23"/>
    </row>
    <row r="1010" spans="1:78" ht="20.100000000000001" customHeight="1">
      <c r="C1010" s="172">
        <v>63023411</v>
      </c>
      <c r="D1010" s="35" t="s">
        <v>1733</v>
      </c>
      <c r="E1010" s="35" t="s">
        <v>1734</v>
      </c>
      <c r="F1010" s="32">
        <v>1</v>
      </c>
      <c r="G1010" s="172">
        <v>60031141</v>
      </c>
      <c r="H1010" s="32">
        <v>0</v>
      </c>
      <c r="I1010" s="31">
        <v>0</v>
      </c>
      <c r="J1010" s="32">
        <v>1</v>
      </c>
      <c r="K1010" s="32">
        <v>0</v>
      </c>
      <c r="L1010" s="32">
        <v>0</v>
      </c>
      <c r="M1010" s="32">
        <v>0</v>
      </c>
      <c r="N1010" s="32">
        <v>0</v>
      </c>
      <c r="O1010" s="32">
        <v>2</v>
      </c>
      <c r="P1010" s="32">
        <v>10</v>
      </c>
      <c r="Q1010" s="32">
        <v>0.5</v>
      </c>
      <c r="R1010" s="32">
        <v>0</v>
      </c>
      <c r="S1010" s="19">
        <v>0</v>
      </c>
      <c r="T1010" s="31">
        <v>0</v>
      </c>
      <c r="U1010" s="21">
        <v>1</v>
      </c>
      <c r="V1010" s="32">
        <v>1</v>
      </c>
      <c r="W1010" s="32">
        <v>0</v>
      </c>
      <c r="X1010" s="32">
        <v>1.5</v>
      </c>
      <c r="Y1010" s="19">
        <v>0</v>
      </c>
      <c r="Z1010" s="32">
        <v>0</v>
      </c>
      <c r="AA1010" s="32">
        <v>0</v>
      </c>
      <c r="AB1010" s="32">
        <v>0</v>
      </c>
      <c r="AC1010" s="32">
        <v>0</v>
      </c>
      <c r="AD1010" s="32">
        <v>1</v>
      </c>
      <c r="AE1010" s="32">
        <v>0</v>
      </c>
      <c r="AF1010" s="32">
        <v>5</v>
      </c>
      <c r="AG1010" s="32">
        <v>1</v>
      </c>
      <c r="AH1010" s="32">
        <v>3</v>
      </c>
      <c r="AI1010" s="19">
        <v>2</v>
      </c>
      <c r="AJ1010" s="19">
        <v>1</v>
      </c>
      <c r="AK1010" s="19">
        <v>0</v>
      </c>
      <c r="AL1010" s="19">
        <v>6</v>
      </c>
      <c r="AM1010" s="32">
        <v>0</v>
      </c>
      <c r="AN1010" s="32">
        <v>0</v>
      </c>
      <c r="AO1010" s="32">
        <v>0</v>
      </c>
      <c r="AP1010" s="32">
        <v>0</v>
      </c>
      <c r="AQ1010" s="32">
        <v>5000</v>
      </c>
      <c r="AR1010" s="32">
        <v>0</v>
      </c>
      <c r="AS1010" s="32">
        <v>0</v>
      </c>
      <c r="AT1010" s="19">
        <v>0</v>
      </c>
      <c r="AU1010" s="32" t="s">
        <v>204</v>
      </c>
      <c r="AV1010" s="32"/>
      <c r="AW1010" s="35" t="s">
        <v>205</v>
      </c>
      <c r="AX1010" s="32">
        <v>0</v>
      </c>
      <c r="AY1010" s="32">
        <v>10000006</v>
      </c>
      <c r="AZ1010" s="26">
        <v>60000004</v>
      </c>
      <c r="BA1010" s="35" t="s">
        <v>1736</v>
      </c>
      <c r="BB1010" s="35" t="s">
        <v>204</v>
      </c>
      <c r="BC1010" s="31">
        <v>0</v>
      </c>
      <c r="BD1010" s="31">
        <v>0</v>
      </c>
      <c r="BE1010" s="60"/>
      <c r="BF1010" s="60"/>
      <c r="BG1010" s="32">
        <v>0</v>
      </c>
      <c r="BH1010" s="21">
        <v>0</v>
      </c>
      <c r="BI1010" s="32">
        <v>0</v>
      </c>
      <c r="BJ1010" s="32">
        <v>0</v>
      </c>
      <c r="BK1010" s="32">
        <v>0</v>
      </c>
      <c r="BL1010" s="32">
        <v>0</v>
      </c>
      <c r="BM1010" s="25">
        <v>0</v>
      </c>
      <c r="BN1010" s="19">
        <v>0</v>
      </c>
      <c r="BO1010" s="19">
        <v>0</v>
      </c>
      <c r="BP1010" s="19">
        <v>0</v>
      </c>
      <c r="BQ1010" s="19">
        <v>0</v>
      </c>
      <c r="BR1010" s="19">
        <v>0</v>
      </c>
      <c r="BS1010" s="19">
        <v>0</v>
      </c>
      <c r="BT1010" s="19">
        <v>0</v>
      </c>
      <c r="BU1010" s="23">
        <v>0</v>
      </c>
      <c r="BV1010" s="23"/>
      <c r="BW1010" s="23"/>
      <c r="BX1010" s="23"/>
      <c r="BY1010" s="23"/>
      <c r="BZ1010" s="23"/>
    </row>
    <row r="1011" spans="1:78" ht="20.100000000000001" customHeight="1">
      <c r="C1011" s="216">
        <v>63023412</v>
      </c>
      <c r="D1011" s="42" t="s">
        <v>2240</v>
      </c>
      <c r="E1011" s="42" t="s">
        <v>2241</v>
      </c>
      <c r="F1011" s="38">
        <v>1</v>
      </c>
      <c r="G1011" s="216">
        <v>60093001</v>
      </c>
      <c r="H1011" s="38">
        <v>0</v>
      </c>
      <c r="I1011" s="38">
        <v>0</v>
      </c>
      <c r="J1011" s="38">
        <v>1</v>
      </c>
      <c r="K1011" s="38">
        <v>0</v>
      </c>
      <c r="L1011" s="38">
        <v>0</v>
      </c>
      <c r="M1011" s="38">
        <v>0</v>
      </c>
      <c r="N1011" s="38">
        <v>0</v>
      </c>
      <c r="O1011" s="38">
        <v>5</v>
      </c>
      <c r="P1011" s="38">
        <v>0</v>
      </c>
      <c r="Q1011" s="38">
        <v>0</v>
      </c>
      <c r="R1011" s="38">
        <v>0</v>
      </c>
      <c r="S1011" s="38">
        <v>0</v>
      </c>
      <c r="T1011" s="38">
        <v>0</v>
      </c>
      <c r="U1011" s="38">
        <v>1</v>
      </c>
      <c r="V1011" s="38">
        <v>2</v>
      </c>
      <c r="W1011" s="38">
        <v>0</v>
      </c>
      <c r="X1011" s="38">
        <v>0</v>
      </c>
      <c r="Y1011" s="19">
        <v>0</v>
      </c>
      <c r="Z1011" s="38">
        <v>0</v>
      </c>
      <c r="AA1011" s="38">
        <v>0</v>
      </c>
      <c r="AB1011" s="38">
        <v>0</v>
      </c>
      <c r="AC1011" s="38">
        <v>0</v>
      </c>
      <c r="AD1011" s="38">
        <v>0</v>
      </c>
      <c r="AE1011" s="38">
        <v>0</v>
      </c>
      <c r="AF1011" s="38">
        <v>9</v>
      </c>
      <c r="AG1011" s="38">
        <v>2</v>
      </c>
      <c r="AH1011" s="38" t="s">
        <v>219</v>
      </c>
      <c r="AI1011" s="38">
        <v>2</v>
      </c>
      <c r="AJ1011" s="38">
        <v>2</v>
      </c>
      <c r="AK1011" s="38">
        <v>0</v>
      </c>
      <c r="AL1011" s="38">
        <v>1.5</v>
      </c>
      <c r="AM1011" s="38">
        <v>0</v>
      </c>
      <c r="AN1011" s="38">
        <v>0</v>
      </c>
      <c r="AO1011" s="38">
        <v>0</v>
      </c>
      <c r="AP1011" s="38">
        <v>0</v>
      </c>
      <c r="AQ1011" s="38">
        <v>3000</v>
      </c>
      <c r="AR1011" s="38">
        <v>0</v>
      </c>
      <c r="AS1011" s="38">
        <v>0</v>
      </c>
      <c r="AT1011" s="38">
        <v>0</v>
      </c>
      <c r="AU1011" s="38" t="s">
        <v>204</v>
      </c>
      <c r="AV1011" s="38"/>
      <c r="AW1011" s="42" t="s">
        <v>205</v>
      </c>
      <c r="AX1011" s="38">
        <v>0</v>
      </c>
      <c r="AY1011" s="38">
        <v>0</v>
      </c>
      <c r="AZ1011" s="38">
        <v>0</v>
      </c>
      <c r="BA1011" s="42" t="s">
        <v>206</v>
      </c>
      <c r="BB1011" s="38" t="s">
        <v>2242</v>
      </c>
      <c r="BC1011" s="38">
        <v>0</v>
      </c>
      <c r="BD1011" s="38">
        <v>0</v>
      </c>
      <c r="BE1011" s="217" t="s">
        <v>2243</v>
      </c>
      <c r="BF1011" s="217" t="s">
        <v>2244</v>
      </c>
      <c r="BG1011" s="38"/>
      <c r="BH1011" s="38">
        <v>0</v>
      </c>
      <c r="BI1011" s="38"/>
      <c r="BJ1011" s="38"/>
      <c r="BK1011" s="38"/>
      <c r="BL1011" s="38"/>
      <c r="BM1011" s="38">
        <v>0</v>
      </c>
      <c r="BN1011" s="38">
        <v>0</v>
      </c>
      <c r="BO1011" s="38">
        <v>0</v>
      </c>
      <c r="BP1011" s="38">
        <v>0</v>
      </c>
      <c r="BQ1011" s="38">
        <v>0</v>
      </c>
      <c r="BR1011" s="38">
        <v>0</v>
      </c>
      <c r="BS1011" s="38">
        <v>0</v>
      </c>
      <c r="BT1011" s="19">
        <v>0</v>
      </c>
      <c r="BU1011" s="23">
        <v>0</v>
      </c>
      <c r="BV1011" s="23"/>
      <c r="BW1011" s="23"/>
      <c r="BX1011" s="23"/>
      <c r="BY1011" s="23"/>
      <c r="BZ1011" s="23"/>
    </row>
    <row r="1012" spans="1:78" ht="20.25" customHeight="1">
      <c r="C1012" s="172">
        <v>63023413</v>
      </c>
      <c r="D1012" s="30" t="s">
        <v>2245</v>
      </c>
      <c r="E1012" s="30" t="s">
        <v>2246</v>
      </c>
      <c r="F1012" s="32">
        <v>1</v>
      </c>
      <c r="G1012" s="172">
        <v>60030102</v>
      </c>
      <c r="H1012" s="32">
        <v>0</v>
      </c>
      <c r="I1012" s="31">
        <v>0</v>
      </c>
      <c r="J1012" s="32">
        <v>1</v>
      </c>
      <c r="K1012" s="32">
        <v>0</v>
      </c>
      <c r="L1012" s="32">
        <v>0</v>
      </c>
      <c r="M1012" s="21">
        <v>0</v>
      </c>
      <c r="N1012" s="21">
        <v>0</v>
      </c>
      <c r="O1012" s="21">
        <v>2</v>
      </c>
      <c r="P1012" s="21">
        <v>10</v>
      </c>
      <c r="Q1012" s="21">
        <v>0.3</v>
      </c>
      <c r="R1012" s="21">
        <v>0</v>
      </c>
      <c r="S1012" s="19">
        <v>0</v>
      </c>
      <c r="T1012" s="21">
        <v>0</v>
      </c>
      <c r="U1012" s="21">
        <v>1</v>
      </c>
      <c r="V1012" s="21">
        <v>2</v>
      </c>
      <c r="W1012" s="21">
        <v>0</v>
      </c>
      <c r="X1012" s="21">
        <v>3</v>
      </c>
      <c r="Y1012" s="19">
        <v>0</v>
      </c>
      <c r="Z1012" s="21">
        <v>0</v>
      </c>
      <c r="AA1012" s="21">
        <v>0</v>
      </c>
      <c r="AB1012" s="21">
        <v>0</v>
      </c>
      <c r="AC1012" s="21">
        <v>0</v>
      </c>
      <c r="AD1012" s="21">
        <v>0</v>
      </c>
      <c r="AE1012" s="21">
        <v>0</v>
      </c>
      <c r="AF1012" s="21">
        <v>5</v>
      </c>
      <c r="AG1012" s="21">
        <v>1</v>
      </c>
      <c r="AH1012" s="21">
        <v>3</v>
      </c>
      <c r="AI1012" s="19">
        <v>1</v>
      </c>
      <c r="AJ1012" s="19">
        <v>1</v>
      </c>
      <c r="AK1012" s="19">
        <v>0</v>
      </c>
      <c r="AL1012" s="19">
        <v>3</v>
      </c>
      <c r="AM1012" s="21">
        <v>0</v>
      </c>
      <c r="AN1012" s="21">
        <v>0</v>
      </c>
      <c r="AO1012" s="21">
        <v>0</v>
      </c>
      <c r="AP1012" s="21">
        <v>0</v>
      </c>
      <c r="AQ1012" s="21">
        <v>5000</v>
      </c>
      <c r="AR1012" s="21">
        <v>0</v>
      </c>
      <c r="AS1012" s="21">
        <v>0</v>
      </c>
      <c r="AT1012" s="19">
        <v>0</v>
      </c>
      <c r="AU1012" s="21">
        <v>0</v>
      </c>
      <c r="AV1012" s="21"/>
      <c r="AW1012" s="30" t="s">
        <v>205</v>
      </c>
      <c r="AX1012" s="19" t="s">
        <v>1802</v>
      </c>
      <c r="AY1012" s="32">
        <v>10000007</v>
      </c>
      <c r="AZ1012" s="32">
        <v>23000080</v>
      </c>
      <c r="BA1012" s="30" t="s">
        <v>206</v>
      </c>
      <c r="BB1012" s="35" t="s">
        <v>204</v>
      </c>
      <c r="BC1012" s="31">
        <v>0</v>
      </c>
      <c r="BD1012" s="31">
        <v>0</v>
      </c>
      <c r="BE1012" s="33" t="s">
        <v>2247</v>
      </c>
      <c r="BF1012" s="33" t="s">
        <v>2248</v>
      </c>
      <c r="BG1012" s="32">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63023414</v>
      </c>
      <c r="D1013" s="30" t="s">
        <v>2249</v>
      </c>
      <c r="E1013" s="30" t="s">
        <v>2250</v>
      </c>
      <c r="F1013" s="32">
        <v>1</v>
      </c>
      <c r="G1013" s="172">
        <v>62000107</v>
      </c>
      <c r="H1013" s="19">
        <v>0</v>
      </c>
      <c r="I1013" s="19">
        <v>0</v>
      </c>
      <c r="J1013" s="32">
        <v>1</v>
      </c>
      <c r="K1013" s="32">
        <v>0</v>
      </c>
      <c r="L1013" s="19">
        <v>0</v>
      </c>
      <c r="M1013" s="19">
        <v>0</v>
      </c>
      <c r="N1013" s="19">
        <v>0</v>
      </c>
      <c r="O1013" s="19">
        <v>2</v>
      </c>
      <c r="P1013" s="19">
        <v>10</v>
      </c>
      <c r="Q1013" s="19">
        <v>0.2</v>
      </c>
      <c r="R1013" s="19">
        <v>0</v>
      </c>
      <c r="S1013" s="19">
        <v>0</v>
      </c>
      <c r="T1013" s="19">
        <v>0</v>
      </c>
      <c r="U1013" s="21">
        <v>1</v>
      </c>
      <c r="V1013" s="19">
        <v>2</v>
      </c>
      <c r="W1013" s="19">
        <v>0</v>
      </c>
      <c r="X1013" s="19">
        <v>0</v>
      </c>
      <c r="Y1013" s="19">
        <v>0</v>
      </c>
      <c r="Z1013" s="19">
        <v>0</v>
      </c>
      <c r="AA1013" s="19">
        <v>0</v>
      </c>
      <c r="AB1013" s="19">
        <v>0</v>
      </c>
      <c r="AC1013" s="19">
        <v>0</v>
      </c>
      <c r="AD1013" s="32">
        <v>0</v>
      </c>
      <c r="AE1013" s="19">
        <v>0</v>
      </c>
      <c r="AF1013" s="19">
        <v>10</v>
      </c>
      <c r="AG1013" s="19">
        <v>0</v>
      </c>
      <c r="AH1013" s="19">
        <v>0</v>
      </c>
      <c r="AI1013" s="19">
        <v>7</v>
      </c>
      <c r="AJ1013" s="19">
        <v>0</v>
      </c>
      <c r="AK1013" s="19">
        <v>0</v>
      </c>
      <c r="AL1013" s="19">
        <v>6</v>
      </c>
      <c r="AM1013" s="19">
        <v>0</v>
      </c>
      <c r="AN1013" s="19">
        <v>0</v>
      </c>
      <c r="AO1013" s="19">
        <v>0</v>
      </c>
      <c r="AP1013" s="19">
        <v>0</v>
      </c>
      <c r="AQ1013" s="19">
        <v>1000</v>
      </c>
      <c r="AR1013" s="19">
        <v>0</v>
      </c>
      <c r="AS1013" s="19">
        <v>0</v>
      </c>
      <c r="AT1013" s="19">
        <v>0</v>
      </c>
      <c r="AU1013" s="329" t="s">
        <v>2251</v>
      </c>
      <c r="AV1013" s="19"/>
      <c r="AW1013" s="30" t="s">
        <v>205</v>
      </c>
      <c r="AX1013" s="19" t="s">
        <v>1802</v>
      </c>
      <c r="AY1013" s="19" t="s">
        <v>204</v>
      </c>
      <c r="AZ1013" s="19">
        <v>0</v>
      </c>
      <c r="BA1013" s="20" t="s">
        <v>206</v>
      </c>
      <c r="BB1013" s="19">
        <v>0</v>
      </c>
      <c r="BC1013" s="31">
        <v>0</v>
      </c>
      <c r="BD1013" s="31">
        <v>0</v>
      </c>
      <c r="BE1013" s="33" t="s">
        <v>2252</v>
      </c>
      <c r="BF1013" s="33" t="s">
        <v>2253</v>
      </c>
      <c r="BG1013" s="19">
        <v>0</v>
      </c>
      <c r="BH1013" s="21">
        <v>0</v>
      </c>
      <c r="BI1013" s="21"/>
      <c r="BJ1013" s="21"/>
      <c r="BK1013" s="21"/>
      <c r="BL1013" s="32"/>
      <c r="BM1013" s="25">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63023415</v>
      </c>
      <c r="D1014" s="71" t="s">
        <v>2254</v>
      </c>
      <c r="E1014" s="71" t="s">
        <v>2255</v>
      </c>
      <c r="F1014" s="21">
        <v>1</v>
      </c>
      <c r="G1014" s="172">
        <v>62011101</v>
      </c>
      <c r="H1014" s="72">
        <v>0</v>
      </c>
      <c r="I1014" s="31">
        <v>0</v>
      </c>
      <c r="J1014" s="32">
        <v>1</v>
      </c>
      <c r="K1014" s="32">
        <v>0</v>
      </c>
      <c r="L1014" s="32">
        <v>0</v>
      </c>
      <c r="M1014" s="72">
        <v>0</v>
      </c>
      <c r="N1014" s="72">
        <v>0</v>
      </c>
      <c r="O1014" s="72">
        <v>2</v>
      </c>
      <c r="P1014" s="21">
        <v>10</v>
      </c>
      <c r="Q1014" s="21">
        <v>0.2</v>
      </c>
      <c r="R1014" s="72">
        <v>0</v>
      </c>
      <c r="S1014" s="19">
        <v>0</v>
      </c>
      <c r="T1014" s="72">
        <v>0</v>
      </c>
      <c r="U1014" s="21">
        <v>1</v>
      </c>
      <c r="V1014" s="72">
        <v>2</v>
      </c>
      <c r="W1014" s="72">
        <v>0</v>
      </c>
      <c r="X1014" s="72">
        <v>3</v>
      </c>
      <c r="Y1014" s="19">
        <v>0</v>
      </c>
      <c r="Z1014" s="21">
        <v>0</v>
      </c>
      <c r="AA1014" s="72">
        <v>0</v>
      </c>
      <c r="AB1014" s="72">
        <v>0</v>
      </c>
      <c r="AC1014" s="72">
        <v>0</v>
      </c>
      <c r="AD1014" s="72">
        <v>0</v>
      </c>
      <c r="AE1014" s="72">
        <v>0</v>
      </c>
      <c r="AF1014" s="72">
        <v>10</v>
      </c>
      <c r="AG1014" s="72">
        <v>2</v>
      </c>
      <c r="AH1014" s="72" t="s">
        <v>2256</v>
      </c>
      <c r="AI1014" s="73">
        <v>0</v>
      </c>
      <c r="AJ1014" s="19">
        <v>0</v>
      </c>
      <c r="AK1014" s="19">
        <v>0</v>
      </c>
      <c r="AL1014" s="73">
        <v>1.5</v>
      </c>
      <c r="AM1014" s="72">
        <v>0</v>
      </c>
      <c r="AN1014" s="72">
        <v>0</v>
      </c>
      <c r="AO1014" s="72">
        <v>0</v>
      </c>
      <c r="AP1014" s="72">
        <v>0</v>
      </c>
      <c r="AQ1014" s="72">
        <v>3000</v>
      </c>
      <c r="AR1014" s="72">
        <v>0</v>
      </c>
      <c r="AS1014" s="72">
        <v>0</v>
      </c>
      <c r="AT1014" s="19">
        <v>0</v>
      </c>
      <c r="AU1014" s="72" t="s">
        <v>204</v>
      </c>
      <c r="AV1014" s="72"/>
      <c r="AW1014" s="71" t="s">
        <v>293</v>
      </c>
      <c r="AX1014" s="21">
        <v>0</v>
      </c>
      <c r="AY1014" s="74">
        <v>10000007</v>
      </c>
      <c r="AZ1014" s="32">
        <v>23000010</v>
      </c>
      <c r="BA1014" s="71" t="s">
        <v>206</v>
      </c>
      <c r="BB1014" s="72">
        <v>0</v>
      </c>
      <c r="BC1014" s="75">
        <v>0</v>
      </c>
      <c r="BD1014" s="31">
        <v>1</v>
      </c>
      <c r="BE1014" s="76" t="s">
        <v>2257</v>
      </c>
      <c r="BF1014" s="76" t="s">
        <v>2258</v>
      </c>
      <c r="BG1014" s="72">
        <v>0</v>
      </c>
      <c r="BH1014" s="21">
        <v>0</v>
      </c>
      <c r="BI1014" s="72">
        <v>0</v>
      </c>
      <c r="BJ1014" s="72">
        <v>0</v>
      </c>
      <c r="BK1014" s="72">
        <v>0</v>
      </c>
      <c r="BL1014" s="72">
        <v>0</v>
      </c>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63023416</v>
      </c>
      <c r="D1015" s="30" t="s">
        <v>1895</v>
      </c>
      <c r="E1015" s="30" t="s">
        <v>1896</v>
      </c>
      <c r="F1015" s="21">
        <v>1</v>
      </c>
      <c r="G1015" s="21">
        <v>60010500</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2040</v>
      </c>
      <c r="BC1015" s="31">
        <v>0</v>
      </c>
      <c r="BD1015" s="31">
        <v>0</v>
      </c>
      <c r="BE1015" s="33" t="s">
        <v>2041</v>
      </c>
      <c r="BF1015" s="33" t="s">
        <v>2042</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ht="20.100000000000001" customHeight="1">
      <c r="C1016" s="172">
        <v>63023417</v>
      </c>
      <c r="D1016" s="30" t="s">
        <v>1895</v>
      </c>
      <c r="E1016" s="30" t="s">
        <v>1896</v>
      </c>
      <c r="F1016" s="21">
        <v>1</v>
      </c>
      <c r="G1016" s="21">
        <v>60011301</v>
      </c>
      <c r="H1016" s="32">
        <v>0</v>
      </c>
      <c r="I1016" s="31">
        <v>0</v>
      </c>
      <c r="J1016" s="32">
        <v>1</v>
      </c>
      <c r="K1016" s="32">
        <v>0</v>
      </c>
      <c r="L1016" s="32">
        <v>0</v>
      </c>
      <c r="M1016" s="21">
        <v>0</v>
      </c>
      <c r="N1016" s="21">
        <v>0</v>
      </c>
      <c r="O1016" s="21">
        <v>5</v>
      </c>
      <c r="P1016" s="21">
        <v>0</v>
      </c>
      <c r="Q1016" s="21">
        <v>0</v>
      </c>
      <c r="R1016" s="21">
        <v>0</v>
      </c>
      <c r="S1016" s="19">
        <v>0</v>
      </c>
      <c r="T1016" s="21">
        <v>0</v>
      </c>
      <c r="U1016" s="21">
        <v>1</v>
      </c>
      <c r="V1016" s="21">
        <v>2</v>
      </c>
      <c r="W1016" s="21">
        <v>0</v>
      </c>
      <c r="X1016" s="21">
        <v>0</v>
      </c>
      <c r="Y1016" s="19">
        <v>0</v>
      </c>
      <c r="Z1016" s="21">
        <v>0</v>
      </c>
      <c r="AA1016" s="21">
        <v>0</v>
      </c>
      <c r="AB1016" s="21">
        <v>0</v>
      </c>
      <c r="AC1016" s="21">
        <v>0</v>
      </c>
      <c r="AD1016" s="21">
        <v>0</v>
      </c>
      <c r="AE1016" s="21">
        <v>0</v>
      </c>
      <c r="AF1016" s="21">
        <v>9</v>
      </c>
      <c r="AG1016" s="21">
        <v>2</v>
      </c>
      <c r="AH1016" s="21" t="s">
        <v>219</v>
      </c>
      <c r="AI1016" s="19">
        <v>2</v>
      </c>
      <c r="AJ1016" s="19">
        <v>2</v>
      </c>
      <c r="AK1016" s="19">
        <v>0</v>
      </c>
      <c r="AL1016" s="19">
        <v>1.5</v>
      </c>
      <c r="AM1016" s="21">
        <v>0</v>
      </c>
      <c r="AN1016" s="21">
        <v>0</v>
      </c>
      <c r="AO1016" s="21">
        <v>0</v>
      </c>
      <c r="AP1016" s="21">
        <v>0</v>
      </c>
      <c r="AQ1016" s="21">
        <v>3000</v>
      </c>
      <c r="AR1016" s="21">
        <v>0</v>
      </c>
      <c r="AS1016" s="21">
        <v>0</v>
      </c>
      <c r="AT1016" s="19">
        <v>0</v>
      </c>
      <c r="AU1016" s="21" t="s">
        <v>204</v>
      </c>
      <c r="AV1016" s="21"/>
      <c r="AW1016" s="30" t="s">
        <v>205</v>
      </c>
      <c r="AX1016" s="21">
        <v>0</v>
      </c>
      <c r="AY1016" s="32">
        <v>0</v>
      </c>
      <c r="AZ1016" s="32">
        <v>0</v>
      </c>
      <c r="BA1016" s="30" t="s">
        <v>206</v>
      </c>
      <c r="BB1016" s="21" t="s">
        <v>2259</v>
      </c>
      <c r="BC1016" s="31">
        <v>0</v>
      </c>
      <c r="BD1016" s="31">
        <v>0</v>
      </c>
      <c r="BE1016" s="33" t="s">
        <v>2260</v>
      </c>
      <c r="BF1016" s="33" t="s">
        <v>2261</v>
      </c>
      <c r="BG1016" s="21"/>
      <c r="BH1016" s="21">
        <v>0</v>
      </c>
      <c r="BI1016" s="21"/>
      <c r="BJ1016" s="21"/>
      <c r="BK1016" s="21"/>
      <c r="BL1016" s="32"/>
      <c r="BM1016" s="21">
        <v>0</v>
      </c>
      <c r="BN1016" s="19">
        <v>0</v>
      </c>
      <c r="BO1016" s="19">
        <v>0</v>
      </c>
      <c r="BP1016" s="19">
        <v>0</v>
      </c>
      <c r="BQ1016" s="19">
        <v>0</v>
      </c>
      <c r="BR1016" s="19">
        <v>0</v>
      </c>
      <c r="BS1016" s="19">
        <v>0</v>
      </c>
      <c r="BT1016" s="19">
        <v>0</v>
      </c>
      <c r="BU1016" s="23">
        <v>0</v>
      </c>
      <c r="BV1016" s="23"/>
      <c r="BW1016" s="23"/>
      <c r="BX1016" s="23"/>
      <c r="BY1016" s="23"/>
      <c r="BZ1016" s="23"/>
    </row>
    <row r="1017" spans="1:78" s="1" customFormat="1" ht="19.5" customHeight="1">
      <c r="A1017" s="218"/>
      <c r="B1017" s="218"/>
      <c r="C1017" s="74">
        <v>64011101</v>
      </c>
      <c r="D1017" s="71" t="s">
        <v>1429</v>
      </c>
      <c r="E1017" s="71" t="s">
        <v>2262</v>
      </c>
      <c r="F1017" s="172">
        <v>0</v>
      </c>
      <c r="G1017" s="74">
        <v>64011101</v>
      </c>
      <c r="H1017" s="74">
        <v>64011102</v>
      </c>
      <c r="I1017" s="75">
        <v>0</v>
      </c>
      <c r="J1017" s="19">
        <v>1</v>
      </c>
      <c r="K1017" s="19">
        <v>5</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2069</v>
      </c>
      <c r="AI1017" s="73">
        <v>0</v>
      </c>
      <c r="AJ1017" s="73">
        <v>3</v>
      </c>
      <c r="AK1017" s="73">
        <v>0</v>
      </c>
      <c r="AL1017" s="73">
        <v>2</v>
      </c>
      <c r="AM1017" s="72">
        <v>0</v>
      </c>
      <c r="AN1017" s="72">
        <v>0</v>
      </c>
      <c r="AO1017" s="72">
        <v>0</v>
      </c>
      <c r="AP1017" s="72">
        <v>0.2</v>
      </c>
      <c r="AQ1017" s="72">
        <v>1000</v>
      </c>
      <c r="AR1017" s="72">
        <v>0.2</v>
      </c>
      <c r="AS1017" s="72">
        <v>15</v>
      </c>
      <c r="AT1017" s="73">
        <v>0</v>
      </c>
      <c r="AU1017" s="72"/>
      <c r="AV1017" s="344" t="s">
        <v>2263</v>
      </c>
      <c r="AW1017" s="35" t="s">
        <v>205</v>
      </c>
      <c r="AX1017" s="72" t="s">
        <v>540</v>
      </c>
      <c r="AY1017" s="74">
        <v>10000001</v>
      </c>
      <c r="AZ1017" s="74">
        <v>21300010</v>
      </c>
      <c r="BA1017" s="71" t="s">
        <v>592</v>
      </c>
      <c r="BB1017" s="72" t="s">
        <v>2264</v>
      </c>
      <c r="BC1017" s="73">
        <v>0</v>
      </c>
      <c r="BD1017" s="73">
        <v>0</v>
      </c>
      <c r="BE1017" s="185" t="str">
        <f>"将手中的武器幻化成魔法,对指定前方区域内的目标造成"&amp;X1017*100&amp;"%攻击伤害+"&amp;Z1017&amp;"点固定伤害,并附带魔法印记,其状态每秒会对目标造成30%伤害,持续6秒.此印记可以叠加"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2265</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64011102</v>
      </c>
      <c r="D1018" s="71" t="s">
        <v>1429</v>
      </c>
      <c r="E1018" s="71" t="s">
        <v>2262</v>
      </c>
      <c r="F1018" s="172">
        <v>1</v>
      </c>
      <c r="G1018" s="74">
        <v>64011101</v>
      </c>
      <c r="H1018" s="74">
        <v>64011103</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v>
      </c>
      <c r="Y1018" s="19">
        <v>0</v>
      </c>
      <c r="Z1018" s="72">
        <v>750</v>
      </c>
      <c r="AA1018" s="72">
        <v>0</v>
      </c>
      <c r="AB1018" s="72">
        <v>0</v>
      </c>
      <c r="AC1018" s="72">
        <v>0</v>
      </c>
      <c r="AD1018" s="72">
        <v>0</v>
      </c>
      <c r="AE1018" s="72">
        <v>0</v>
      </c>
      <c r="AF1018" s="72">
        <v>7</v>
      </c>
      <c r="AG1018" s="72">
        <v>2</v>
      </c>
      <c r="AH1018" s="93" t="s">
        <v>2069</v>
      </c>
      <c r="AI1018" s="73">
        <v>0</v>
      </c>
      <c r="AJ1018" s="73">
        <v>3</v>
      </c>
      <c r="AK1018" s="73">
        <v>0</v>
      </c>
      <c r="AL1018" s="73">
        <v>2</v>
      </c>
      <c r="AM1018" s="72">
        <v>0</v>
      </c>
      <c r="AN1018" s="72">
        <v>0</v>
      </c>
      <c r="AO1018" s="72">
        <v>0</v>
      </c>
      <c r="AP1018" s="72">
        <v>0.2</v>
      </c>
      <c r="AQ1018" s="72">
        <v>1000</v>
      </c>
      <c r="AR1018" s="72">
        <v>0.2</v>
      </c>
      <c r="AS1018" s="72">
        <v>15</v>
      </c>
      <c r="AT1018" s="73">
        <v>0</v>
      </c>
      <c r="AU1018" s="72"/>
      <c r="AV1018" s="344" t="s">
        <v>2263</v>
      </c>
      <c r="AW1018" s="35" t="s">
        <v>205</v>
      </c>
      <c r="AX1018" s="72" t="s">
        <v>540</v>
      </c>
      <c r="AY1018" s="74">
        <v>10000001</v>
      </c>
      <c r="AZ1018" s="74">
        <v>21300010</v>
      </c>
      <c r="BA1018" s="71" t="s">
        <v>592</v>
      </c>
      <c r="BB1018" s="72" t="s">
        <v>2264</v>
      </c>
      <c r="BC1018" s="73">
        <v>0</v>
      </c>
      <c r="BD1018" s="73">
        <v>0</v>
      </c>
      <c r="BE1018" s="185" t="str">
        <f t="shared" ref="BE1018:BE1022" si="110">"将手中的武器幻化成魔法,对指定前方区域内的目标造成"&amp;X1018*100&amp;"%攻击伤害+"&amp;Z1018&amp;"点固定伤害,并附带魔法印记,其状态每秒会对目标造成30%伤害,持续6秒.此印记可以叠加"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8" s="185" t="s">
        <v>2265</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64011103</v>
      </c>
      <c r="D1019" s="71" t="s">
        <v>1429</v>
      </c>
      <c r="E1019" s="71" t="s">
        <v>2262</v>
      </c>
      <c r="F1019" s="172">
        <v>2</v>
      </c>
      <c r="G1019" s="74">
        <v>64011101</v>
      </c>
      <c r="H1019" s="74">
        <v>64011104</v>
      </c>
      <c r="I1019" s="75">
        <v>0</v>
      </c>
      <c r="J1019" s="19">
        <v>1</v>
      </c>
      <c r="K1019" s="19">
        <v>2</v>
      </c>
      <c r="L1019" s="72">
        <v>0</v>
      </c>
      <c r="M1019" s="72">
        <v>0</v>
      </c>
      <c r="N1019" s="72">
        <v>0</v>
      </c>
      <c r="O1019" s="72">
        <v>1</v>
      </c>
      <c r="P1019" s="72">
        <v>0</v>
      </c>
      <c r="Q1019" s="72">
        <v>1</v>
      </c>
      <c r="R1019" s="72">
        <v>0</v>
      </c>
      <c r="S1019" s="73">
        <v>0</v>
      </c>
      <c r="T1019" s="72">
        <v>0</v>
      </c>
      <c r="U1019" s="72">
        <v>1</v>
      </c>
      <c r="V1019" s="72">
        <v>2</v>
      </c>
      <c r="W1019" s="72">
        <v>0</v>
      </c>
      <c r="X1019" s="72">
        <v>2.2000000000000002</v>
      </c>
      <c r="Y1019" s="19">
        <v>0</v>
      </c>
      <c r="Z1019" s="72">
        <v>1500</v>
      </c>
      <c r="AA1019" s="72">
        <v>0</v>
      </c>
      <c r="AB1019" s="72">
        <v>0</v>
      </c>
      <c r="AC1019" s="72">
        <v>0</v>
      </c>
      <c r="AD1019" s="72">
        <v>0</v>
      </c>
      <c r="AE1019" s="72">
        <v>0</v>
      </c>
      <c r="AF1019" s="72">
        <v>7</v>
      </c>
      <c r="AG1019" s="72">
        <v>2</v>
      </c>
      <c r="AH1019" s="93" t="s">
        <v>2069</v>
      </c>
      <c r="AI1019" s="73">
        <v>0</v>
      </c>
      <c r="AJ1019" s="73">
        <v>3</v>
      </c>
      <c r="AK1019" s="73">
        <v>0</v>
      </c>
      <c r="AL1019" s="73">
        <v>2</v>
      </c>
      <c r="AM1019" s="72">
        <v>0</v>
      </c>
      <c r="AN1019" s="72">
        <v>0</v>
      </c>
      <c r="AO1019" s="72">
        <v>0</v>
      </c>
      <c r="AP1019" s="72">
        <v>0.2</v>
      </c>
      <c r="AQ1019" s="72">
        <v>1000</v>
      </c>
      <c r="AR1019" s="72">
        <v>0.2</v>
      </c>
      <c r="AS1019" s="72">
        <v>15</v>
      </c>
      <c r="AT1019" s="73">
        <v>0</v>
      </c>
      <c r="AU1019" s="72"/>
      <c r="AV1019" s="344" t="s">
        <v>2263</v>
      </c>
      <c r="AW1019" s="35" t="s">
        <v>205</v>
      </c>
      <c r="AX1019" s="72" t="s">
        <v>540</v>
      </c>
      <c r="AY1019" s="74">
        <v>10000001</v>
      </c>
      <c r="AZ1019" s="74">
        <v>21300010</v>
      </c>
      <c r="BA1019" s="71" t="s">
        <v>592</v>
      </c>
      <c r="BB1019" s="72" t="s">
        <v>2264</v>
      </c>
      <c r="BC1019" s="73">
        <v>0</v>
      </c>
      <c r="BD1019" s="73">
        <v>0</v>
      </c>
      <c r="BE1019" s="185" t="str">
        <f t="shared" si="110"/>
        <v>将手中的武器幻化成魔法,对指定前方区域内的目标造成220%攻击伤害+1500点固定伤害,并附带魔法印记,其状态每秒会对目标造成30%伤害,持续6秒.此印记可以叠加</v>
      </c>
      <c r="BF1019" s="185" t="s">
        <v>2266</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64011104</v>
      </c>
      <c r="D1020" s="71" t="s">
        <v>1429</v>
      </c>
      <c r="E1020" s="71" t="s">
        <v>2262</v>
      </c>
      <c r="F1020" s="172">
        <v>3</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2.4</v>
      </c>
      <c r="Y1020" s="19">
        <v>0</v>
      </c>
      <c r="Z1020" s="72">
        <v>2250</v>
      </c>
      <c r="AA1020" s="72">
        <v>0</v>
      </c>
      <c r="AB1020" s="72">
        <v>0</v>
      </c>
      <c r="AC1020" s="72">
        <v>0</v>
      </c>
      <c r="AD1020" s="72">
        <v>0</v>
      </c>
      <c r="AE1020" s="72">
        <v>0</v>
      </c>
      <c r="AF1020" s="72">
        <v>7</v>
      </c>
      <c r="AG1020" s="72">
        <v>2</v>
      </c>
      <c r="AH1020" s="93" t="s">
        <v>2069</v>
      </c>
      <c r="AI1020" s="73">
        <v>0</v>
      </c>
      <c r="AJ1020" s="73">
        <v>3</v>
      </c>
      <c r="AK1020" s="73">
        <v>0</v>
      </c>
      <c r="AL1020" s="73">
        <v>2</v>
      </c>
      <c r="AM1020" s="72">
        <v>0</v>
      </c>
      <c r="AN1020" s="72">
        <v>0</v>
      </c>
      <c r="AO1020" s="72">
        <v>0</v>
      </c>
      <c r="AP1020" s="72">
        <v>0.2</v>
      </c>
      <c r="AQ1020" s="72">
        <v>1000</v>
      </c>
      <c r="AR1020" s="72">
        <v>0.2</v>
      </c>
      <c r="AS1020" s="72">
        <v>15</v>
      </c>
      <c r="AT1020" s="73">
        <v>0</v>
      </c>
      <c r="AU1020" s="72"/>
      <c r="AV1020" s="344" t="s">
        <v>2263</v>
      </c>
      <c r="AW1020" s="35" t="s">
        <v>205</v>
      </c>
      <c r="AX1020" s="72" t="s">
        <v>540</v>
      </c>
      <c r="AY1020" s="74">
        <v>10000001</v>
      </c>
      <c r="AZ1020" s="74">
        <v>21300010</v>
      </c>
      <c r="BA1020" s="71" t="s">
        <v>592</v>
      </c>
      <c r="BB1020" s="72" t="s">
        <v>2264</v>
      </c>
      <c r="BC1020" s="73">
        <v>0</v>
      </c>
      <c r="BD1020" s="73">
        <v>0</v>
      </c>
      <c r="BE1020" s="185" t="str">
        <f t="shared" si="110"/>
        <v>将手中的武器幻化成魔法,对指定前方区域内的目标造成240%攻击伤害+2250点固定伤害,并附带魔法印记,其状态每秒会对目标造成30%伤害,持续6秒.此印记可以叠加</v>
      </c>
      <c r="BF1020" s="185" t="s">
        <v>2267</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64011105</v>
      </c>
      <c r="D1021" s="71" t="s">
        <v>1429</v>
      </c>
      <c r="E1021" s="71" t="s">
        <v>2262</v>
      </c>
      <c r="F1021" s="172">
        <v>4</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2.6</v>
      </c>
      <c r="Y1021" s="19">
        <v>0</v>
      </c>
      <c r="Z1021" s="72">
        <v>3250</v>
      </c>
      <c r="AA1021" s="72">
        <v>0</v>
      </c>
      <c r="AB1021" s="72">
        <v>0</v>
      </c>
      <c r="AC1021" s="72">
        <v>0</v>
      </c>
      <c r="AD1021" s="72">
        <v>0</v>
      </c>
      <c r="AE1021" s="72">
        <v>0</v>
      </c>
      <c r="AF1021" s="72">
        <v>7</v>
      </c>
      <c r="AG1021" s="72">
        <v>2</v>
      </c>
      <c r="AH1021" s="93" t="s">
        <v>2069</v>
      </c>
      <c r="AI1021" s="73">
        <v>0</v>
      </c>
      <c r="AJ1021" s="73">
        <v>3</v>
      </c>
      <c r="AK1021" s="73">
        <v>0</v>
      </c>
      <c r="AL1021" s="73">
        <v>2</v>
      </c>
      <c r="AM1021" s="72">
        <v>0</v>
      </c>
      <c r="AN1021" s="72">
        <v>0</v>
      </c>
      <c r="AO1021" s="72">
        <v>0</v>
      </c>
      <c r="AP1021" s="72">
        <v>0.2</v>
      </c>
      <c r="AQ1021" s="72">
        <v>1000</v>
      </c>
      <c r="AR1021" s="72">
        <v>0.2</v>
      </c>
      <c r="AS1021" s="72">
        <v>15</v>
      </c>
      <c r="AT1021" s="73">
        <v>0</v>
      </c>
      <c r="AU1021" s="72"/>
      <c r="AV1021" s="344" t="s">
        <v>2263</v>
      </c>
      <c r="AW1021" s="35" t="s">
        <v>205</v>
      </c>
      <c r="AX1021" s="72" t="s">
        <v>540</v>
      </c>
      <c r="AY1021" s="74">
        <v>10000001</v>
      </c>
      <c r="AZ1021" s="74">
        <v>21300010</v>
      </c>
      <c r="BA1021" s="71" t="s">
        <v>592</v>
      </c>
      <c r="BB1021" s="72" t="s">
        <v>2264</v>
      </c>
      <c r="BC1021" s="73">
        <v>0</v>
      </c>
      <c r="BD1021" s="73">
        <v>0</v>
      </c>
      <c r="BE1021" s="185" t="str">
        <f t="shared" si="110"/>
        <v>将手中的武器幻化成魔法,对指定前方区域内的目标造成260%攻击伤害+3250点固定伤害,并附带魔法印记,其状态每秒会对目标造成30%伤害,持续6秒.此印记可以叠加</v>
      </c>
      <c r="BF1021" s="185" t="s">
        <v>2268</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1" customFormat="1" ht="19.5" customHeight="1">
      <c r="A1022" s="218"/>
      <c r="B1022" s="218"/>
      <c r="C1022" s="74">
        <v>64011106</v>
      </c>
      <c r="D1022" s="71" t="s">
        <v>1429</v>
      </c>
      <c r="E1022" s="71" t="s">
        <v>2262</v>
      </c>
      <c r="F1022" s="172">
        <v>5</v>
      </c>
      <c r="G1022" s="74">
        <v>64011101</v>
      </c>
      <c r="H1022" s="72">
        <v>0</v>
      </c>
      <c r="I1022" s="75">
        <v>0</v>
      </c>
      <c r="J1022" s="19">
        <v>1</v>
      </c>
      <c r="K1022" s="19">
        <v>0</v>
      </c>
      <c r="L1022" s="72">
        <v>0</v>
      </c>
      <c r="M1022" s="72">
        <v>0</v>
      </c>
      <c r="N1022" s="72">
        <v>0</v>
      </c>
      <c r="O1022" s="72">
        <v>1</v>
      </c>
      <c r="P1022" s="72">
        <v>0</v>
      </c>
      <c r="Q1022" s="72">
        <v>1</v>
      </c>
      <c r="R1022" s="72">
        <v>0</v>
      </c>
      <c r="S1022" s="73">
        <v>0</v>
      </c>
      <c r="T1022" s="72">
        <v>0</v>
      </c>
      <c r="U1022" s="72">
        <v>1</v>
      </c>
      <c r="V1022" s="72">
        <v>2</v>
      </c>
      <c r="W1022" s="72">
        <v>0</v>
      </c>
      <c r="X1022" s="72">
        <v>2.8</v>
      </c>
      <c r="Y1022" s="19">
        <v>0</v>
      </c>
      <c r="Z1022" s="72">
        <v>4250</v>
      </c>
      <c r="AA1022" s="72">
        <v>0</v>
      </c>
      <c r="AB1022" s="72">
        <v>0</v>
      </c>
      <c r="AC1022" s="72">
        <v>0</v>
      </c>
      <c r="AD1022" s="72">
        <v>0</v>
      </c>
      <c r="AE1022" s="72">
        <v>0</v>
      </c>
      <c r="AF1022" s="72">
        <v>7</v>
      </c>
      <c r="AG1022" s="72">
        <v>2</v>
      </c>
      <c r="AH1022" s="93" t="s">
        <v>2069</v>
      </c>
      <c r="AI1022" s="73">
        <v>0</v>
      </c>
      <c r="AJ1022" s="73">
        <v>3</v>
      </c>
      <c r="AK1022" s="73">
        <v>0</v>
      </c>
      <c r="AL1022" s="73">
        <v>2</v>
      </c>
      <c r="AM1022" s="72">
        <v>0</v>
      </c>
      <c r="AN1022" s="72">
        <v>0</v>
      </c>
      <c r="AO1022" s="72">
        <v>0</v>
      </c>
      <c r="AP1022" s="72">
        <v>0.2</v>
      </c>
      <c r="AQ1022" s="72">
        <v>1000</v>
      </c>
      <c r="AR1022" s="72">
        <v>0.2</v>
      </c>
      <c r="AS1022" s="72">
        <v>15</v>
      </c>
      <c r="AT1022" s="73">
        <v>0</v>
      </c>
      <c r="AU1022" s="72"/>
      <c r="AV1022" s="344" t="s">
        <v>2263</v>
      </c>
      <c r="AW1022" s="35" t="s">
        <v>205</v>
      </c>
      <c r="AX1022" s="72" t="s">
        <v>540</v>
      </c>
      <c r="AY1022" s="74">
        <v>10000001</v>
      </c>
      <c r="AZ1022" s="74">
        <v>21300010</v>
      </c>
      <c r="BA1022" s="71" t="s">
        <v>592</v>
      </c>
      <c r="BB1022" s="72" t="s">
        <v>2264</v>
      </c>
      <c r="BC1022" s="73">
        <v>0</v>
      </c>
      <c r="BD1022" s="73">
        <v>0</v>
      </c>
      <c r="BE1022" s="185" t="str">
        <f t="shared" si="110"/>
        <v>将手中的武器幻化成魔法,对指定前方区域内的目标造成280%攻击伤害+4250点固定伤害,并附带魔法印记,其状态每秒会对目标造成30%伤害,持续6秒.此印记可以叠加</v>
      </c>
      <c r="BF1022" s="185" t="s">
        <v>2269</v>
      </c>
      <c r="BG1022" s="72">
        <v>0</v>
      </c>
      <c r="BH1022" s="72">
        <v>0</v>
      </c>
      <c r="BI1022" s="72">
        <v>0</v>
      </c>
      <c r="BJ1022" s="72">
        <v>0</v>
      </c>
      <c r="BK1022" s="72">
        <v>0</v>
      </c>
      <c r="BL1022" s="72">
        <v>0</v>
      </c>
      <c r="BM1022" s="90">
        <v>0</v>
      </c>
      <c r="BN1022" s="73">
        <v>0</v>
      </c>
      <c r="BO1022" s="73">
        <v>0</v>
      </c>
      <c r="BP1022" s="73">
        <v>0</v>
      </c>
      <c r="BQ1022" s="73">
        <v>0</v>
      </c>
      <c r="BR1022" s="73">
        <v>0</v>
      </c>
      <c r="BS1022" s="73">
        <v>0</v>
      </c>
      <c r="BT1022" s="73">
        <v>0</v>
      </c>
      <c r="BU1022" s="73">
        <v>0</v>
      </c>
      <c r="BV1022" s="23"/>
      <c r="BW1022" s="23"/>
      <c r="BX1022" s="23"/>
      <c r="BY1022" s="23"/>
      <c r="BZ1022" s="23"/>
    </row>
    <row r="1023" spans="1:78" s="2" customFormat="1" ht="19.5" customHeight="1">
      <c r="A1023" s="219"/>
      <c r="B1023" s="219"/>
      <c r="C1023" s="107">
        <v>64011201</v>
      </c>
      <c r="D1023" s="110" t="s">
        <v>1436</v>
      </c>
      <c r="E1023" s="110" t="s">
        <v>1437</v>
      </c>
      <c r="F1023" s="172">
        <v>0</v>
      </c>
      <c r="G1023" s="107">
        <v>64011201</v>
      </c>
      <c r="H1023" s="107">
        <v>64011202</v>
      </c>
      <c r="I1023" s="105">
        <v>0</v>
      </c>
      <c r="J1023" s="21">
        <v>3</v>
      </c>
      <c r="K1023" s="21">
        <v>5</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27" t="s">
        <v>2270</v>
      </c>
      <c r="AV1023" s="118"/>
      <c r="AW1023" s="35" t="s">
        <v>205</v>
      </c>
      <c r="AX1023" s="100" t="s">
        <v>551</v>
      </c>
      <c r="AY1023" s="107">
        <v>10000001</v>
      </c>
      <c r="AZ1023" s="74">
        <v>21300020</v>
      </c>
      <c r="BA1023" s="35" t="s">
        <v>206</v>
      </c>
      <c r="BB1023" s="100">
        <v>0</v>
      </c>
      <c r="BC1023" s="105">
        <v>0</v>
      </c>
      <c r="BD1023" s="105">
        <v>0</v>
      </c>
      <c r="BE1023" s="185" t="str">
        <f>"运用自己擅长的魔法,立即对附近区域内的目标造成"&amp;X1023*100&amp;"%攻击伤害+"&amp;Z1023&amp;"点固定伤害,并使其眩晕1秒.如果目标有魔法印记状态则对目标额外造成30%*层数的伤害"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2271</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23" t="s">
        <v>2272</v>
      </c>
      <c r="BV1023" s="23"/>
      <c r="BW1023" s="23"/>
      <c r="BX1023" s="23"/>
      <c r="BY1023" s="23"/>
      <c r="BZ1023" s="23"/>
    </row>
    <row r="1024" spans="1:78" s="2" customFormat="1" ht="19.5" customHeight="1">
      <c r="A1024" s="219"/>
      <c r="B1024" s="219"/>
      <c r="C1024" s="107">
        <v>64011202</v>
      </c>
      <c r="D1024" s="110" t="s">
        <v>1436</v>
      </c>
      <c r="E1024" s="110" t="s">
        <v>1437</v>
      </c>
      <c r="F1024" s="172">
        <v>1</v>
      </c>
      <c r="G1024" s="107">
        <v>64011201</v>
      </c>
      <c r="H1024" s="107">
        <v>64011203</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v>
      </c>
      <c r="Y1024" s="19">
        <v>0</v>
      </c>
      <c r="Z1024" s="72">
        <v>750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27" t="s">
        <v>2270</v>
      </c>
      <c r="AV1024" s="118"/>
      <c r="AW1024" s="35" t="s">
        <v>205</v>
      </c>
      <c r="AX1024" s="100" t="s">
        <v>551</v>
      </c>
      <c r="AY1024" s="107">
        <v>10000001</v>
      </c>
      <c r="AZ1024" s="74">
        <v>21300020</v>
      </c>
      <c r="BA1024" s="35" t="s">
        <v>206</v>
      </c>
      <c r="BB1024" s="100">
        <v>0</v>
      </c>
      <c r="BC1024" s="105">
        <v>0</v>
      </c>
      <c r="BD1024" s="105">
        <v>0</v>
      </c>
      <c r="BE1024" s="185" t="str">
        <f t="shared" ref="BE1024:BE1028" si="111">"运用自己擅长的魔法,立即对附近区域内的目标造成"&amp;X1024*100&amp;"%攻击伤害+"&amp;Z1024&amp;"点固定伤害,并使其眩晕1秒.如果目标有魔法印记状态则对目标额外造成30%*层数的伤害"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4" s="185" t="s">
        <v>2271</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23" t="s">
        <v>2272</v>
      </c>
      <c r="BV1024" s="23"/>
      <c r="BW1024" s="23"/>
      <c r="BX1024" s="23"/>
      <c r="BY1024" s="23"/>
      <c r="BZ1024" s="23"/>
    </row>
    <row r="1025" spans="1:78" s="2" customFormat="1" ht="19.5" customHeight="1">
      <c r="A1025" s="219"/>
      <c r="B1025" s="219"/>
      <c r="C1025" s="107">
        <v>64011203</v>
      </c>
      <c r="D1025" s="110" t="s">
        <v>1436</v>
      </c>
      <c r="E1025" s="110" t="s">
        <v>1437</v>
      </c>
      <c r="F1025" s="172">
        <v>2</v>
      </c>
      <c r="G1025" s="107">
        <v>64011201</v>
      </c>
      <c r="H1025" s="107">
        <v>64011204</v>
      </c>
      <c r="I1025" s="105">
        <v>0</v>
      </c>
      <c r="J1025" s="21">
        <v>3</v>
      </c>
      <c r="K1025" s="21">
        <v>2</v>
      </c>
      <c r="L1025" s="107">
        <v>0</v>
      </c>
      <c r="M1025" s="100">
        <v>0</v>
      </c>
      <c r="N1025" s="100">
        <v>0</v>
      </c>
      <c r="O1025" s="100">
        <v>1</v>
      </c>
      <c r="P1025" s="100">
        <v>0</v>
      </c>
      <c r="Q1025" s="100">
        <v>0</v>
      </c>
      <c r="R1025" s="100">
        <v>0</v>
      </c>
      <c r="S1025" s="99">
        <v>0</v>
      </c>
      <c r="T1025" s="100">
        <v>0</v>
      </c>
      <c r="U1025" s="100">
        <v>1</v>
      </c>
      <c r="V1025" s="100">
        <v>2</v>
      </c>
      <c r="W1025" s="100">
        <v>0</v>
      </c>
      <c r="X1025" s="72">
        <v>2.25</v>
      </c>
      <c r="Y1025" s="19">
        <v>0</v>
      </c>
      <c r="Z1025" s="72">
        <v>1500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27" t="s">
        <v>2270</v>
      </c>
      <c r="AV1025" s="118"/>
      <c r="AW1025" s="35" t="s">
        <v>205</v>
      </c>
      <c r="AX1025" s="100" t="s">
        <v>551</v>
      </c>
      <c r="AY1025" s="107">
        <v>10000001</v>
      </c>
      <c r="AZ1025" s="74">
        <v>21300020</v>
      </c>
      <c r="BA1025" s="35" t="s">
        <v>206</v>
      </c>
      <c r="BB1025" s="100">
        <v>0</v>
      </c>
      <c r="BC1025" s="105">
        <v>0</v>
      </c>
      <c r="BD1025" s="105">
        <v>0</v>
      </c>
      <c r="BE1025" s="185" t="str">
        <f t="shared" si="111"/>
        <v>运用自己擅长的魔法,立即对附近区域内的目标造成225%攻击伤害+1500点固定伤害,并使其眩晕1秒.如果目标有魔法印记状态则对目标额外造成30%*层数的伤害</v>
      </c>
      <c r="BF1025" s="185" t="s">
        <v>2273</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23" t="s">
        <v>2272</v>
      </c>
      <c r="BV1025" s="23"/>
      <c r="BW1025" s="23"/>
      <c r="BX1025" s="23"/>
      <c r="BY1025" s="23"/>
      <c r="BZ1025" s="23"/>
    </row>
    <row r="1026" spans="1:78" s="2" customFormat="1" ht="19.5" customHeight="1">
      <c r="A1026" s="219"/>
      <c r="B1026" s="219"/>
      <c r="C1026" s="107">
        <v>64011204</v>
      </c>
      <c r="D1026" s="110" t="s">
        <v>1436</v>
      </c>
      <c r="E1026" s="110" t="s">
        <v>1437</v>
      </c>
      <c r="F1026" s="172">
        <v>3</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2.5</v>
      </c>
      <c r="Y1026" s="19">
        <v>0</v>
      </c>
      <c r="Z1026" s="72">
        <v>2250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27" t="s">
        <v>2270</v>
      </c>
      <c r="AV1026" s="118"/>
      <c r="AW1026" s="35" t="s">
        <v>205</v>
      </c>
      <c r="AX1026" s="100" t="s">
        <v>551</v>
      </c>
      <c r="AY1026" s="107">
        <v>10000001</v>
      </c>
      <c r="AZ1026" s="74">
        <v>21300020</v>
      </c>
      <c r="BA1026" s="35" t="s">
        <v>206</v>
      </c>
      <c r="BB1026" s="100">
        <v>0</v>
      </c>
      <c r="BC1026" s="105">
        <v>0</v>
      </c>
      <c r="BD1026" s="105">
        <v>0</v>
      </c>
      <c r="BE1026" s="185" t="str">
        <f t="shared" si="111"/>
        <v>运用自己擅长的魔法,立即对附近区域内的目标造成250%攻击伤害+2250点固定伤害,并使其眩晕1秒.如果目标有魔法印记状态则对目标额外造成30%*层数的伤害</v>
      </c>
      <c r="BF1026" s="185" t="s">
        <v>2274</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23" t="s">
        <v>2272</v>
      </c>
      <c r="BV1026" s="23"/>
      <c r="BW1026" s="23"/>
      <c r="BX1026" s="23"/>
      <c r="BY1026" s="23"/>
      <c r="BZ1026" s="23"/>
    </row>
    <row r="1027" spans="1:78" s="2" customFormat="1" ht="19.5" customHeight="1">
      <c r="A1027" s="219"/>
      <c r="B1027" s="219"/>
      <c r="C1027" s="107">
        <v>64011205</v>
      </c>
      <c r="D1027" s="110" t="s">
        <v>1436</v>
      </c>
      <c r="E1027" s="110" t="s">
        <v>1437</v>
      </c>
      <c r="F1027" s="172">
        <v>4</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2.75</v>
      </c>
      <c r="Y1027" s="19">
        <v>0</v>
      </c>
      <c r="Z1027" s="72">
        <v>3250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27" t="s">
        <v>2270</v>
      </c>
      <c r="AV1027" s="118"/>
      <c r="AW1027" s="35" t="s">
        <v>205</v>
      </c>
      <c r="AX1027" s="100" t="s">
        <v>551</v>
      </c>
      <c r="AY1027" s="107">
        <v>10000001</v>
      </c>
      <c r="AZ1027" s="74">
        <v>21300020</v>
      </c>
      <c r="BA1027" s="35" t="s">
        <v>206</v>
      </c>
      <c r="BB1027" s="100">
        <v>0</v>
      </c>
      <c r="BC1027" s="105">
        <v>0</v>
      </c>
      <c r="BD1027" s="105">
        <v>0</v>
      </c>
      <c r="BE1027" s="185" t="str">
        <f t="shared" si="111"/>
        <v>运用自己擅长的魔法,立即对附近区域内的目标造成275%攻击伤害+3250点固定伤害,并使其眩晕1秒.如果目标有魔法印记状态则对目标额外造成30%*层数的伤害</v>
      </c>
      <c r="BF1027" s="185" t="s">
        <v>2275</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23" t="s">
        <v>2272</v>
      </c>
      <c r="BV1027" s="23"/>
      <c r="BW1027" s="23"/>
      <c r="BX1027" s="23"/>
      <c r="BY1027" s="23"/>
      <c r="BZ1027" s="23"/>
    </row>
    <row r="1028" spans="1:78" s="2" customFormat="1" ht="19.5" customHeight="1">
      <c r="A1028" s="219"/>
      <c r="B1028" s="219"/>
      <c r="C1028" s="107">
        <v>64011206</v>
      </c>
      <c r="D1028" s="110" t="s">
        <v>1436</v>
      </c>
      <c r="E1028" s="110" t="s">
        <v>1437</v>
      </c>
      <c r="F1028" s="172">
        <v>5</v>
      </c>
      <c r="G1028" s="107">
        <v>64011201</v>
      </c>
      <c r="H1028" s="107">
        <v>0</v>
      </c>
      <c r="I1028" s="105">
        <v>0</v>
      </c>
      <c r="J1028" s="21">
        <v>3</v>
      </c>
      <c r="K1028" s="21">
        <v>0</v>
      </c>
      <c r="L1028" s="107">
        <v>0</v>
      </c>
      <c r="M1028" s="100">
        <v>0</v>
      </c>
      <c r="N1028" s="100">
        <v>0</v>
      </c>
      <c r="O1028" s="100">
        <v>1</v>
      </c>
      <c r="P1028" s="100">
        <v>0</v>
      </c>
      <c r="Q1028" s="100">
        <v>0</v>
      </c>
      <c r="R1028" s="100">
        <v>0</v>
      </c>
      <c r="S1028" s="99">
        <v>0</v>
      </c>
      <c r="T1028" s="100">
        <v>0</v>
      </c>
      <c r="U1028" s="100">
        <v>1</v>
      </c>
      <c r="V1028" s="100">
        <v>2</v>
      </c>
      <c r="W1028" s="100">
        <v>0</v>
      </c>
      <c r="X1028" s="72">
        <v>3</v>
      </c>
      <c r="Y1028" s="19">
        <v>0</v>
      </c>
      <c r="Z1028" s="72">
        <v>4250</v>
      </c>
      <c r="AA1028" s="100">
        <v>0</v>
      </c>
      <c r="AB1028" s="100">
        <v>0</v>
      </c>
      <c r="AC1028" s="100">
        <v>0</v>
      </c>
      <c r="AD1028" s="100">
        <v>0</v>
      </c>
      <c r="AE1028" s="100">
        <v>0</v>
      </c>
      <c r="AF1028" s="100">
        <v>9</v>
      </c>
      <c r="AG1028" s="32">
        <v>1</v>
      </c>
      <c r="AH1028" s="32">
        <v>3.5</v>
      </c>
      <c r="AI1028" s="19">
        <v>0</v>
      </c>
      <c r="AJ1028" s="19">
        <v>0</v>
      </c>
      <c r="AK1028" s="19">
        <v>0</v>
      </c>
      <c r="AL1028" s="19">
        <v>4</v>
      </c>
      <c r="AM1028" s="100">
        <v>0</v>
      </c>
      <c r="AN1028" s="100">
        <v>0</v>
      </c>
      <c r="AO1028" s="100">
        <v>0</v>
      </c>
      <c r="AP1028" s="32">
        <v>0.25</v>
      </c>
      <c r="AQ1028" s="100">
        <v>1000</v>
      </c>
      <c r="AR1028" s="100">
        <v>0.2</v>
      </c>
      <c r="AS1028" s="32">
        <v>0</v>
      </c>
      <c r="AT1028" s="99">
        <v>0</v>
      </c>
      <c r="AU1028" s="327" t="s">
        <v>2270</v>
      </c>
      <c r="AV1028" s="118"/>
      <c r="AW1028" s="35" t="s">
        <v>205</v>
      </c>
      <c r="AX1028" s="100" t="s">
        <v>551</v>
      </c>
      <c r="AY1028" s="107">
        <v>10000001</v>
      </c>
      <c r="AZ1028" s="74">
        <v>21300020</v>
      </c>
      <c r="BA1028" s="35" t="s">
        <v>206</v>
      </c>
      <c r="BB1028" s="100">
        <v>0</v>
      </c>
      <c r="BC1028" s="105">
        <v>0</v>
      </c>
      <c r="BD1028" s="105">
        <v>0</v>
      </c>
      <c r="BE1028" s="185" t="str">
        <f t="shared" si="111"/>
        <v>运用自己擅长的魔法,立即对附近区域内的目标造成300%攻击伤害+4250点固定伤害,并使其眩晕1秒.如果目标有魔法印记状态则对目标额外造成30%*层数的伤害</v>
      </c>
      <c r="BF1028" s="185" t="s">
        <v>2276</v>
      </c>
      <c r="BG1028" s="100">
        <v>0</v>
      </c>
      <c r="BH1028" s="100">
        <v>0</v>
      </c>
      <c r="BI1028" s="100">
        <v>0</v>
      </c>
      <c r="BJ1028" s="100">
        <v>0</v>
      </c>
      <c r="BK1028" s="100">
        <v>0</v>
      </c>
      <c r="BL1028" s="100">
        <v>0</v>
      </c>
      <c r="BM1028" s="97">
        <v>0</v>
      </c>
      <c r="BN1028" s="99">
        <v>0</v>
      </c>
      <c r="BO1028" s="99">
        <v>0</v>
      </c>
      <c r="BP1028" s="99">
        <v>0</v>
      </c>
      <c r="BQ1028" s="99">
        <v>0</v>
      </c>
      <c r="BR1028" s="99">
        <v>0</v>
      </c>
      <c r="BS1028" s="99">
        <v>0</v>
      </c>
      <c r="BT1028" s="99">
        <v>0</v>
      </c>
      <c r="BU1028" s="323" t="s">
        <v>2272</v>
      </c>
      <c r="BV1028" s="23"/>
      <c r="BW1028" s="23"/>
      <c r="BX1028" s="23"/>
      <c r="BY1028" s="23"/>
      <c r="BZ1028" s="23"/>
    </row>
    <row r="1029" spans="1:78" s="1" customFormat="1" ht="19.5" customHeight="1">
      <c r="A1029" s="218"/>
      <c r="B1029" s="218"/>
      <c r="C1029" s="74">
        <v>64011301</v>
      </c>
      <c r="D1029" s="71" t="s">
        <v>2277</v>
      </c>
      <c r="E1029" s="71" t="s">
        <v>2278</v>
      </c>
      <c r="F1029" s="172">
        <v>0</v>
      </c>
      <c r="G1029" s="74">
        <v>64011301</v>
      </c>
      <c r="H1029" s="74">
        <v>64011302</v>
      </c>
      <c r="I1029" s="75">
        <v>0</v>
      </c>
      <c r="J1029" s="21">
        <v>5</v>
      </c>
      <c r="K1029" s="21">
        <v>5</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44" t="s">
        <v>2279</v>
      </c>
      <c r="BC1029" s="75">
        <v>0</v>
      </c>
      <c r="BD1029" s="75">
        <v>0</v>
      </c>
      <c r="BE1029" s="76" t="s">
        <v>2280</v>
      </c>
      <c r="BF1029" s="76" t="s">
        <v>2281</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64011302</v>
      </c>
      <c r="D1030" s="71" t="s">
        <v>2277</v>
      </c>
      <c r="E1030" s="71" t="s">
        <v>2278</v>
      </c>
      <c r="F1030" s="172">
        <v>1</v>
      </c>
      <c r="G1030" s="74">
        <v>64011301</v>
      </c>
      <c r="H1030" s="74">
        <v>64011303</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44" t="s">
        <v>2279</v>
      </c>
      <c r="BC1030" s="75">
        <v>0</v>
      </c>
      <c r="BD1030" s="75">
        <v>0</v>
      </c>
      <c r="BE1030" s="76" t="s">
        <v>2280</v>
      </c>
      <c r="BF1030" s="76" t="s">
        <v>2281</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64011303</v>
      </c>
      <c r="D1031" s="71" t="s">
        <v>2277</v>
      </c>
      <c r="E1031" s="71" t="s">
        <v>2278</v>
      </c>
      <c r="F1031" s="172">
        <v>2</v>
      </c>
      <c r="G1031" s="74">
        <v>64011301</v>
      </c>
      <c r="H1031" s="74">
        <v>64011304</v>
      </c>
      <c r="I1031" s="75">
        <v>0</v>
      </c>
      <c r="J1031" s="21">
        <v>5</v>
      </c>
      <c r="K1031" s="21">
        <v>2</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44" t="s">
        <v>2282</v>
      </c>
      <c r="BC1031" s="75">
        <v>0</v>
      </c>
      <c r="BD1031" s="75">
        <v>0</v>
      </c>
      <c r="BE1031" s="76" t="s">
        <v>2283</v>
      </c>
      <c r="BF1031" s="76" t="s">
        <v>2284</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64011304</v>
      </c>
      <c r="D1032" s="71" t="s">
        <v>2277</v>
      </c>
      <c r="E1032" s="71" t="s">
        <v>2278</v>
      </c>
      <c r="F1032" s="172">
        <v>3</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44" t="s">
        <v>2285</v>
      </c>
      <c r="BC1032" s="75">
        <v>0</v>
      </c>
      <c r="BD1032" s="75">
        <v>0</v>
      </c>
      <c r="BE1032" s="76" t="s">
        <v>2286</v>
      </c>
      <c r="BF1032" s="76" t="s">
        <v>2287</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64011305</v>
      </c>
      <c r="D1033" s="71" t="s">
        <v>2277</v>
      </c>
      <c r="E1033" s="71" t="s">
        <v>2278</v>
      </c>
      <c r="F1033" s="172">
        <v>4</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44" t="s">
        <v>2288</v>
      </c>
      <c r="BC1033" s="75">
        <v>0</v>
      </c>
      <c r="BD1033" s="75">
        <v>0</v>
      </c>
      <c r="BE1033" s="76" t="s">
        <v>2289</v>
      </c>
      <c r="BF1033" s="76" t="s">
        <v>2290</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1" customFormat="1" ht="19.5" customHeight="1">
      <c r="A1034" s="218"/>
      <c r="B1034" s="218"/>
      <c r="C1034" s="74">
        <v>64011306</v>
      </c>
      <c r="D1034" s="71" t="s">
        <v>2277</v>
      </c>
      <c r="E1034" s="71" t="s">
        <v>2278</v>
      </c>
      <c r="F1034" s="172">
        <v>5</v>
      </c>
      <c r="G1034" s="74">
        <v>64011301</v>
      </c>
      <c r="H1034" s="74">
        <v>0</v>
      </c>
      <c r="I1034" s="75">
        <v>0</v>
      </c>
      <c r="J1034" s="21">
        <v>5</v>
      </c>
      <c r="K1034" s="21">
        <v>0</v>
      </c>
      <c r="L1034" s="74">
        <v>0</v>
      </c>
      <c r="M1034" s="72">
        <v>0</v>
      </c>
      <c r="N1034" s="72">
        <v>0</v>
      </c>
      <c r="O1034" s="72">
        <v>1</v>
      </c>
      <c r="P1034" s="72">
        <v>0</v>
      </c>
      <c r="Q1034" s="72">
        <v>0</v>
      </c>
      <c r="R1034" s="72">
        <v>0</v>
      </c>
      <c r="S1034" s="73">
        <v>0</v>
      </c>
      <c r="T1034" s="72">
        <v>0</v>
      </c>
      <c r="U1034" s="72">
        <v>1</v>
      </c>
      <c r="V1034" s="72">
        <v>1</v>
      </c>
      <c r="W1034" s="72">
        <v>0</v>
      </c>
      <c r="X1034" s="72">
        <v>0</v>
      </c>
      <c r="Y1034" s="19">
        <v>0</v>
      </c>
      <c r="Z1034" s="72">
        <v>0</v>
      </c>
      <c r="AA1034" s="72">
        <v>0</v>
      </c>
      <c r="AB1034" s="72">
        <v>0</v>
      </c>
      <c r="AC1034" s="72">
        <v>0</v>
      </c>
      <c r="AD1034" s="72">
        <v>0</v>
      </c>
      <c r="AE1034" s="72">
        <v>0</v>
      </c>
      <c r="AF1034" s="72">
        <v>24</v>
      </c>
      <c r="AG1034" s="72">
        <v>0</v>
      </c>
      <c r="AH1034" s="72">
        <v>0</v>
      </c>
      <c r="AI1034" s="73">
        <v>0</v>
      </c>
      <c r="AJ1034" s="73">
        <v>0</v>
      </c>
      <c r="AK1034" s="73">
        <v>0</v>
      </c>
      <c r="AL1034" s="73">
        <v>1.5</v>
      </c>
      <c r="AM1034" s="72">
        <v>0</v>
      </c>
      <c r="AN1034" s="72">
        <v>0</v>
      </c>
      <c r="AO1034" s="72">
        <v>0</v>
      </c>
      <c r="AP1034" s="74">
        <v>0.2</v>
      </c>
      <c r="AQ1034" s="72">
        <v>3000</v>
      </c>
      <c r="AR1034" s="72">
        <v>0.2</v>
      </c>
      <c r="AS1034" s="72">
        <v>0</v>
      </c>
      <c r="AT1034" s="73">
        <v>0</v>
      </c>
      <c r="AU1034" s="72" t="s">
        <v>204</v>
      </c>
      <c r="AV1034" s="72"/>
      <c r="AW1034" s="35" t="s">
        <v>205</v>
      </c>
      <c r="AX1034" s="72" t="s">
        <v>551</v>
      </c>
      <c r="AY1034" s="74">
        <v>0</v>
      </c>
      <c r="AZ1034" s="74">
        <v>21300030</v>
      </c>
      <c r="BA1034" s="71" t="s">
        <v>1180</v>
      </c>
      <c r="BB1034" s="344" t="s">
        <v>2291</v>
      </c>
      <c r="BC1034" s="75">
        <v>0</v>
      </c>
      <c r="BD1034" s="75">
        <v>0</v>
      </c>
      <c r="BE1034" s="76" t="s">
        <v>2292</v>
      </c>
      <c r="BF1034" s="76" t="s">
        <v>2293</v>
      </c>
      <c r="BG1034" s="72">
        <v>0</v>
      </c>
      <c r="BH1034" s="72">
        <v>0</v>
      </c>
      <c r="BI1034" s="72">
        <v>0</v>
      </c>
      <c r="BJ1034" s="72">
        <v>0</v>
      </c>
      <c r="BK1034" s="72">
        <v>0</v>
      </c>
      <c r="BL1034" s="72">
        <v>0</v>
      </c>
      <c r="BM1034" s="90">
        <v>0</v>
      </c>
      <c r="BN1034" s="73">
        <v>0</v>
      </c>
      <c r="BO1034" s="73">
        <v>0</v>
      </c>
      <c r="BP1034" s="73">
        <v>0</v>
      </c>
      <c r="BQ1034" s="73">
        <v>0</v>
      </c>
      <c r="BR1034" s="73">
        <v>0</v>
      </c>
      <c r="BS1034" s="73">
        <v>0</v>
      </c>
      <c r="BT1034" s="73">
        <v>0</v>
      </c>
      <c r="BU1034" s="73">
        <v>0</v>
      </c>
      <c r="BV1034" s="23"/>
      <c r="BW1034" s="23"/>
      <c r="BX1034" s="23"/>
      <c r="BY1034" s="23"/>
      <c r="BZ1034" s="23"/>
    </row>
    <row r="1035" spans="1:78" s="3" customFormat="1" ht="20.100000000000001" customHeight="1">
      <c r="A1035" s="220"/>
      <c r="B1035" s="220"/>
      <c r="C1035" s="221">
        <v>64011401</v>
      </c>
      <c r="D1035" s="222" t="s">
        <v>2294</v>
      </c>
      <c r="E1035" s="223" t="s">
        <v>2295</v>
      </c>
      <c r="F1035" s="224">
        <v>1</v>
      </c>
      <c r="G1035" s="225">
        <v>63021101</v>
      </c>
      <c r="H1035" s="221">
        <v>0</v>
      </c>
      <c r="I1035" s="226">
        <v>0</v>
      </c>
      <c r="J1035" s="221">
        <v>1</v>
      </c>
      <c r="K1035" s="225">
        <v>0</v>
      </c>
      <c r="L1035" s="221">
        <v>0</v>
      </c>
      <c r="M1035" s="225">
        <v>0</v>
      </c>
      <c r="N1035" s="225">
        <v>0</v>
      </c>
      <c r="O1035" s="225">
        <v>2</v>
      </c>
      <c r="P1035" s="225">
        <v>1</v>
      </c>
      <c r="Q1035" s="225">
        <v>0.2</v>
      </c>
      <c r="R1035" s="225">
        <v>0</v>
      </c>
      <c r="S1035" s="227">
        <v>0</v>
      </c>
      <c r="T1035" s="225">
        <v>0</v>
      </c>
      <c r="U1035" s="225">
        <v>1</v>
      </c>
      <c r="V1035" s="225">
        <v>1</v>
      </c>
      <c r="W1035" s="225">
        <v>0</v>
      </c>
      <c r="X1035" s="225">
        <v>2</v>
      </c>
      <c r="Y1035" s="19">
        <v>0</v>
      </c>
      <c r="Z1035" s="225">
        <v>0</v>
      </c>
      <c r="AA1035" s="225">
        <v>0</v>
      </c>
      <c r="AB1035" s="225">
        <v>0</v>
      </c>
      <c r="AC1035" s="225">
        <v>0</v>
      </c>
      <c r="AD1035" s="225">
        <v>0</v>
      </c>
      <c r="AE1035" s="225">
        <v>0</v>
      </c>
      <c r="AF1035" s="225">
        <v>0</v>
      </c>
      <c r="AG1035" s="225">
        <v>1</v>
      </c>
      <c r="AH1035" s="225">
        <v>5</v>
      </c>
      <c r="AI1035" s="227">
        <v>0</v>
      </c>
      <c r="AJ1035" s="227">
        <v>1</v>
      </c>
      <c r="AK1035" s="227">
        <v>0</v>
      </c>
      <c r="AL1035" s="227">
        <v>2</v>
      </c>
      <c r="AM1035" s="225">
        <v>0</v>
      </c>
      <c r="AN1035" s="225">
        <v>0</v>
      </c>
      <c r="AO1035" s="225">
        <v>0</v>
      </c>
      <c r="AP1035" s="225">
        <v>0</v>
      </c>
      <c r="AQ1035" s="225">
        <v>1000</v>
      </c>
      <c r="AR1035" s="225">
        <v>0.2</v>
      </c>
      <c r="AS1035" s="225">
        <v>0</v>
      </c>
      <c r="AT1035" s="227">
        <v>0</v>
      </c>
      <c r="AU1035" s="345" t="s">
        <v>2270</v>
      </c>
      <c r="AV1035" s="228"/>
      <c r="AW1035" s="229" t="s">
        <v>204</v>
      </c>
      <c r="AX1035" s="225" t="s">
        <v>551</v>
      </c>
      <c r="AY1035" s="221">
        <v>10000001</v>
      </c>
      <c r="AZ1035" s="74">
        <v>77005002</v>
      </c>
      <c r="BA1035" s="222" t="s">
        <v>206</v>
      </c>
      <c r="BB1035" s="225">
        <v>0</v>
      </c>
      <c r="BC1035" s="226">
        <v>0</v>
      </c>
      <c r="BD1035" s="226">
        <v>0</v>
      </c>
      <c r="BE1035" s="230" t="s">
        <v>2296</v>
      </c>
      <c r="BF1035" s="230" t="s">
        <v>2297</v>
      </c>
      <c r="BG1035" s="225">
        <v>0</v>
      </c>
      <c r="BH1035" s="225">
        <v>0</v>
      </c>
      <c r="BI1035" s="225">
        <v>0</v>
      </c>
      <c r="BJ1035" s="225">
        <v>0</v>
      </c>
      <c r="BK1035" s="225">
        <v>0</v>
      </c>
      <c r="BL1035" s="225">
        <v>0</v>
      </c>
      <c r="BM1035" s="224">
        <v>0</v>
      </c>
      <c r="BN1035" s="227">
        <v>0</v>
      </c>
      <c r="BO1035" s="227">
        <v>0</v>
      </c>
      <c r="BP1035" s="227">
        <v>0</v>
      </c>
      <c r="BQ1035" s="227">
        <v>0</v>
      </c>
      <c r="BR1035" s="227">
        <v>0</v>
      </c>
      <c r="BS1035" s="227">
        <v>0</v>
      </c>
      <c r="BT1035" s="227">
        <v>0</v>
      </c>
      <c r="BU1035" s="227">
        <v>0</v>
      </c>
      <c r="BV1035" s="23"/>
      <c r="BW1035" s="23"/>
      <c r="BX1035" s="23"/>
      <c r="BY1035" s="23"/>
      <c r="BZ1035" s="23"/>
    </row>
    <row r="1036" spans="1:78" s="3" customFormat="1" ht="20.100000000000001" customHeight="1">
      <c r="C1036" s="221">
        <v>64011501</v>
      </c>
      <c r="D1036" s="222" t="s">
        <v>2298</v>
      </c>
      <c r="E1036" s="223" t="s">
        <v>2299</v>
      </c>
      <c r="F1036" s="224">
        <v>1</v>
      </c>
      <c r="G1036" s="224">
        <v>0</v>
      </c>
      <c r="H1036" s="225">
        <v>0</v>
      </c>
      <c r="I1036" s="226">
        <v>0</v>
      </c>
      <c r="J1036" s="221">
        <v>1</v>
      </c>
      <c r="K1036" s="221">
        <v>0</v>
      </c>
      <c r="L1036" s="221">
        <v>0</v>
      </c>
      <c r="M1036" s="225">
        <v>0</v>
      </c>
      <c r="N1036" s="225">
        <v>0</v>
      </c>
      <c r="O1036" s="225">
        <v>2</v>
      </c>
      <c r="P1036" s="225">
        <v>16</v>
      </c>
      <c r="Q1036" s="225">
        <v>8</v>
      </c>
      <c r="R1036" s="225">
        <v>0</v>
      </c>
      <c r="S1036" s="227">
        <v>0</v>
      </c>
      <c r="T1036" s="225">
        <v>0</v>
      </c>
      <c r="U1036" s="225">
        <v>1</v>
      </c>
      <c r="V1036" s="224">
        <v>1</v>
      </c>
      <c r="W1036" s="225">
        <v>0</v>
      </c>
      <c r="X1036" s="225">
        <v>0</v>
      </c>
      <c r="Y1036" s="19">
        <v>0</v>
      </c>
      <c r="Z1036" s="225">
        <v>0</v>
      </c>
      <c r="AA1036" s="225">
        <v>1</v>
      </c>
      <c r="AB1036" s="225">
        <v>0</v>
      </c>
      <c r="AC1036" s="225">
        <v>0</v>
      </c>
      <c r="AD1036" s="225">
        <v>0</v>
      </c>
      <c r="AE1036" s="225">
        <v>1</v>
      </c>
      <c r="AF1036" s="225">
        <v>12</v>
      </c>
      <c r="AG1036" s="225">
        <v>2</v>
      </c>
      <c r="AH1036" s="225" t="s">
        <v>219</v>
      </c>
      <c r="AI1036" s="227">
        <v>0</v>
      </c>
      <c r="AJ1036" s="227">
        <v>2</v>
      </c>
      <c r="AK1036" s="227">
        <v>0</v>
      </c>
      <c r="AL1036" s="227">
        <v>1.5</v>
      </c>
      <c r="AM1036" s="225">
        <v>0</v>
      </c>
      <c r="AN1036" s="225">
        <v>0</v>
      </c>
      <c r="AO1036" s="225">
        <v>0</v>
      </c>
      <c r="AP1036" s="225">
        <v>0.5</v>
      </c>
      <c r="AQ1036" s="225">
        <v>600</v>
      </c>
      <c r="AR1036" s="225">
        <v>0</v>
      </c>
      <c r="AS1036" s="225">
        <v>12</v>
      </c>
      <c r="AT1036" s="227">
        <v>0</v>
      </c>
      <c r="AU1036" s="228">
        <v>0</v>
      </c>
      <c r="AV1036" s="228"/>
      <c r="AW1036" s="222" t="s">
        <v>205</v>
      </c>
      <c r="AX1036" s="225" t="s">
        <v>221</v>
      </c>
      <c r="AY1036" s="221">
        <v>10000011</v>
      </c>
      <c r="AZ1036" s="74">
        <v>0</v>
      </c>
      <c r="BA1036" s="222" t="s">
        <v>222</v>
      </c>
      <c r="BB1036" s="225">
        <v>0</v>
      </c>
      <c r="BC1036" s="226">
        <v>0</v>
      </c>
      <c r="BD1036" s="226">
        <v>0</v>
      </c>
      <c r="BE1036" s="230" t="s">
        <v>2300</v>
      </c>
      <c r="BF1036" s="230" t="s">
        <v>2301</v>
      </c>
      <c r="BG1036" s="225">
        <v>0</v>
      </c>
      <c r="BH1036" s="225">
        <v>0</v>
      </c>
      <c r="BI1036" s="225">
        <v>0</v>
      </c>
      <c r="BJ1036" s="225">
        <v>0</v>
      </c>
      <c r="BK1036" s="225">
        <v>0</v>
      </c>
      <c r="BL1036" s="225">
        <v>0</v>
      </c>
      <c r="BM1036" s="224">
        <v>0</v>
      </c>
      <c r="BN1036" s="227">
        <v>0</v>
      </c>
      <c r="BO1036" s="227">
        <v>0</v>
      </c>
      <c r="BP1036" s="227">
        <v>0</v>
      </c>
      <c r="BQ1036" s="227">
        <v>0</v>
      </c>
      <c r="BR1036" s="227">
        <v>0</v>
      </c>
      <c r="BS1036" s="227">
        <v>1</v>
      </c>
      <c r="BT1036" s="227">
        <v>64011502</v>
      </c>
      <c r="BU1036" s="227">
        <v>0</v>
      </c>
      <c r="BV1036" s="23"/>
      <c r="BW1036" s="23"/>
      <c r="BX1036" s="23"/>
      <c r="BY1036" s="23"/>
      <c r="BZ1036" s="23"/>
    </row>
    <row r="1037" spans="1:78" s="3" customFormat="1" ht="20.100000000000001" customHeight="1">
      <c r="A1037" s="220"/>
      <c r="B1037" s="220"/>
      <c r="C1037" s="221">
        <v>64011502</v>
      </c>
      <c r="D1037" s="222" t="s">
        <v>2302</v>
      </c>
      <c r="E1037" s="223" t="s">
        <v>2303</v>
      </c>
      <c r="F1037" s="224">
        <v>1</v>
      </c>
      <c r="G1037" s="225">
        <v>63021101</v>
      </c>
      <c r="H1037" s="221">
        <v>0</v>
      </c>
      <c r="I1037" s="226">
        <v>0</v>
      </c>
      <c r="J1037" s="221">
        <v>1</v>
      </c>
      <c r="K1037" s="225">
        <v>0</v>
      </c>
      <c r="L1037" s="221">
        <v>0</v>
      </c>
      <c r="M1037" s="225">
        <v>0</v>
      </c>
      <c r="N1037" s="225">
        <v>0</v>
      </c>
      <c r="O1037" s="225">
        <v>2</v>
      </c>
      <c r="P1037" s="225">
        <v>16</v>
      </c>
      <c r="Q1037" s="225">
        <v>1</v>
      </c>
      <c r="R1037" s="225">
        <v>0</v>
      </c>
      <c r="S1037" s="227">
        <v>0</v>
      </c>
      <c r="T1037" s="225">
        <v>0</v>
      </c>
      <c r="U1037" s="225">
        <v>1</v>
      </c>
      <c r="V1037" s="225">
        <v>1</v>
      </c>
      <c r="W1037" s="225">
        <v>0</v>
      </c>
      <c r="X1037" s="225">
        <v>2</v>
      </c>
      <c r="Y1037" s="19">
        <v>0</v>
      </c>
      <c r="Z1037" s="225">
        <v>0</v>
      </c>
      <c r="AA1037" s="225">
        <v>0</v>
      </c>
      <c r="AB1037" s="225">
        <v>0</v>
      </c>
      <c r="AC1037" s="225">
        <v>0</v>
      </c>
      <c r="AD1037" s="225">
        <v>0</v>
      </c>
      <c r="AE1037" s="225">
        <v>0</v>
      </c>
      <c r="AF1037" s="225">
        <v>0</v>
      </c>
      <c r="AG1037" s="225">
        <v>1</v>
      </c>
      <c r="AH1037" s="225">
        <v>5</v>
      </c>
      <c r="AI1037" s="227">
        <v>0</v>
      </c>
      <c r="AJ1037" s="227">
        <v>1</v>
      </c>
      <c r="AK1037" s="227">
        <v>0</v>
      </c>
      <c r="AL1037" s="227">
        <v>2</v>
      </c>
      <c r="AM1037" s="225">
        <v>0</v>
      </c>
      <c r="AN1037" s="225">
        <v>0</v>
      </c>
      <c r="AO1037" s="225">
        <v>0</v>
      </c>
      <c r="AP1037" s="225">
        <v>0</v>
      </c>
      <c r="AQ1037" s="225">
        <v>400</v>
      </c>
      <c r="AR1037" s="225">
        <v>0.2</v>
      </c>
      <c r="AS1037" s="225">
        <v>0</v>
      </c>
      <c r="AT1037" s="227">
        <v>0</v>
      </c>
      <c r="AU1037" s="345" t="s">
        <v>2270</v>
      </c>
      <c r="AV1037" s="228"/>
      <c r="AW1037" s="229" t="s">
        <v>204</v>
      </c>
      <c r="AX1037" s="225" t="s">
        <v>551</v>
      </c>
      <c r="AY1037" s="221">
        <v>10000001</v>
      </c>
      <c r="AZ1037" s="74">
        <v>77005002</v>
      </c>
      <c r="BA1037" s="222" t="s">
        <v>206</v>
      </c>
      <c r="BB1037" s="225">
        <v>0</v>
      </c>
      <c r="BC1037" s="226">
        <v>0</v>
      </c>
      <c r="BD1037" s="226">
        <v>0</v>
      </c>
      <c r="BE1037" s="230" t="s">
        <v>2296</v>
      </c>
      <c r="BF1037" s="230" t="s">
        <v>2297</v>
      </c>
      <c r="BG1037" s="225">
        <v>0</v>
      </c>
      <c r="BH1037" s="225">
        <v>0</v>
      </c>
      <c r="BI1037" s="225">
        <v>0</v>
      </c>
      <c r="BJ1037" s="225">
        <v>0</v>
      </c>
      <c r="BK1037" s="225">
        <v>0</v>
      </c>
      <c r="BL1037" s="225">
        <v>0</v>
      </c>
      <c r="BM1037" s="224">
        <v>0</v>
      </c>
      <c r="BN1037" s="227">
        <v>0</v>
      </c>
      <c r="BO1037" s="227">
        <v>0</v>
      </c>
      <c r="BP1037" s="227">
        <v>0</v>
      </c>
      <c r="BQ1037" s="227">
        <v>0</v>
      </c>
      <c r="BR1037" s="227">
        <v>0</v>
      </c>
      <c r="BS1037" s="227">
        <v>0</v>
      </c>
      <c r="BT1037" s="227">
        <v>64011503</v>
      </c>
      <c r="BU1037" s="227">
        <v>0</v>
      </c>
      <c r="BV1037" s="23"/>
      <c r="BW1037" s="23"/>
      <c r="BX1037" s="23"/>
      <c r="BY1037" s="23"/>
      <c r="BZ1037" s="23"/>
    </row>
    <row r="1038" spans="1:78" s="3" customFormat="1" ht="20.100000000000001" customHeight="1">
      <c r="C1038" s="221">
        <v>64011503</v>
      </c>
      <c r="D1038" s="222" t="s">
        <v>766</v>
      </c>
      <c r="E1038" s="223" t="s">
        <v>767</v>
      </c>
      <c r="F1038" s="224">
        <v>1</v>
      </c>
      <c r="G1038" s="224">
        <v>0</v>
      </c>
      <c r="H1038" s="225">
        <v>0</v>
      </c>
      <c r="I1038" s="226">
        <v>0</v>
      </c>
      <c r="J1038" s="221">
        <v>1</v>
      </c>
      <c r="K1038" s="221">
        <v>0</v>
      </c>
      <c r="L1038" s="221">
        <v>0</v>
      </c>
      <c r="M1038" s="225">
        <v>0</v>
      </c>
      <c r="N1038" s="225">
        <v>0</v>
      </c>
      <c r="O1038" s="225">
        <v>2</v>
      </c>
      <c r="P1038" s="225">
        <v>16</v>
      </c>
      <c r="Q1038" s="225">
        <v>1</v>
      </c>
      <c r="R1038" s="225">
        <v>0</v>
      </c>
      <c r="S1038" s="227">
        <v>0</v>
      </c>
      <c r="T1038" s="225">
        <v>0</v>
      </c>
      <c r="U1038" s="225">
        <v>1</v>
      </c>
      <c r="V1038" s="224">
        <v>1</v>
      </c>
      <c r="W1038" s="225">
        <v>0</v>
      </c>
      <c r="X1038" s="225">
        <v>0</v>
      </c>
      <c r="Y1038" s="19">
        <v>0</v>
      </c>
      <c r="Z1038" s="225">
        <v>0</v>
      </c>
      <c r="AA1038" s="225">
        <v>1</v>
      </c>
      <c r="AB1038" s="225">
        <v>0</v>
      </c>
      <c r="AC1038" s="225">
        <v>0</v>
      </c>
      <c r="AD1038" s="225">
        <v>0</v>
      </c>
      <c r="AE1038" s="225">
        <v>1</v>
      </c>
      <c r="AF1038" s="225">
        <v>12</v>
      </c>
      <c r="AG1038" s="225">
        <v>2</v>
      </c>
      <c r="AH1038" s="225" t="s">
        <v>219</v>
      </c>
      <c r="AI1038" s="227">
        <v>0</v>
      </c>
      <c r="AJ1038" s="227">
        <v>2</v>
      </c>
      <c r="AK1038" s="227">
        <v>0</v>
      </c>
      <c r="AL1038" s="227">
        <v>1.5</v>
      </c>
      <c r="AM1038" s="225">
        <v>0</v>
      </c>
      <c r="AN1038" s="225">
        <v>0</v>
      </c>
      <c r="AO1038" s="225">
        <v>0</v>
      </c>
      <c r="AP1038" s="225">
        <v>0.5</v>
      </c>
      <c r="AQ1038" s="225">
        <v>600</v>
      </c>
      <c r="AR1038" s="225">
        <v>0</v>
      </c>
      <c r="AS1038" s="225">
        <v>12</v>
      </c>
      <c r="AT1038" s="227">
        <v>0</v>
      </c>
      <c r="AU1038" s="228">
        <v>0</v>
      </c>
      <c r="AV1038" s="228"/>
      <c r="AW1038" s="222" t="s">
        <v>205</v>
      </c>
      <c r="AX1038" s="225" t="s">
        <v>221</v>
      </c>
      <c r="AY1038" s="221">
        <v>10000011</v>
      </c>
      <c r="AZ1038" s="74">
        <v>0</v>
      </c>
      <c r="BA1038" s="222" t="s">
        <v>222</v>
      </c>
      <c r="BB1038" s="225">
        <v>0</v>
      </c>
      <c r="BC1038" s="226">
        <v>0</v>
      </c>
      <c r="BD1038" s="226">
        <v>0</v>
      </c>
      <c r="BE1038" s="230" t="s">
        <v>2300</v>
      </c>
      <c r="BF1038" s="230" t="s">
        <v>2301</v>
      </c>
      <c r="BG1038" s="225">
        <v>0</v>
      </c>
      <c r="BH1038" s="225">
        <v>0</v>
      </c>
      <c r="BI1038" s="225">
        <v>0</v>
      </c>
      <c r="BJ1038" s="225">
        <v>0</v>
      </c>
      <c r="BK1038" s="225">
        <v>0</v>
      </c>
      <c r="BL1038" s="225">
        <v>0</v>
      </c>
      <c r="BM1038" s="224">
        <v>0</v>
      </c>
      <c r="BN1038" s="227">
        <v>0</v>
      </c>
      <c r="BO1038" s="227">
        <v>0</v>
      </c>
      <c r="BP1038" s="227">
        <v>0</v>
      </c>
      <c r="BQ1038" s="227">
        <v>0</v>
      </c>
      <c r="BR1038" s="227">
        <v>0</v>
      </c>
      <c r="BS1038" s="227">
        <v>1</v>
      </c>
      <c r="BT1038" s="227">
        <v>64011504</v>
      </c>
      <c r="BU1038" s="227">
        <v>0</v>
      </c>
      <c r="BV1038" s="23"/>
      <c r="BW1038" s="23"/>
      <c r="BX1038" s="23"/>
      <c r="BY1038" s="23"/>
      <c r="BZ1038" s="23"/>
    </row>
    <row r="1039" spans="1:78" s="3" customFormat="1" ht="20.100000000000001" customHeight="1">
      <c r="A1039" s="220"/>
      <c r="B1039" s="220"/>
      <c r="C1039" s="221">
        <v>64011504</v>
      </c>
      <c r="D1039" s="222" t="s">
        <v>2302</v>
      </c>
      <c r="E1039" s="223" t="s">
        <v>2303</v>
      </c>
      <c r="F1039" s="224">
        <v>1</v>
      </c>
      <c r="G1039" s="225">
        <v>63021101</v>
      </c>
      <c r="H1039" s="221">
        <v>0</v>
      </c>
      <c r="I1039" s="226">
        <v>0</v>
      </c>
      <c r="J1039" s="221">
        <v>1</v>
      </c>
      <c r="K1039" s="225">
        <v>0</v>
      </c>
      <c r="L1039" s="221">
        <v>0</v>
      </c>
      <c r="M1039" s="225">
        <v>0</v>
      </c>
      <c r="N1039" s="225">
        <v>0</v>
      </c>
      <c r="O1039" s="225">
        <v>2</v>
      </c>
      <c r="P1039" s="225">
        <v>16</v>
      </c>
      <c r="Q1039" s="225">
        <v>4</v>
      </c>
      <c r="R1039" s="225">
        <v>0</v>
      </c>
      <c r="S1039" s="227">
        <v>0</v>
      </c>
      <c r="T1039" s="225">
        <v>0</v>
      </c>
      <c r="U1039" s="225">
        <v>1</v>
      </c>
      <c r="V1039" s="225">
        <v>1</v>
      </c>
      <c r="W1039" s="225">
        <v>0</v>
      </c>
      <c r="X1039" s="225">
        <v>2</v>
      </c>
      <c r="Y1039" s="19">
        <v>0</v>
      </c>
      <c r="Z1039" s="225">
        <v>0</v>
      </c>
      <c r="AA1039" s="225">
        <v>0</v>
      </c>
      <c r="AB1039" s="225">
        <v>0</v>
      </c>
      <c r="AC1039" s="225">
        <v>0</v>
      </c>
      <c r="AD1039" s="225">
        <v>0</v>
      </c>
      <c r="AE1039" s="225">
        <v>0</v>
      </c>
      <c r="AF1039" s="225">
        <v>0</v>
      </c>
      <c r="AG1039" s="225">
        <v>1</v>
      </c>
      <c r="AH1039" s="225">
        <v>5</v>
      </c>
      <c r="AI1039" s="227">
        <v>0</v>
      </c>
      <c r="AJ1039" s="227">
        <v>1</v>
      </c>
      <c r="AK1039" s="227">
        <v>0</v>
      </c>
      <c r="AL1039" s="227">
        <v>2</v>
      </c>
      <c r="AM1039" s="225">
        <v>0</v>
      </c>
      <c r="AN1039" s="225">
        <v>0</v>
      </c>
      <c r="AO1039" s="225">
        <v>0</v>
      </c>
      <c r="AP1039" s="225">
        <v>0</v>
      </c>
      <c r="AQ1039" s="225">
        <v>400</v>
      </c>
      <c r="AR1039" s="225">
        <v>0.2</v>
      </c>
      <c r="AS1039" s="225">
        <v>0</v>
      </c>
      <c r="AT1039" s="227">
        <v>0</v>
      </c>
      <c r="AU1039" s="345" t="s">
        <v>2270</v>
      </c>
      <c r="AV1039" s="228"/>
      <c r="AW1039" s="229" t="s">
        <v>204</v>
      </c>
      <c r="AX1039" s="225" t="s">
        <v>551</v>
      </c>
      <c r="AY1039" s="221">
        <v>10000001</v>
      </c>
      <c r="AZ1039" s="74">
        <v>77005002</v>
      </c>
      <c r="BA1039" s="222" t="s">
        <v>206</v>
      </c>
      <c r="BB1039" s="225">
        <v>0</v>
      </c>
      <c r="BC1039" s="226">
        <v>0</v>
      </c>
      <c r="BD1039" s="226">
        <v>0</v>
      </c>
      <c r="BE1039" s="230" t="s">
        <v>2296</v>
      </c>
      <c r="BF1039" s="230" t="s">
        <v>2297</v>
      </c>
      <c r="BG1039" s="225">
        <v>0</v>
      </c>
      <c r="BH1039" s="225">
        <v>0</v>
      </c>
      <c r="BI1039" s="225">
        <v>0</v>
      </c>
      <c r="BJ1039" s="225">
        <v>0</v>
      </c>
      <c r="BK1039" s="225">
        <v>0</v>
      </c>
      <c r="BL1039" s="225">
        <v>0</v>
      </c>
      <c r="BM1039" s="224">
        <v>0</v>
      </c>
      <c r="BN1039" s="227">
        <v>0</v>
      </c>
      <c r="BO1039" s="227">
        <v>0</v>
      </c>
      <c r="BP1039" s="227">
        <v>0</v>
      </c>
      <c r="BQ1039" s="227">
        <v>0</v>
      </c>
      <c r="BR1039" s="227">
        <v>0</v>
      </c>
      <c r="BS1039" s="227">
        <v>0</v>
      </c>
      <c r="BT1039" s="227">
        <v>64011505</v>
      </c>
      <c r="BU1039" s="227">
        <v>0</v>
      </c>
      <c r="BV1039" s="23"/>
      <c r="BW1039" s="23"/>
      <c r="BX1039" s="23"/>
      <c r="BY1039" s="23"/>
      <c r="BZ1039" s="23"/>
    </row>
    <row r="1040" spans="1:78" s="3" customFormat="1" ht="20.100000000000001" customHeight="1">
      <c r="C1040" s="221">
        <v>64011505</v>
      </c>
      <c r="D1040" s="222" t="s">
        <v>766</v>
      </c>
      <c r="E1040" s="223" t="s">
        <v>767</v>
      </c>
      <c r="F1040" s="224">
        <v>1</v>
      </c>
      <c r="G1040" s="224">
        <v>0</v>
      </c>
      <c r="H1040" s="225">
        <v>0</v>
      </c>
      <c r="I1040" s="226">
        <v>0</v>
      </c>
      <c r="J1040" s="221">
        <v>1</v>
      </c>
      <c r="K1040" s="221">
        <v>0</v>
      </c>
      <c r="L1040" s="221">
        <v>0</v>
      </c>
      <c r="M1040" s="225">
        <v>0</v>
      </c>
      <c r="N1040" s="225">
        <v>0</v>
      </c>
      <c r="O1040" s="225">
        <v>2</v>
      </c>
      <c r="P1040" s="225">
        <v>16</v>
      </c>
      <c r="Q1040" s="225">
        <v>1</v>
      </c>
      <c r="R1040" s="225">
        <v>0</v>
      </c>
      <c r="S1040" s="227">
        <v>0</v>
      </c>
      <c r="T1040" s="225">
        <v>0</v>
      </c>
      <c r="U1040" s="225">
        <v>1</v>
      </c>
      <c r="V1040" s="224">
        <v>1</v>
      </c>
      <c r="W1040" s="225">
        <v>0</v>
      </c>
      <c r="X1040" s="225">
        <v>0</v>
      </c>
      <c r="Y1040" s="19">
        <v>0</v>
      </c>
      <c r="Z1040" s="225">
        <v>0</v>
      </c>
      <c r="AA1040" s="225">
        <v>1</v>
      </c>
      <c r="AB1040" s="225">
        <v>0</v>
      </c>
      <c r="AC1040" s="225">
        <v>0</v>
      </c>
      <c r="AD1040" s="225">
        <v>0</v>
      </c>
      <c r="AE1040" s="225">
        <v>1</v>
      </c>
      <c r="AF1040" s="225">
        <v>12</v>
      </c>
      <c r="AG1040" s="225">
        <v>2</v>
      </c>
      <c r="AH1040" s="225" t="s">
        <v>219</v>
      </c>
      <c r="AI1040" s="227">
        <v>0</v>
      </c>
      <c r="AJ1040" s="227">
        <v>2</v>
      </c>
      <c r="AK1040" s="227">
        <v>0</v>
      </c>
      <c r="AL1040" s="227">
        <v>1.5</v>
      </c>
      <c r="AM1040" s="225">
        <v>0</v>
      </c>
      <c r="AN1040" s="225">
        <v>0</v>
      </c>
      <c r="AO1040" s="225">
        <v>0</v>
      </c>
      <c r="AP1040" s="225">
        <v>0.5</v>
      </c>
      <c r="AQ1040" s="225">
        <v>600</v>
      </c>
      <c r="AR1040" s="225">
        <v>0</v>
      </c>
      <c r="AS1040" s="225">
        <v>12</v>
      </c>
      <c r="AT1040" s="227">
        <v>0</v>
      </c>
      <c r="AU1040" s="228">
        <v>0</v>
      </c>
      <c r="AV1040" s="228"/>
      <c r="AW1040" s="222" t="s">
        <v>205</v>
      </c>
      <c r="AX1040" s="225" t="s">
        <v>221</v>
      </c>
      <c r="AY1040" s="221">
        <v>10000011</v>
      </c>
      <c r="AZ1040" s="74">
        <v>0</v>
      </c>
      <c r="BA1040" s="222" t="s">
        <v>222</v>
      </c>
      <c r="BB1040" s="225">
        <v>0</v>
      </c>
      <c r="BC1040" s="226">
        <v>0</v>
      </c>
      <c r="BD1040" s="226">
        <v>0</v>
      </c>
      <c r="BE1040" s="230" t="s">
        <v>2300</v>
      </c>
      <c r="BF1040" s="230" t="s">
        <v>2301</v>
      </c>
      <c r="BG1040" s="225">
        <v>0</v>
      </c>
      <c r="BH1040" s="225">
        <v>0</v>
      </c>
      <c r="BI1040" s="225">
        <v>0</v>
      </c>
      <c r="BJ1040" s="225">
        <v>0</v>
      </c>
      <c r="BK1040" s="225">
        <v>0</v>
      </c>
      <c r="BL1040" s="225">
        <v>0</v>
      </c>
      <c r="BM1040" s="224">
        <v>0</v>
      </c>
      <c r="BN1040" s="227">
        <v>0</v>
      </c>
      <c r="BO1040" s="227">
        <v>0</v>
      </c>
      <c r="BP1040" s="227">
        <v>0</v>
      </c>
      <c r="BQ1040" s="227">
        <v>0</v>
      </c>
      <c r="BR1040" s="227">
        <v>0</v>
      </c>
      <c r="BS1040" s="227">
        <v>1</v>
      </c>
      <c r="BT1040" s="227">
        <v>64011506</v>
      </c>
      <c r="BU1040" s="227">
        <v>0</v>
      </c>
      <c r="BV1040" s="23"/>
      <c r="BW1040" s="23"/>
      <c r="BX1040" s="23"/>
      <c r="BY1040" s="23"/>
      <c r="BZ1040" s="23"/>
    </row>
    <row r="1041" spans="1:78" s="3" customFormat="1" ht="20.100000000000001" customHeight="1">
      <c r="A1041" s="220"/>
      <c r="B1041" s="220"/>
      <c r="C1041" s="221">
        <v>64011506</v>
      </c>
      <c r="D1041" s="222" t="s">
        <v>2302</v>
      </c>
      <c r="E1041" s="223" t="s">
        <v>2303</v>
      </c>
      <c r="F1041" s="224">
        <v>1</v>
      </c>
      <c r="G1041" s="225">
        <v>63021101</v>
      </c>
      <c r="H1041" s="221">
        <v>0</v>
      </c>
      <c r="I1041" s="226">
        <v>0</v>
      </c>
      <c r="J1041" s="221">
        <v>1</v>
      </c>
      <c r="K1041" s="225">
        <v>0</v>
      </c>
      <c r="L1041" s="221">
        <v>0</v>
      </c>
      <c r="M1041" s="225">
        <v>0</v>
      </c>
      <c r="N1041" s="225">
        <v>0</v>
      </c>
      <c r="O1041" s="225">
        <v>2</v>
      </c>
      <c r="P1041" s="225">
        <v>16</v>
      </c>
      <c r="Q1041" s="225">
        <v>4</v>
      </c>
      <c r="R1041" s="225">
        <v>0</v>
      </c>
      <c r="S1041" s="227">
        <v>0</v>
      </c>
      <c r="T1041" s="225">
        <v>0</v>
      </c>
      <c r="U1041" s="225">
        <v>1</v>
      </c>
      <c r="V1041" s="225">
        <v>1</v>
      </c>
      <c r="W1041" s="225">
        <v>0</v>
      </c>
      <c r="X1041" s="225">
        <v>2</v>
      </c>
      <c r="Y1041" s="19">
        <v>0</v>
      </c>
      <c r="Z1041" s="225">
        <v>0</v>
      </c>
      <c r="AA1041" s="225">
        <v>0</v>
      </c>
      <c r="AB1041" s="225">
        <v>0</v>
      </c>
      <c r="AC1041" s="225">
        <v>0</v>
      </c>
      <c r="AD1041" s="225">
        <v>0</v>
      </c>
      <c r="AE1041" s="225">
        <v>0</v>
      </c>
      <c r="AF1041" s="225">
        <v>0</v>
      </c>
      <c r="AG1041" s="225">
        <v>1</v>
      </c>
      <c r="AH1041" s="225">
        <v>5</v>
      </c>
      <c r="AI1041" s="227">
        <v>0</v>
      </c>
      <c r="AJ1041" s="227">
        <v>1</v>
      </c>
      <c r="AK1041" s="227">
        <v>0</v>
      </c>
      <c r="AL1041" s="227">
        <v>2</v>
      </c>
      <c r="AM1041" s="225">
        <v>0</v>
      </c>
      <c r="AN1041" s="225">
        <v>0</v>
      </c>
      <c r="AO1041" s="225">
        <v>0</v>
      </c>
      <c r="AP1041" s="225">
        <v>0</v>
      </c>
      <c r="AQ1041" s="225">
        <v>400</v>
      </c>
      <c r="AR1041" s="225">
        <v>0.2</v>
      </c>
      <c r="AS1041" s="225">
        <v>0</v>
      </c>
      <c r="AT1041" s="227">
        <v>0</v>
      </c>
      <c r="AU1041" s="345" t="s">
        <v>2270</v>
      </c>
      <c r="AV1041" s="228"/>
      <c r="AW1041" s="229" t="s">
        <v>204</v>
      </c>
      <c r="AX1041" s="225" t="s">
        <v>551</v>
      </c>
      <c r="AY1041" s="221">
        <v>10000001</v>
      </c>
      <c r="AZ1041" s="74">
        <v>77005002</v>
      </c>
      <c r="BA1041" s="222" t="s">
        <v>206</v>
      </c>
      <c r="BB1041" s="225">
        <v>0</v>
      </c>
      <c r="BC1041" s="226">
        <v>0</v>
      </c>
      <c r="BD1041" s="226">
        <v>0</v>
      </c>
      <c r="BE1041" s="230" t="s">
        <v>2296</v>
      </c>
      <c r="BF1041" s="230" t="s">
        <v>2297</v>
      </c>
      <c r="BG1041" s="225">
        <v>0</v>
      </c>
      <c r="BH1041" s="225">
        <v>0</v>
      </c>
      <c r="BI1041" s="225">
        <v>0</v>
      </c>
      <c r="BJ1041" s="225">
        <v>0</v>
      </c>
      <c r="BK1041" s="225">
        <v>0</v>
      </c>
      <c r="BL1041" s="225">
        <v>0</v>
      </c>
      <c r="BM1041" s="224">
        <v>0</v>
      </c>
      <c r="BN1041" s="227">
        <v>0</v>
      </c>
      <c r="BO1041" s="227">
        <v>0</v>
      </c>
      <c r="BP1041" s="227">
        <v>0</v>
      </c>
      <c r="BQ1041" s="227">
        <v>0</v>
      </c>
      <c r="BR1041" s="227">
        <v>0</v>
      </c>
      <c r="BS1041" s="227">
        <v>0</v>
      </c>
      <c r="BT1041" s="227">
        <v>0</v>
      </c>
      <c r="BU1041" s="227">
        <v>0</v>
      </c>
      <c r="BV1041" s="23"/>
      <c r="BW1041" s="23"/>
      <c r="BX1041" s="23"/>
      <c r="BY1041" s="23"/>
      <c r="BZ1041" s="23"/>
    </row>
    <row r="1042" spans="1:78" s="1" customFormat="1" ht="19.5" customHeight="1">
      <c r="A1042" s="218"/>
      <c r="B1042" s="218"/>
      <c r="C1042" s="221">
        <v>64011507</v>
      </c>
      <c r="D1042" s="71" t="s">
        <v>2304</v>
      </c>
      <c r="E1042" s="71" t="s">
        <v>2305</v>
      </c>
      <c r="F1042" s="172">
        <v>1</v>
      </c>
      <c r="G1042" s="74">
        <v>64011101</v>
      </c>
      <c r="H1042" s="74">
        <v>64011103</v>
      </c>
      <c r="I1042" s="75">
        <v>0</v>
      </c>
      <c r="J1042" s="19">
        <v>1</v>
      </c>
      <c r="K1042" s="19">
        <v>2</v>
      </c>
      <c r="L1042" s="72">
        <v>0</v>
      </c>
      <c r="M1042" s="72">
        <v>0</v>
      </c>
      <c r="N1042" s="72">
        <v>0</v>
      </c>
      <c r="O1042" s="72">
        <v>2</v>
      </c>
      <c r="P1042" s="72">
        <v>16</v>
      </c>
      <c r="Q1042" s="72">
        <v>0.2</v>
      </c>
      <c r="R1042" s="72">
        <v>0</v>
      </c>
      <c r="S1042" s="73">
        <v>0</v>
      </c>
      <c r="T1042" s="72">
        <v>0</v>
      </c>
      <c r="U1042" s="72">
        <v>1</v>
      </c>
      <c r="V1042" s="72">
        <v>1</v>
      </c>
      <c r="W1042" s="72">
        <v>0</v>
      </c>
      <c r="X1042" s="72">
        <v>2</v>
      </c>
      <c r="Y1042" s="19">
        <v>0</v>
      </c>
      <c r="Z1042" s="72">
        <v>750</v>
      </c>
      <c r="AA1042" s="72">
        <v>0</v>
      </c>
      <c r="AB1042" s="72">
        <v>0</v>
      </c>
      <c r="AC1042" s="72">
        <v>0</v>
      </c>
      <c r="AD1042" s="72">
        <v>0</v>
      </c>
      <c r="AE1042" s="72">
        <v>0</v>
      </c>
      <c r="AF1042" s="72">
        <v>8</v>
      </c>
      <c r="AG1042" s="72">
        <v>2</v>
      </c>
      <c r="AH1042" s="93" t="s">
        <v>2069</v>
      </c>
      <c r="AI1042" s="73">
        <v>0</v>
      </c>
      <c r="AJ1042" s="73">
        <v>3</v>
      </c>
      <c r="AK1042" s="73">
        <v>0</v>
      </c>
      <c r="AL1042" s="73">
        <v>2</v>
      </c>
      <c r="AM1042" s="72">
        <v>0</v>
      </c>
      <c r="AN1042" s="72">
        <v>0</v>
      </c>
      <c r="AO1042" s="72">
        <v>0</v>
      </c>
      <c r="AP1042" s="72">
        <v>0.2</v>
      </c>
      <c r="AQ1042" s="72">
        <v>1000</v>
      </c>
      <c r="AR1042" s="72">
        <v>0.2</v>
      </c>
      <c r="AS1042" s="72">
        <v>15</v>
      </c>
      <c r="AT1042" s="73">
        <v>0</v>
      </c>
      <c r="AU1042" s="72">
        <v>95100001</v>
      </c>
      <c r="AV1042" s="72"/>
      <c r="AW1042" s="35" t="s">
        <v>205</v>
      </c>
      <c r="AX1042" s="72" t="s">
        <v>540</v>
      </c>
      <c r="AY1042" s="74">
        <v>10000001</v>
      </c>
      <c r="AZ1042" s="74">
        <v>21300010</v>
      </c>
      <c r="BA1042" s="71" t="s">
        <v>592</v>
      </c>
      <c r="BB1042" s="72" t="s">
        <v>2264</v>
      </c>
      <c r="BC1042" s="73">
        <v>0</v>
      </c>
      <c r="BD1042" s="73">
        <v>0</v>
      </c>
      <c r="BE1042" s="185" t="str">
        <f t="shared" ref="BE1042" si="112">"将手中的武器幻化成魔法,对指定前方区域内的目标造成"&amp;X1042*100&amp;"%攻击伤害+"&amp;Z1042&amp;"点固定伤害,并附带魔法印记,其状态每秒会对目标造成30%伤害,持续6秒.此印记可以叠加"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2" s="185" t="s">
        <v>2265</v>
      </c>
      <c r="BG1042" s="72">
        <v>0</v>
      </c>
      <c r="BH1042" s="72">
        <v>0</v>
      </c>
      <c r="BI1042" s="72">
        <v>0</v>
      </c>
      <c r="BJ1042" s="72">
        <v>0</v>
      </c>
      <c r="BK1042" s="72">
        <v>0</v>
      </c>
      <c r="BL1042" s="72">
        <v>0</v>
      </c>
      <c r="BM1042" s="90">
        <v>0</v>
      </c>
      <c r="BN1042" s="73">
        <v>0</v>
      </c>
      <c r="BO1042" s="73">
        <v>0</v>
      </c>
      <c r="BP1042" s="73">
        <v>0</v>
      </c>
      <c r="BQ1042" s="73">
        <v>0</v>
      </c>
      <c r="BR1042" s="73">
        <v>0</v>
      </c>
      <c r="BS1042" s="73">
        <v>0</v>
      </c>
      <c r="BT1042" s="73">
        <v>0</v>
      </c>
      <c r="BU1042" s="73">
        <v>0</v>
      </c>
      <c r="BV1042" s="23"/>
      <c r="BW1042" s="23"/>
      <c r="BX1042" s="23"/>
      <c r="BY1042" s="23"/>
      <c r="BZ1042" s="23"/>
    </row>
    <row r="1043" spans="1:78" s="2" customFormat="1" ht="19.5" customHeight="1">
      <c r="A1043" s="219"/>
      <c r="B1043" s="219"/>
      <c r="C1043" s="107">
        <v>64012101</v>
      </c>
      <c r="D1043" s="110" t="s">
        <v>2306</v>
      </c>
      <c r="E1043" s="110" t="s">
        <v>2307</v>
      </c>
      <c r="F1043" s="172">
        <v>0</v>
      </c>
      <c r="G1043" s="107">
        <v>64012101</v>
      </c>
      <c r="H1043" s="107">
        <v>64012102</v>
      </c>
      <c r="I1043" s="105">
        <v>0</v>
      </c>
      <c r="J1043" s="19">
        <v>1</v>
      </c>
      <c r="K1043" s="19">
        <v>5</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28" t="s">
        <v>2308</v>
      </c>
      <c r="AV1043" s="344" t="s">
        <v>2263</v>
      </c>
      <c r="AW1043" s="35" t="s">
        <v>205</v>
      </c>
      <c r="AX1043" s="100" t="s">
        <v>540</v>
      </c>
      <c r="AY1043" s="107">
        <v>10000001</v>
      </c>
      <c r="AZ1043" s="74">
        <v>21300110</v>
      </c>
      <c r="BA1043" s="110" t="s">
        <v>2309</v>
      </c>
      <c r="BB1043" s="100" t="s">
        <v>2310</v>
      </c>
      <c r="BC1043" s="99">
        <v>0</v>
      </c>
      <c r="BD1043" s="99">
        <v>0</v>
      </c>
      <c r="BE1043" s="185" t="str">
        <f>"向前方投掷一个冰魔球,魔球会向前方推进且对附近区域内的目标造成"&amp;X1043*100&amp;"%攻击伤害+"&amp;Z1043&amp;"点固定伤害,且给目标附加一层魔法印记,并使移动速度降低50%,持续5秒"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2311</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64012102</v>
      </c>
      <c r="D1044" s="110" t="s">
        <v>2306</v>
      </c>
      <c r="E1044" s="110" t="s">
        <v>2307</v>
      </c>
      <c r="F1044" s="172">
        <v>1</v>
      </c>
      <c r="G1044" s="107">
        <v>64012101</v>
      </c>
      <c r="H1044" s="107">
        <v>64012103</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v>
      </c>
      <c r="Y1044" s="19">
        <v>0</v>
      </c>
      <c r="Z1044" s="72">
        <v>750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28" t="s">
        <v>2308</v>
      </c>
      <c r="AV1044" s="344" t="s">
        <v>2263</v>
      </c>
      <c r="AW1044" s="35" t="s">
        <v>205</v>
      </c>
      <c r="AX1044" s="100" t="s">
        <v>540</v>
      </c>
      <c r="AY1044" s="107">
        <v>10000001</v>
      </c>
      <c r="AZ1044" s="74">
        <v>21300110</v>
      </c>
      <c r="BA1044" s="110" t="s">
        <v>2309</v>
      </c>
      <c r="BB1044" s="100" t="s">
        <v>2310</v>
      </c>
      <c r="BC1044" s="99">
        <v>0</v>
      </c>
      <c r="BD1044" s="99">
        <v>0</v>
      </c>
      <c r="BE1044" s="185" t="str">
        <f t="shared" ref="BE1044:BE1048" si="113">"向前方投掷一个冰魔球,魔球会向前方推进且对附近区域内的目标造成"&amp;X1044*100&amp;"%攻击伤害+"&amp;Z1044&amp;"点固定伤害,且给目标附加一层魔法印记,并使移动速度降低50%,持续5秒"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4" s="185" t="s">
        <v>2311</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64012103</v>
      </c>
      <c r="D1045" s="110" t="s">
        <v>2306</v>
      </c>
      <c r="E1045" s="110" t="s">
        <v>2307</v>
      </c>
      <c r="F1045" s="172">
        <v>2</v>
      </c>
      <c r="G1045" s="107">
        <v>64012101</v>
      </c>
      <c r="H1045" s="107">
        <v>64012104</v>
      </c>
      <c r="I1045" s="105">
        <v>0</v>
      </c>
      <c r="J1045" s="19">
        <v>1</v>
      </c>
      <c r="K1045" s="19">
        <v>2</v>
      </c>
      <c r="L1045" s="100">
        <v>0</v>
      </c>
      <c r="M1045" s="100">
        <v>0</v>
      </c>
      <c r="N1045" s="100">
        <v>0</v>
      </c>
      <c r="O1045" s="100">
        <v>1</v>
      </c>
      <c r="P1045" s="100">
        <v>0</v>
      </c>
      <c r="Q1045" s="100">
        <v>0</v>
      </c>
      <c r="R1045" s="100">
        <v>0</v>
      </c>
      <c r="S1045" s="99">
        <v>0</v>
      </c>
      <c r="T1045" s="100">
        <v>0</v>
      </c>
      <c r="U1045" s="100">
        <v>1</v>
      </c>
      <c r="V1045" s="100">
        <v>1</v>
      </c>
      <c r="W1045" s="100">
        <v>0</v>
      </c>
      <c r="X1045" s="72">
        <v>2.2000000000000002</v>
      </c>
      <c r="Y1045" s="19">
        <v>0</v>
      </c>
      <c r="Z1045" s="72">
        <v>1500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28" t="s">
        <v>2308</v>
      </c>
      <c r="AV1045" s="344" t="s">
        <v>2263</v>
      </c>
      <c r="AW1045" s="35" t="s">
        <v>205</v>
      </c>
      <c r="AX1045" s="100" t="s">
        <v>540</v>
      </c>
      <c r="AY1045" s="107">
        <v>10000001</v>
      </c>
      <c r="AZ1045" s="74">
        <v>21300110</v>
      </c>
      <c r="BA1045" s="110" t="s">
        <v>2309</v>
      </c>
      <c r="BB1045" s="100" t="s">
        <v>2310</v>
      </c>
      <c r="BC1045" s="99">
        <v>0</v>
      </c>
      <c r="BD1045" s="99">
        <v>0</v>
      </c>
      <c r="BE1045" s="185" t="str">
        <f t="shared" si="113"/>
        <v>向前方投掷一个冰魔球,魔球会向前方推进且对附近区域内的目标造成220%攻击伤害+1500点固定伤害,且给目标附加一层魔法印记,并使移动速度降低50%,持续5秒</v>
      </c>
      <c r="BF1045" s="185" t="s">
        <v>2312</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64012104</v>
      </c>
      <c r="D1046" s="110" t="s">
        <v>2306</v>
      </c>
      <c r="E1046" s="110" t="s">
        <v>2307</v>
      </c>
      <c r="F1046" s="172">
        <v>3</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2.4</v>
      </c>
      <c r="Y1046" s="19">
        <v>0</v>
      </c>
      <c r="Z1046" s="72">
        <v>2250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28" t="s">
        <v>2308</v>
      </c>
      <c r="AV1046" s="344" t="s">
        <v>2263</v>
      </c>
      <c r="AW1046" s="35" t="s">
        <v>205</v>
      </c>
      <c r="AX1046" s="100" t="s">
        <v>540</v>
      </c>
      <c r="AY1046" s="107">
        <v>10000001</v>
      </c>
      <c r="AZ1046" s="74">
        <v>21300110</v>
      </c>
      <c r="BA1046" s="110" t="s">
        <v>2309</v>
      </c>
      <c r="BB1046" s="100" t="s">
        <v>2310</v>
      </c>
      <c r="BC1046" s="99">
        <v>0</v>
      </c>
      <c r="BD1046" s="99">
        <v>0</v>
      </c>
      <c r="BE1046" s="185" t="str">
        <f t="shared" si="113"/>
        <v>向前方投掷一个冰魔球,魔球会向前方推进且对附近区域内的目标造成240%攻击伤害+2250点固定伤害,且给目标附加一层魔法印记,并使移动速度降低50%,持续5秒</v>
      </c>
      <c r="BF1046" s="185" t="s">
        <v>2313</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64012105</v>
      </c>
      <c r="D1047" s="110" t="s">
        <v>2306</v>
      </c>
      <c r="E1047" s="110" t="s">
        <v>2307</v>
      </c>
      <c r="F1047" s="172">
        <v>4</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2.6</v>
      </c>
      <c r="Y1047" s="19">
        <v>0</v>
      </c>
      <c r="Z1047" s="72">
        <v>3250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28" t="s">
        <v>2308</v>
      </c>
      <c r="AV1047" s="344" t="s">
        <v>2263</v>
      </c>
      <c r="AW1047" s="35" t="s">
        <v>205</v>
      </c>
      <c r="AX1047" s="100" t="s">
        <v>540</v>
      </c>
      <c r="AY1047" s="107">
        <v>10000001</v>
      </c>
      <c r="AZ1047" s="74">
        <v>21300110</v>
      </c>
      <c r="BA1047" s="110" t="s">
        <v>2309</v>
      </c>
      <c r="BB1047" s="100" t="s">
        <v>2310</v>
      </c>
      <c r="BC1047" s="99">
        <v>0</v>
      </c>
      <c r="BD1047" s="99">
        <v>0</v>
      </c>
      <c r="BE1047" s="185" t="str">
        <f t="shared" si="113"/>
        <v>向前方投掷一个冰魔球,魔球会向前方推进且对附近区域内的目标造成260%攻击伤害+3250点固定伤害,且给目标附加一层魔法印记,并使移动速度降低50%,持续5秒</v>
      </c>
      <c r="BF1047" s="185" t="s">
        <v>2314</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2" customFormat="1" ht="19.5" customHeight="1">
      <c r="A1048" s="219"/>
      <c r="B1048" s="219"/>
      <c r="C1048" s="107">
        <v>64012106</v>
      </c>
      <c r="D1048" s="110" t="s">
        <v>2306</v>
      </c>
      <c r="E1048" s="110" t="s">
        <v>2307</v>
      </c>
      <c r="F1048" s="172">
        <v>5</v>
      </c>
      <c r="G1048" s="107">
        <v>64012101</v>
      </c>
      <c r="H1048" s="100">
        <v>0</v>
      </c>
      <c r="I1048" s="105">
        <v>0</v>
      </c>
      <c r="J1048" s="19">
        <v>1</v>
      </c>
      <c r="K1048" s="19">
        <v>0</v>
      </c>
      <c r="L1048" s="100">
        <v>0</v>
      </c>
      <c r="M1048" s="100">
        <v>0</v>
      </c>
      <c r="N1048" s="100">
        <v>0</v>
      </c>
      <c r="O1048" s="100">
        <v>1</v>
      </c>
      <c r="P1048" s="100">
        <v>0</v>
      </c>
      <c r="Q1048" s="100">
        <v>0</v>
      </c>
      <c r="R1048" s="100">
        <v>0</v>
      </c>
      <c r="S1048" s="99">
        <v>0</v>
      </c>
      <c r="T1048" s="100">
        <v>0</v>
      </c>
      <c r="U1048" s="100">
        <v>1</v>
      </c>
      <c r="V1048" s="100">
        <v>1</v>
      </c>
      <c r="W1048" s="100">
        <v>0</v>
      </c>
      <c r="X1048" s="72">
        <v>2.8</v>
      </c>
      <c r="Y1048" s="19">
        <v>0</v>
      </c>
      <c r="Z1048" s="72">
        <v>4250</v>
      </c>
      <c r="AA1048" s="100">
        <v>0</v>
      </c>
      <c r="AB1048" s="100">
        <v>0</v>
      </c>
      <c r="AC1048" s="100">
        <v>0</v>
      </c>
      <c r="AD1048" s="100">
        <v>0</v>
      </c>
      <c r="AE1048" s="100">
        <v>0</v>
      </c>
      <c r="AF1048" s="100">
        <v>7</v>
      </c>
      <c r="AG1048" s="100">
        <v>1</v>
      </c>
      <c r="AH1048" s="118">
        <v>2</v>
      </c>
      <c r="AI1048" s="99">
        <v>2</v>
      </c>
      <c r="AJ1048" s="99">
        <v>2</v>
      </c>
      <c r="AK1048" s="99">
        <v>0</v>
      </c>
      <c r="AL1048" s="99">
        <v>3</v>
      </c>
      <c r="AM1048" s="100">
        <v>0</v>
      </c>
      <c r="AN1048" s="100">
        <v>0</v>
      </c>
      <c r="AO1048" s="100">
        <v>0</v>
      </c>
      <c r="AP1048" s="100">
        <v>0.2</v>
      </c>
      <c r="AQ1048" s="100">
        <v>2000</v>
      </c>
      <c r="AR1048" s="100">
        <v>0.2</v>
      </c>
      <c r="AS1048" s="100">
        <v>5</v>
      </c>
      <c r="AT1048" s="99">
        <v>0</v>
      </c>
      <c r="AU1048" s="328" t="s">
        <v>2308</v>
      </c>
      <c r="AV1048" s="344" t="s">
        <v>2263</v>
      </c>
      <c r="AW1048" s="35" t="s">
        <v>205</v>
      </c>
      <c r="AX1048" s="100" t="s">
        <v>540</v>
      </c>
      <c r="AY1048" s="107">
        <v>10000001</v>
      </c>
      <c r="AZ1048" s="74">
        <v>21300110</v>
      </c>
      <c r="BA1048" s="110" t="s">
        <v>2309</v>
      </c>
      <c r="BB1048" s="100" t="s">
        <v>2310</v>
      </c>
      <c r="BC1048" s="99">
        <v>0</v>
      </c>
      <c r="BD1048" s="99">
        <v>0</v>
      </c>
      <c r="BE1048" s="185" t="str">
        <f t="shared" si="113"/>
        <v>向前方投掷一个冰魔球,魔球会向前方推进且对附近区域内的目标造成280%攻击伤害+4250点固定伤害,且给目标附加一层魔法印记,并使移动速度降低50%,持续5秒</v>
      </c>
      <c r="BF1048" s="185" t="s">
        <v>2315</v>
      </c>
      <c r="BG1048" s="100">
        <v>0</v>
      </c>
      <c r="BH1048" s="100">
        <v>0</v>
      </c>
      <c r="BI1048" s="100">
        <v>0</v>
      </c>
      <c r="BJ1048" s="100">
        <v>0</v>
      </c>
      <c r="BK1048" s="100">
        <v>0</v>
      </c>
      <c r="BL1048" s="100">
        <v>0</v>
      </c>
      <c r="BM1048" s="97">
        <v>0</v>
      </c>
      <c r="BN1048" s="99">
        <v>0</v>
      </c>
      <c r="BO1048" s="99">
        <v>0</v>
      </c>
      <c r="BP1048" s="99">
        <v>0</v>
      </c>
      <c r="BQ1048" s="99">
        <v>0</v>
      </c>
      <c r="BR1048" s="99">
        <v>0</v>
      </c>
      <c r="BS1048" s="99">
        <v>0</v>
      </c>
      <c r="BT1048" s="99">
        <v>0</v>
      </c>
      <c r="BU1048" s="99">
        <v>0</v>
      </c>
      <c r="BV1048" s="23"/>
      <c r="BW1048" s="23"/>
      <c r="BX1048" s="23"/>
      <c r="BY1048" s="23"/>
      <c r="BZ1048" s="23"/>
    </row>
    <row r="1049" spans="1:78" s="1" customFormat="1" ht="20.100000000000001" customHeight="1">
      <c r="A1049" s="218"/>
      <c r="B1049" s="218"/>
      <c r="C1049" s="74">
        <v>64012201</v>
      </c>
      <c r="D1049" s="71" t="s">
        <v>2316</v>
      </c>
      <c r="E1049" s="71" t="s">
        <v>2317</v>
      </c>
      <c r="F1049" s="172">
        <v>0</v>
      </c>
      <c r="G1049" s="74">
        <v>64012201</v>
      </c>
      <c r="H1049" s="74">
        <v>64012202</v>
      </c>
      <c r="I1049" s="75">
        <v>0</v>
      </c>
      <c r="J1049" s="21">
        <v>3</v>
      </c>
      <c r="K1049" s="21">
        <v>5</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2318</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23" t="s">
        <v>2272</v>
      </c>
      <c r="BV1049" s="23"/>
      <c r="BW1049" s="23"/>
      <c r="BX1049" s="23"/>
      <c r="BY1049" s="23"/>
      <c r="BZ1049" s="23"/>
    </row>
    <row r="1050" spans="1:78" s="1" customFormat="1" ht="20.100000000000001" customHeight="1">
      <c r="A1050" s="218"/>
      <c r="B1050" s="218"/>
      <c r="C1050" s="74">
        <v>64012202</v>
      </c>
      <c r="D1050" s="71" t="s">
        <v>2316</v>
      </c>
      <c r="E1050" s="71" t="s">
        <v>2317</v>
      </c>
      <c r="F1050" s="172">
        <v>1</v>
      </c>
      <c r="G1050" s="74">
        <v>64012201</v>
      </c>
      <c r="H1050" s="74">
        <v>64012203</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v>
      </c>
      <c r="Y1050" s="19">
        <v>0</v>
      </c>
      <c r="Z1050" s="72">
        <v>750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ref="BE1050:BE1054" si="114">"运用自己擅长的魔法,立即对目标区域内的目标造成"&amp;X1050*100&amp;"%攻击伤害+"&amp;Z1050&amp;"点固定伤害,并使其眩晕1秒.如果目标有魔法印记状态则对目标额外造成30%*层数的伤害"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50" s="185" t="s">
        <v>2318</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23" t="s">
        <v>2272</v>
      </c>
      <c r="BV1050" s="23"/>
      <c r="BW1050" s="23"/>
      <c r="BX1050" s="23"/>
      <c r="BY1050" s="23"/>
      <c r="BZ1050" s="23"/>
    </row>
    <row r="1051" spans="1:78" s="1" customFormat="1" ht="20.100000000000001" customHeight="1">
      <c r="A1051" s="218"/>
      <c r="B1051" s="218"/>
      <c r="C1051" s="74">
        <v>64012203</v>
      </c>
      <c r="D1051" s="71" t="s">
        <v>2316</v>
      </c>
      <c r="E1051" s="71" t="s">
        <v>2317</v>
      </c>
      <c r="F1051" s="172">
        <v>2</v>
      </c>
      <c r="G1051" s="74">
        <v>64012201</v>
      </c>
      <c r="H1051" s="74">
        <v>64012204</v>
      </c>
      <c r="I1051" s="75">
        <v>0</v>
      </c>
      <c r="J1051" s="21">
        <v>3</v>
      </c>
      <c r="K1051" s="21">
        <v>2</v>
      </c>
      <c r="L1051" s="74">
        <v>0</v>
      </c>
      <c r="M1051" s="72">
        <v>0</v>
      </c>
      <c r="N1051" s="72">
        <v>0</v>
      </c>
      <c r="O1051" s="72">
        <v>1</v>
      </c>
      <c r="P1051" s="72">
        <v>0</v>
      </c>
      <c r="Q1051" s="72">
        <v>0</v>
      </c>
      <c r="R1051" s="72">
        <v>0</v>
      </c>
      <c r="S1051" s="73">
        <v>0</v>
      </c>
      <c r="T1051" s="72">
        <v>0</v>
      </c>
      <c r="U1051" s="72">
        <v>1</v>
      </c>
      <c r="V1051" s="72">
        <v>1</v>
      </c>
      <c r="W1051" s="72">
        <v>0</v>
      </c>
      <c r="X1051" s="72">
        <v>2.25</v>
      </c>
      <c r="Y1051" s="19">
        <v>0</v>
      </c>
      <c r="Z1051" s="72">
        <v>1500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4"/>
        <v>运用自己擅长的魔法,立即对目标区域内的目标造成225%攻击伤害+1500点固定伤害,并使其眩晕1秒.如果目标有魔法印记状态则对目标额外造成30%*层数的伤害</v>
      </c>
      <c r="BF1051" s="185" t="s">
        <v>2319</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23" t="s">
        <v>2272</v>
      </c>
      <c r="BV1051" s="23"/>
      <c r="BW1051" s="23"/>
      <c r="BX1051" s="23"/>
      <c r="BY1051" s="23"/>
      <c r="BZ1051" s="23"/>
    </row>
    <row r="1052" spans="1:78" s="1" customFormat="1" ht="20.100000000000001" customHeight="1">
      <c r="A1052" s="218"/>
      <c r="B1052" s="218"/>
      <c r="C1052" s="74">
        <v>64012204</v>
      </c>
      <c r="D1052" s="71" t="s">
        <v>2316</v>
      </c>
      <c r="E1052" s="71" t="s">
        <v>2317</v>
      </c>
      <c r="F1052" s="172">
        <v>3</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2.5</v>
      </c>
      <c r="Y1052" s="19">
        <v>0</v>
      </c>
      <c r="Z1052" s="72">
        <v>2250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4"/>
        <v>运用自己擅长的魔法,立即对目标区域内的目标造成250%攻击伤害+2250点固定伤害,并使其眩晕1秒.如果目标有魔法印记状态则对目标额外造成30%*层数的伤害</v>
      </c>
      <c r="BF1052" s="185" t="s">
        <v>2320</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23" t="s">
        <v>2272</v>
      </c>
      <c r="BV1052" s="23"/>
      <c r="BW1052" s="23"/>
      <c r="BX1052" s="23"/>
      <c r="BY1052" s="23"/>
      <c r="BZ1052" s="23"/>
    </row>
    <row r="1053" spans="1:78" s="1" customFormat="1" ht="20.100000000000001" customHeight="1">
      <c r="A1053" s="218"/>
      <c r="B1053" s="218"/>
      <c r="C1053" s="74">
        <v>64012205</v>
      </c>
      <c r="D1053" s="71" t="s">
        <v>2316</v>
      </c>
      <c r="E1053" s="71" t="s">
        <v>2317</v>
      </c>
      <c r="F1053" s="172">
        <v>4</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2.75</v>
      </c>
      <c r="Y1053" s="19">
        <v>0</v>
      </c>
      <c r="Z1053" s="72">
        <v>3250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4"/>
        <v>运用自己擅长的魔法,立即对目标区域内的目标造成275%攻击伤害+3250点固定伤害,并使其眩晕1秒.如果目标有魔法印记状态则对目标额外造成30%*层数的伤害</v>
      </c>
      <c r="BF1053" s="185" t="s">
        <v>2321</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23" t="s">
        <v>2272</v>
      </c>
      <c r="BV1053" s="23"/>
      <c r="BW1053" s="23"/>
      <c r="BX1053" s="23"/>
      <c r="BY1053" s="23"/>
      <c r="BZ1053" s="23"/>
    </row>
    <row r="1054" spans="1:78" s="1" customFormat="1" ht="20.100000000000001" customHeight="1">
      <c r="A1054" s="218"/>
      <c r="B1054" s="218"/>
      <c r="C1054" s="74">
        <v>64012206</v>
      </c>
      <c r="D1054" s="71" t="s">
        <v>2316</v>
      </c>
      <c r="E1054" s="71" t="s">
        <v>2317</v>
      </c>
      <c r="F1054" s="172">
        <v>5</v>
      </c>
      <c r="G1054" s="74">
        <v>64012201</v>
      </c>
      <c r="H1054" s="74">
        <v>0</v>
      </c>
      <c r="I1054" s="75">
        <v>0</v>
      </c>
      <c r="J1054" s="21">
        <v>3</v>
      </c>
      <c r="K1054" s="21">
        <v>0</v>
      </c>
      <c r="L1054" s="74">
        <v>0</v>
      </c>
      <c r="M1054" s="72">
        <v>0</v>
      </c>
      <c r="N1054" s="72">
        <v>0</v>
      </c>
      <c r="O1054" s="72">
        <v>1</v>
      </c>
      <c r="P1054" s="72">
        <v>0</v>
      </c>
      <c r="Q1054" s="72">
        <v>0</v>
      </c>
      <c r="R1054" s="72">
        <v>0</v>
      </c>
      <c r="S1054" s="73">
        <v>0</v>
      </c>
      <c r="T1054" s="72">
        <v>0</v>
      </c>
      <c r="U1054" s="72">
        <v>1</v>
      </c>
      <c r="V1054" s="72">
        <v>1</v>
      </c>
      <c r="W1054" s="72">
        <v>0</v>
      </c>
      <c r="X1054" s="72">
        <v>3</v>
      </c>
      <c r="Y1054" s="19">
        <v>0</v>
      </c>
      <c r="Z1054" s="72">
        <v>4250</v>
      </c>
      <c r="AA1054" s="72">
        <v>0</v>
      </c>
      <c r="AB1054" s="72">
        <v>0</v>
      </c>
      <c r="AC1054" s="72">
        <v>0</v>
      </c>
      <c r="AD1054" s="72">
        <v>0</v>
      </c>
      <c r="AE1054" s="72">
        <v>0</v>
      </c>
      <c r="AF1054" s="72">
        <v>9</v>
      </c>
      <c r="AG1054" s="72">
        <v>1</v>
      </c>
      <c r="AH1054" s="176">
        <v>3</v>
      </c>
      <c r="AI1054" s="175">
        <v>2</v>
      </c>
      <c r="AJ1054" s="175">
        <v>1</v>
      </c>
      <c r="AK1054" s="175">
        <v>0</v>
      </c>
      <c r="AL1054" s="175">
        <v>6</v>
      </c>
      <c r="AM1054" s="72">
        <v>0</v>
      </c>
      <c r="AN1054" s="72">
        <v>0</v>
      </c>
      <c r="AO1054" s="72">
        <v>0</v>
      </c>
      <c r="AP1054" s="72">
        <v>0.2</v>
      </c>
      <c r="AQ1054" s="72">
        <v>3000</v>
      </c>
      <c r="AR1054" s="72">
        <v>0.4</v>
      </c>
      <c r="AS1054" s="72">
        <v>0</v>
      </c>
      <c r="AT1054" s="73">
        <v>0</v>
      </c>
      <c r="AU1054" s="72">
        <v>95100005</v>
      </c>
      <c r="AV1054" s="93"/>
      <c r="AW1054" s="35" t="s">
        <v>205</v>
      </c>
      <c r="AX1054" s="72" t="s">
        <v>551</v>
      </c>
      <c r="AY1054" s="74">
        <v>10000001</v>
      </c>
      <c r="AZ1054" s="74">
        <v>21300120</v>
      </c>
      <c r="BA1054" s="202" t="s">
        <v>321</v>
      </c>
      <c r="BB1054" s="72">
        <v>1</v>
      </c>
      <c r="BC1054" s="75">
        <v>0</v>
      </c>
      <c r="BD1054" s="75">
        <v>0</v>
      </c>
      <c r="BE1054" s="185" t="str">
        <f t="shared" si="114"/>
        <v>运用自己擅长的魔法,立即对目标区域内的目标造成300%攻击伤害+4250点固定伤害,并使其眩晕1秒.如果目标有魔法印记状态则对目标额外造成30%*层数的伤害</v>
      </c>
      <c r="BF1054" s="185" t="s">
        <v>2322</v>
      </c>
      <c r="BG1054" s="72">
        <v>0</v>
      </c>
      <c r="BH1054" s="72">
        <v>0</v>
      </c>
      <c r="BI1054" s="72">
        <v>0</v>
      </c>
      <c r="BJ1054" s="72">
        <v>0</v>
      </c>
      <c r="BK1054" s="72">
        <v>0</v>
      </c>
      <c r="BL1054" s="72">
        <v>0</v>
      </c>
      <c r="BM1054" s="90">
        <v>0</v>
      </c>
      <c r="BN1054" s="73">
        <v>0</v>
      </c>
      <c r="BO1054" s="73">
        <v>0</v>
      </c>
      <c r="BP1054" s="73">
        <v>0</v>
      </c>
      <c r="BQ1054" s="73">
        <v>0</v>
      </c>
      <c r="BR1054" s="73">
        <v>0</v>
      </c>
      <c r="BS1054" s="73">
        <v>0</v>
      </c>
      <c r="BT1054" s="73">
        <v>0</v>
      </c>
      <c r="BU1054" s="323" t="s">
        <v>2272</v>
      </c>
      <c r="BV1054" s="23"/>
      <c r="BW1054" s="23"/>
      <c r="BX1054" s="23"/>
      <c r="BY1054" s="23"/>
      <c r="BZ1054" s="23"/>
    </row>
    <row r="1055" spans="1:78" s="2" customFormat="1" ht="20.100000000000001" customHeight="1">
      <c r="A1055" s="219"/>
      <c r="B1055" s="219"/>
      <c r="C1055" s="107">
        <v>64012301</v>
      </c>
      <c r="D1055" s="110" t="s">
        <v>2323</v>
      </c>
      <c r="E1055" s="110" t="s">
        <v>2324</v>
      </c>
      <c r="F1055" s="172">
        <v>0</v>
      </c>
      <c r="G1055" s="107">
        <v>64012301</v>
      </c>
      <c r="H1055" s="107">
        <v>64012302</v>
      </c>
      <c r="I1055" s="105">
        <v>0</v>
      </c>
      <c r="J1055" s="21">
        <v>5</v>
      </c>
      <c r="K1055" s="21">
        <v>5</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44" t="s">
        <v>2263</v>
      </c>
      <c r="AW1055" s="35" t="s">
        <v>205</v>
      </c>
      <c r="AX1055" s="100" t="s">
        <v>551</v>
      </c>
      <c r="AY1055" s="107">
        <v>0</v>
      </c>
      <c r="AZ1055" s="74">
        <v>21300130</v>
      </c>
      <c r="BA1055" s="110" t="s">
        <v>2325</v>
      </c>
      <c r="BB1055" s="100" t="s">
        <v>2326</v>
      </c>
      <c r="BC1055" s="105">
        <v>0</v>
      </c>
      <c r="BD1055" s="105">
        <v>0</v>
      </c>
      <c r="BE1055" s="185" t="str">
        <f>"向前方投掷一个火魔球,魔球会向前方推进且遇到敌方目标会自动停止移动,对附近区域内的目标造成"&amp;X1055*100&amp;"%攻击伤害+"&amp;Z1055&amp;"点固定伤害,且给目标附加一层魔法印记,并触发灼烧效果"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2327</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64012302</v>
      </c>
      <c r="D1056" s="110" t="s">
        <v>2323</v>
      </c>
      <c r="E1056" s="110" t="s">
        <v>2324</v>
      </c>
      <c r="F1056" s="172">
        <v>1</v>
      </c>
      <c r="G1056" s="107">
        <v>64012301</v>
      </c>
      <c r="H1056" s="107">
        <v>64012303</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v>
      </c>
      <c r="Y1056" s="19">
        <v>0</v>
      </c>
      <c r="Z1056" s="72">
        <v>750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44" t="s">
        <v>2263</v>
      </c>
      <c r="AW1056" s="35" t="s">
        <v>205</v>
      </c>
      <c r="AX1056" s="100" t="s">
        <v>551</v>
      </c>
      <c r="AY1056" s="107">
        <v>0</v>
      </c>
      <c r="AZ1056" s="74">
        <v>21300130</v>
      </c>
      <c r="BA1056" s="110" t="s">
        <v>2325</v>
      </c>
      <c r="BB1056" s="100" t="s">
        <v>2326</v>
      </c>
      <c r="BC1056" s="105">
        <v>0</v>
      </c>
      <c r="BD1056" s="105">
        <v>0</v>
      </c>
      <c r="BE1056" s="185" t="str">
        <f t="shared" ref="BE1056:BE1060" si="115">"向前方投掷一个火魔球,魔球会向前方推进且遇到敌方目标会自动停止移动,对附近区域内的目标造成"&amp;X1056*100&amp;"%攻击伤害+"&amp;Z1056&amp;"点固定伤害,且给目标附加一层魔法印记,并触发灼烧效果"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6" s="185" t="s">
        <v>2327</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64012303</v>
      </c>
      <c r="D1057" s="110" t="s">
        <v>2323</v>
      </c>
      <c r="E1057" s="110" t="s">
        <v>2324</v>
      </c>
      <c r="F1057" s="172">
        <v>2</v>
      </c>
      <c r="G1057" s="107">
        <v>64012301</v>
      </c>
      <c r="H1057" s="107">
        <v>64012304</v>
      </c>
      <c r="I1057" s="105">
        <v>0</v>
      </c>
      <c r="J1057" s="21">
        <v>5</v>
      </c>
      <c r="K1057" s="21">
        <v>2</v>
      </c>
      <c r="L1057" s="107">
        <v>0</v>
      </c>
      <c r="M1057" s="100">
        <v>0</v>
      </c>
      <c r="N1057" s="100">
        <v>0</v>
      </c>
      <c r="O1057" s="100">
        <v>1</v>
      </c>
      <c r="P1057" s="100">
        <v>0</v>
      </c>
      <c r="Q1057" s="100">
        <v>0</v>
      </c>
      <c r="R1057" s="100">
        <v>0</v>
      </c>
      <c r="S1057" s="99">
        <v>0</v>
      </c>
      <c r="T1057" s="100">
        <v>0</v>
      </c>
      <c r="U1057" s="100">
        <v>1</v>
      </c>
      <c r="V1057" s="100">
        <v>1</v>
      </c>
      <c r="W1057" s="100">
        <v>0</v>
      </c>
      <c r="X1057" s="72">
        <v>2.25</v>
      </c>
      <c r="Y1057" s="19">
        <v>0</v>
      </c>
      <c r="Z1057" s="72">
        <v>1500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44" t="s">
        <v>2263</v>
      </c>
      <c r="AW1057" s="35" t="s">
        <v>205</v>
      </c>
      <c r="AX1057" s="100" t="s">
        <v>551</v>
      </c>
      <c r="AY1057" s="107">
        <v>0</v>
      </c>
      <c r="AZ1057" s="74">
        <v>21300130</v>
      </c>
      <c r="BA1057" s="110" t="s">
        <v>2325</v>
      </c>
      <c r="BB1057" s="100" t="s">
        <v>2326</v>
      </c>
      <c r="BC1057" s="105">
        <v>0</v>
      </c>
      <c r="BD1057" s="105">
        <v>0</v>
      </c>
      <c r="BE1057" s="185" t="str">
        <f t="shared" si="115"/>
        <v>向前方投掷一个火魔球,魔球会向前方推进且遇到敌方目标会自动停止移动,对附近区域内的目标造成225%攻击伤害+1500点固定伤害,且给目标附加一层魔法印记,并触发灼烧效果</v>
      </c>
      <c r="BF1057" s="185" t="s">
        <v>2328</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64012304</v>
      </c>
      <c r="D1058" s="110" t="s">
        <v>2323</v>
      </c>
      <c r="E1058" s="110" t="s">
        <v>2324</v>
      </c>
      <c r="F1058" s="172">
        <v>3</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2.5</v>
      </c>
      <c r="Y1058" s="19">
        <v>0</v>
      </c>
      <c r="Z1058" s="72">
        <v>2250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44" t="s">
        <v>2263</v>
      </c>
      <c r="AW1058" s="35" t="s">
        <v>205</v>
      </c>
      <c r="AX1058" s="100" t="s">
        <v>551</v>
      </c>
      <c r="AY1058" s="107">
        <v>0</v>
      </c>
      <c r="AZ1058" s="74">
        <v>21300130</v>
      </c>
      <c r="BA1058" s="110" t="s">
        <v>2325</v>
      </c>
      <c r="BB1058" s="100" t="s">
        <v>2326</v>
      </c>
      <c r="BC1058" s="105">
        <v>0</v>
      </c>
      <c r="BD1058" s="105">
        <v>0</v>
      </c>
      <c r="BE1058" s="185" t="str">
        <f t="shared" si="115"/>
        <v>向前方投掷一个火魔球,魔球会向前方推进且遇到敌方目标会自动停止移动,对附近区域内的目标造成250%攻击伤害+2250点固定伤害,且给目标附加一层魔法印记,并触发灼烧效果</v>
      </c>
      <c r="BF1058" s="185" t="s">
        <v>2329</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64012305</v>
      </c>
      <c r="D1059" s="110" t="s">
        <v>2323</v>
      </c>
      <c r="E1059" s="110" t="s">
        <v>2324</v>
      </c>
      <c r="F1059" s="172">
        <v>4</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2.75</v>
      </c>
      <c r="Y1059" s="19">
        <v>0</v>
      </c>
      <c r="Z1059" s="72">
        <v>3250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44" t="s">
        <v>2263</v>
      </c>
      <c r="AW1059" s="35" t="s">
        <v>205</v>
      </c>
      <c r="AX1059" s="100" t="s">
        <v>551</v>
      </c>
      <c r="AY1059" s="107">
        <v>0</v>
      </c>
      <c r="AZ1059" s="74">
        <v>21300130</v>
      </c>
      <c r="BA1059" s="110" t="s">
        <v>2325</v>
      </c>
      <c r="BB1059" s="100" t="s">
        <v>2326</v>
      </c>
      <c r="BC1059" s="105">
        <v>0</v>
      </c>
      <c r="BD1059" s="105">
        <v>0</v>
      </c>
      <c r="BE1059" s="185" t="str">
        <f t="shared" si="115"/>
        <v>向前方投掷一个火魔球,魔球会向前方推进且遇到敌方目标会自动停止移动,对附近区域内的目标造成275%攻击伤害+3250点固定伤害,且给目标附加一层魔法印记,并触发灼烧效果</v>
      </c>
      <c r="BF1059" s="185" t="s">
        <v>2330</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2" customFormat="1" ht="20.100000000000001" customHeight="1">
      <c r="A1060" s="219"/>
      <c r="B1060" s="219"/>
      <c r="C1060" s="107">
        <v>64012306</v>
      </c>
      <c r="D1060" s="110" t="s">
        <v>2323</v>
      </c>
      <c r="E1060" s="110" t="s">
        <v>2324</v>
      </c>
      <c r="F1060" s="172">
        <v>5</v>
      </c>
      <c r="G1060" s="107">
        <v>64012301</v>
      </c>
      <c r="H1060" s="107">
        <v>0</v>
      </c>
      <c r="I1060" s="105">
        <v>0</v>
      </c>
      <c r="J1060" s="21">
        <v>5</v>
      </c>
      <c r="K1060" s="21">
        <v>0</v>
      </c>
      <c r="L1060" s="107">
        <v>0</v>
      </c>
      <c r="M1060" s="100">
        <v>0</v>
      </c>
      <c r="N1060" s="100">
        <v>0</v>
      </c>
      <c r="O1060" s="100">
        <v>1</v>
      </c>
      <c r="P1060" s="100">
        <v>0</v>
      </c>
      <c r="Q1060" s="100">
        <v>0</v>
      </c>
      <c r="R1060" s="100">
        <v>0</v>
      </c>
      <c r="S1060" s="99">
        <v>0</v>
      </c>
      <c r="T1060" s="100">
        <v>0</v>
      </c>
      <c r="U1060" s="100">
        <v>1</v>
      </c>
      <c r="V1060" s="100">
        <v>1</v>
      </c>
      <c r="W1060" s="100">
        <v>0</v>
      </c>
      <c r="X1060" s="72">
        <v>3</v>
      </c>
      <c r="Y1060" s="19">
        <v>0</v>
      </c>
      <c r="Z1060" s="72">
        <v>4250</v>
      </c>
      <c r="AA1060" s="100">
        <v>0</v>
      </c>
      <c r="AB1060" s="100">
        <v>0</v>
      </c>
      <c r="AC1060" s="100">
        <v>0</v>
      </c>
      <c r="AD1060" s="100">
        <v>0</v>
      </c>
      <c r="AE1060" s="100">
        <v>0</v>
      </c>
      <c r="AF1060" s="100">
        <v>12</v>
      </c>
      <c r="AG1060" s="100">
        <v>1</v>
      </c>
      <c r="AH1060" s="100">
        <v>2</v>
      </c>
      <c r="AI1060" s="99">
        <v>2</v>
      </c>
      <c r="AJ1060" s="99">
        <v>2</v>
      </c>
      <c r="AK1060" s="99">
        <v>0</v>
      </c>
      <c r="AL1060" s="99">
        <v>3</v>
      </c>
      <c r="AM1060" s="100">
        <v>0</v>
      </c>
      <c r="AN1060" s="100">
        <v>0</v>
      </c>
      <c r="AO1060" s="100">
        <v>0</v>
      </c>
      <c r="AP1060" s="107">
        <v>0.2</v>
      </c>
      <c r="AQ1060" s="100">
        <v>6000</v>
      </c>
      <c r="AR1060" s="100">
        <v>0.2</v>
      </c>
      <c r="AS1060" s="100">
        <v>8</v>
      </c>
      <c r="AT1060" s="99">
        <v>0</v>
      </c>
      <c r="AU1060" s="100">
        <v>95100004</v>
      </c>
      <c r="AV1060" s="344" t="s">
        <v>2263</v>
      </c>
      <c r="AW1060" s="35" t="s">
        <v>205</v>
      </c>
      <c r="AX1060" s="100" t="s">
        <v>551</v>
      </c>
      <c r="AY1060" s="107">
        <v>0</v>
      </c>
      <c r="AZ1060" s="74">
        <v>21300130</v>
      </c>
      <c r="BA1060" s="110" t="s">
        <v>2325</v>
      </c>
      <c r="BB1060" s="100" t="s">
        <v>2326</v>
      </c>
      <c r="BC1060" s="105">
        <v>0</v>
      </c>
      <c r="BD1060" s="105">
        <v>0</v>
      </c>
      <c r="BE1060" s="185" t="str">
        <f t="shared" si="115"/>
        <v>向前方投掷一个火魔球,魔球会向前方推进且遇到敌方目标会自动停止移动,对附近区域内的目标造成300%攻击伤害+4250点固定伤害,且给目标附加一层魔法印记,并触发灼烧效果</v>
      </c>
      <c r="BF1060" s="185" t="s">
        <v>2331</v>
      </c>
      <c r="BG1060" s="100">
        <v>0</v>
      </c>
      <c r="BH1060" s="100">
        <v>0</v>
      </c>
      <c r="BI1060" s="100">
        <v>0</v>
      </c>
      <c r="BJ1060" s="100">
        <v>0</v>
      </c>
      <c r="BK1060" s="100">
        <v>0</v>
      </c>
      <c r="BL1060" s="100">
        <v>0</v>
      </c>
      <c r="BM1060" s="97">
        <v>0</v>
      </c>
      <c r="BN1060" s="99">
        <v>0</v>
      </c>
      <c r="BO1060" s="99">
        <v>0</v>
      </c>
      <c r="BP1060" s="99">
        <v>1</v>
      </c>
      <c r="BQ1060" s="99">
        <v>1</v>
      </c>
      <c r="BR1060" s="99">
        <v>0</v>
      </c>
      <c r="BS1060" s="99">
        <v>0</v>
      </c>
      <c r="BT1060" s="99">
        <v>0</v>
      </c>
      <c r="BU1060" s="99">
        <v>0</v>
      </c>
      <c r="BV1060" s="23"/>
      <c r="BW1060" s="23"/>
      <c r="BX1060" s="23"/>
      <c r="BY1060" s="23"/>
      <c r="BZ1060" s="23"/>
    </row>
    <row r="1061" spans="1:78" s="3" customFormat="1" ht="19.5" customHeight="1">
      <c r="A1061" s="220"/>
      <c r="B1061" s="220"/>
      <c r="C1061" s="221">
        <v>64012401</v>
      </c>
      <c r="D1061" s="222" t="s">
        <v>2332</v>
      </c>
      <c r="E1061" s="222" t="s">
        <v>2333</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2334</v>
      </c>
      <c r="BF1061" s="230" t="s">
        <v>2335</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64012402</v>
      </c>
      <c r="D1062" s="222" t="s">
        <v>2332</v>
      </c>
      <c r="E1062" s="222" t="s">
        <v>2333</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2334</v>
      </c>
      <c r="BF1062" s="230" t="s">
        <v>2335</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64012403</v>
      </c>
      <c r="D1063" s="222" t="s">
        <v>2332</v>
      </c>
      <c r="E1063" s="222" t="s">
        <v>2333</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2334</v>
      </c>
      <c r="BF1063" s="230" t="s">
        <v>2335</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64012404</v>
      </c>
      <c r="D1064" s="222" t="s">
        <v>2332</v>
      </c>
      <c r="E1064" s="222" t="s">
        <v>2333</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2334</v>
      </c>
      <c r="BF1064" s="230" t="s">
        <v>2335</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64012405</v>
      </c>
      <c r="D1065" s="222" t="s">
        <v>2332</v>
      </c>
      <c r="E1065" s="222" t="s">
        <v>2333</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2334</v>
      </c>
      <c r="BF1065" s="230" t="s">
        <v>2335</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3" customFormat="1" ht="19.5" customHeight="1">
      <c r="A1066" s="220"/>
      <c r="B1066" s="220"/>
      <c r="C1066" s="221">
        <v>64012406</v>
      </c>
      <c r="D1066" s="222" t="s">
        <v>2332</v>
      </c>
      <c r="E1066" s="222" t="s">
        <v>2333</v>
      </c>
      <c r="F1066" s="221">
        <v>1</v>
      </c>
      <c r="G1066" s="221">
        <v>0</v>
      </c>
      <c r="H1066" s="221">
        <v>0</v>
      </c>
      <c r="I1066" s="226">
        <v>0</v>
      </c>
      <c r="J1066" s="221">
        <v>1</v>
      </c>
      <c r="K1066" s="221">
        <v>0</v>
      </c>
      <c r="L1066" s="221">
        <v>0</v>
      </c>
      <c r="M1066" s="225">
        <v>0</v>
      </c>
      <c r="N1066" s="225">
        <v>0</v>
      </c>
      <c r="O1066" s="225">
        <v>2</v>
      </c>
      <c r="P1066" s="225">
        <v>3</v>
      </c>
      <c r="Q1066" s="225">
        <v>0.2</v>
      </c>
      <c r="R1066" s="225">
        <v>0</v>
      </c>
      <c r="S1066" s="227">
        <v>0</v>
      </c>
      <c r="T1066" s="225">
        <v>0</v>
      </c>
      <c r="U1066" s="225">
        <v>1</v>
      </c>
      <c r="V1066" s="225">
        <v>2</v>
      </c>
      <c r="W1066" s="225">
        <v>0</v>
      </c>
      <c r="X1066" s="225">
        <v>1.5</v>
      </c>
      <c r="Y1066" s="19">
        <v>0</v>
      </c>
      <c r="Z1066" s="225">
        <v>0</v>
      </c>
      <c r="AA1066" s="225">
        <v>1</v>
      </c>
      <c r="AB1066" s="225">
        <v>0</v>
      </c>
      <c r="AC1066" s="225">
        <v>0</v>
      </c>
      <c r="AD1066" s="225">
        <v>1</v>
      </c>
      <c r="AE1066" s="225">
        <v>1</v>
      </c>
      <c r="AF1066" s="225">
        <v>0</v>
      </c>
      <c r="AG1066" s="225">
        <v>1</v>
      </c>
      <c r="AH1066" s="225">
        <v>3</v>
      </c>
      <c r="AI1066" s="227">
        <v>1</v>
      </c>
      <c r="AJ1066" s="227">
        <v>1</v>
      </c>
      <c r="AK1066" s="227">
        <v>0</v>
      </c>
      <c r="AL1066" s="227">
        <v>3</v>
      </c>
      <c r="AM1066" s="225">
        <v>0</v>
      </c>
      <c r="AN1066" s="225">
        <v>0</v>
      </c>
      <c r="AO1066" s="225">
        <v>0</v>
      </c>
      <c r="AP1066" s="225">
        <v>0</v>
      </c>
      <c r="AQ1066" s="225">
        <v>2000</v>
      </c>
      <c r="AR1066" s="225">
        <v>0.3</v>
      </c>
      <c r="AS1066" s="225">
        <v>0</v>
      </c>
      <c r="AT1066" s="227">
        <v>0</v>
      </c>
      <c r="AU1066" s="228">
        <v>0</v>
      </c>
      <c r="AV1066" s="228"/>
      <c r="AW1066" s="229" t="s">
        <v>204</v>
      </c>
      <c r="AX1066" s="225" t="s">
        <v>540</v>
      </c>
      <c r="AY1066" s="221">
        <v>0</v>
      </c>
      <c r="AZ1066" s="221">
        <v>77005004</v>
      </c>
      <c r="BA1066" s="222" t="s">
        <v>206</v>
      </c>
      <c r="BB1066" s="225">
        <v>0</v>
      </c>
      <c r="BC1066" s="226">
        <v>0</v>
      </c>
      <c r="BD1066" s="226">
        <v>0</v>
      </c>
      <c r="BE1066" s="230" t="s">
        <v>2334</v>
      </c>
      <c r="BF1066" s="230" t="s">
        <v>2335</v>
      </c>
      <c r="BG1066" s="225">
        <v>0</v>
      </c>
      <c r="BH1066" s="225">
        <v>0</v>
      </c>
      <c r="BI1066" s="225">
        <v>0</v>
      </c>
      <c r="BJ1066" s="225">
        <v>0</v>
      </c>
      <c r="BK1066" s="225">
        <v>0</v>
      </c>
      <c r="BL1066" s="225">
        <v>0</v>
      </c>
      <c r="BM1066" s="224">
        <v>0</v>
      </c>
      <c r="BN1066" s="227">
        <v>0</v>
      </c>
      <c r="BO1066" s="227">
        <v>0</v>
      </c>
      <c r="BP1066" s="227">
        <v>0</v>
      </c>
      <c r="BQ1066" s="227">
        <v>0</v>
      </c>
      <c r="BR1066" s="227">
        <v>0</v>
      </c>
      <c r="BS1066" s="227">
        <v>0</v>
      </c>
      <c r="BT1066" s="227">
        <v>0</v>
      </c>
      <c r="BU1066" s="227">
        <v>0</v>
      </c>
      <c r="BV1066" s="23"/>
      <c r="BW1066" s="23"/>
      <c r="BX1066" s="23"/>
      <c r="BY1066" s="23"/>
      <c r="BZ1066" s="23"/>
    </row>
    <row r="1067" spans="1:78" s="1" customFormat="1" ht="19.5" customHeight="1">
      <c r="A1067" s="218"/>
      <c r="B1067" s="218"/>
      <c r="C1067" s="74">
        <v>64013101</v>
      </c>
      <c r="D1067" s="71" t="s">
        <v>2336</v>
      </c>
      <c r="E1067" s="71" t="s">
        <v>2337</v>
      </c>
      <c r="F1067" s="172">
        <v>0</v>
      </c>
      <c r="G1067" s="74">
        <v>64013101</v>
      </c>
      <c r="H1067" s="72">
        <v>64013102</v>
      </c>
      <c r="I1067" s="75">
        <v>0</v>
      </c>
      <c r="J1067" s="21">
        <v>18</v>
      </c>
      <c r="K1067" s="32">
        <v>5</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1378</v>
      </c>
      <c r="BB1067" s="72">
        <v>0</v>
      </c>
      <c r="BC1067" s="73">
        <v>0</v>
      </c>
      <c r="BD1067" s="73">
        <v>0</v>
      </c>
      <c r="BE1067" s="185" t="str">
        <f>"积蓄全身的力气,瞬移到目标区域并造成"&amp;X1067*100&amp;"%攻击伤害+"&amp;Z1067&amp;"点固定伤害,并附加1秒眩晕"</f>
        <v>积蓄全身的力气,瞬移到目标区域并造成250%攻击伤害+900点固定伤害,并附加1秒眩晕</v>
      </c>
      <c r="BF1067" s="185" t="s">
        <v>2338</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64013102</v>
      </c>
      <c r="D1068" s="71" t="s">
        <v>2336</v>
      </c>
      <c r="E1068" s="71" t="s">
        <v>2337</v>
      </c>
      <c r="F1068" s="172">
        <v>1</v>
      </c>
      <c r="G1068" s="74">
        <v>64013101</v>
      </c>
      <c r="H1068" s="72">
        <v>64013103</v>
      </c>
      <c r="I1068" s="75">
        <v>0</v>
      </c>
      <c r="J1068" s="21">
        <v>27</v>
      </c>
      <c r="K1068" s="32">
        <v>2</v>
      </c>
      <c r="L1068" s="72">
        <v>0</v>
      </c>
      <c r="M1068" s="72">
        <v>0</v>
      </c>
      <c r="N1068" s="72">
        <v>0</v>
      </c>
      <c r="O1068" s="72">
        <v>1</v>
      </c>
      <c r="P1068" s="72">
        <v>0</v>
      </c>
      <c r="Q1068" s="72">
        <v>0</v>
      </c>
      <c r="R1068" s="72">
        <v>0</v>
      </c>
      <c r="S1068" s="73">
        <v>0</v>
      </c>
      <c r="T1068" s="72">
        <v>0</v>
      </c>
      <c r="U1068" s="72">
        <v>1</v>
      </c>
      <c r="V1068" s="72">
        <v>1</v>
      </c>
      <c r="W1068" s="72">
        <v>0</v>
      </c>
      <c r="X1068" s="32">
        <v>2.5</v>
      </c>
      <c r="Y1068" s="19">
        <v>0</v>
      </c>
      <c r="Z1068" s="32">
        <v>900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1378</v>
      </c>
      <c r="BB1068" s="72">
        <v>0</v>
      </c>
      <c r="BC1068" s="73">
        <v>0</v>
      </c>
      <c r="BD1068" s="73">
        <v>0</v>
      </c>
      <c r="BE1068" s="185" t="str">
        <f t="shared" ref="BE1068:BE1072" si="116">"积蓄全身的力气,瞬移到目标区域并造成"&amp;X1068*100&amp;"%攻击伤害+"&amp;Z1068&amp;"点固定伤害,并附加1秒眩晕"</f>
        <v>积蓄全身的力气,瞬移到目标区域并造成250%攻击伤害+900点固定伤害,并附加1秒眩晕</v>
      </c>
      <c r="BF1068" s="185" t="s">
        <v>2338</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64013103</v>
      </c>
      <c r="D1069" s="71" t="s">
        <v>2336</v>
      </c>
      <c r="E1069" s="71" t="s">
        <v>2337</v>
      </c>
      <c r="F1069" s="172">
        <v>2</v>
      </c>
      <c r="G1069" s="74">
        <v>64013101</v>
      </c>
      <c r="H1069" s="72">
        <v>64013104</v>
      </c>
      <c r="I1069" s="75">
        <v>0</v>
      </c>
      <c r="J1069" s="21">
        <v>32</v>
      </c>
      <c r="K1069" s="32">
        <v>2</v>
      </c>
      <c r="L1069" s="72">
        <v>0</v>
      </c>
      <c r="M1069" s="72">
        <v>0</v>
      </c>
      <c r="N1069" s="72">
        <v>0</v>
      </c>
      <c r="O1069" s="72">
        <v>1</v>
      </c>
      <c r="P1069" s="72">
        <v>0</v>
      </c>
      <c r="Q1069" s="72">
        <v>0</v>
      </c>
      <c r="R1069" s="72">
        <v>0</v>
      </c>
      <c r="S1069" s="73">
        <v>0</v>
      </c>
      <c r="T1069" s="72">
        <v>0</v>
      </c>
      <c r="U1069" s="72">
        <v>1</v>
      </c>
      <c r="V1069" s="72">
        <v>1</v>
      </c>
      <c r="W1069" s="72">
        <v>0</v>
      </c>
      <c r="X1069" s="32">
        <v>2.75</v>
      </c>
      <c r="Y1069" s="19">
        <v>0</v>
      </c>
      <c r="Z1069" s="32">
        <v>1800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1378</v>
      </c>
      <c r="BB1069" s="72">
        <v>0</v>
      </c>
      <c r="BC1069" s="73">
        <v>0</v>
      </c>
      <c r="BD1069" s="73">
        <v>0</v>
      </c>
      <c r="BE1069" s="185" t="str">
        <f t="shared" si="116"/>
        <v>积蓄全身的力气,瞬移到目标区域并造成275%攻击伤害+1800点固定伤害,并附加1秒眩晕</v>
      </c>
      <c r="BF1069" s="185" t="s">
        <v>2339</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64013104</v>
      </c>
      <c r="D1070" s="71" t="s">
        <v>2336</v>
      </c>
      <c r="E1070" s="71" t="s">
        <v>2337</v>
      </c>
      <c r="F1070" s="172">
        <v>3</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v>
      </c>
      <c r="Y1070" s="19">
        <v>0</v>
      </c>
      <c r="Z1070" s="32">
        <v>2800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1378</v>
      </c>
      <c r="BB1070" s="72">
        <v>0</v>
      </c>
      <c r="BC1070" s="73">
        <v>0</v>
      </c>
      <c r="BD1070" s="73">
        <v>0</v>
      </c>
      <c r="BE1070" s="185" t="str">
        <f t="shared" si="116"/>
        <v>积蓄全身的力气,瞬移到目标区域并造成300%攻击伤害+2800点固定伤害,并附加1秒眩晕</v>
      </c>
      <c r="BF1070" s="185" t="s">
        <v>2340</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64013105</v>
      </c>
      <c r="D1071" s="71" t="s">
        <v>2336</v>
      </c>
      <c r="E1071" s="71" t="s">
        <v>2337</v>
      </c>
      <c r="F1071" s="172">
        <v>4</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3.25</v>
      </c>
      <c r="Y1071" s="19">
        <v>0</v>
      </c>
      <c r="Z1071" s="32">
        <v>4000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1378</v>
      </c>
      <c r="BB1071" s="72">
        <v>0</v>
      </c>
      <c r="BC1071" s="73">
        <v>0</v>
      </c>
      <c r="BD1071" s="73">
        <v>0</v>
      </c>
      <c r="BE1071" s="185" t="str">
        <f t="shared" si="116"/>
        <v>积蓄全身的力气,瞬移到目标区域并造成325%攻击伤害+4000点固定伤害,并附加1秒眩晕</v>
      </c>
      <c r="BF1071" s="185" t="s">
        <v>2341</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1" customFormat="1" ht="19.5" customHeight="1">
      <c r="A1072" s="218"/>
      <c r="B1072" s="218"/>
      <c r="C1072" s="74">
        <v>64013106</v>
      </c>
      <c r="D1072" s="71" t="s">
        <v>2336</v>
      </c>
      <c r="E1072" s="71" t="s">
        <v>2337</v>
      </c>
      <c r="F1072" s="172">
        <v>5</v>
      </c>
      <c r="G1072" s="74">
        <v>64013101</v>
      </c>
      <c r="H1072" s="72">
        <v>0</v>
      </c>
      <c r="I1072" s="75">
        <v>0</v>
      </c>
      <c r="J1072" s="21">
        <v>0</v>
      </c>
      <c r="K1072" s="32">
        <v>0</v>
      </c>
      <c r="L1072" s="72">
        <v>0</v>
      </c>
      <c r="M1072" s="72">
        <v>0</v>
      </c>
      <c r="N1072" s="72">
        <v>0</v>
      </c>
      <c r="O1072" s="72">
        <v>1</v>
      </c>
      <c r="P1072" s="72">
        <v>0</v>
      </c>
      <c r="Q1072" s="72">
        <v>0</v>
      </c>
      <c r="R1072" s="72">
        <v>0</v>
      </c>
      <c r="S1072" s="73">
        <v>0</v>
      </c>
      <c r="T1072" s="72">
        <v>0</v>
      </c>
      <c r="U1072" s="72">
        <v>1</v>
      </c>
      <c r="V1072" s="72">
        <v>1</v>
      </c>
      <c r="W1072" s="72">
        <v>0</v>
      </c>
      <c r="X1072" s="32">
        <v>3.5</v>
      </c>
      <c r="Y1072" s="19">
        <v>0</v>
      </c>
      <c r="Z1072" s="32">
        <v>5200</v>
      </c>
      <c r="AA1072" s="72">
        <v>0</v>
      </c>
      <c r="AB1072" s="72">
        <v>0</v>
      </c>
      <c r="AC1072" s="72">
        <v>0</v>
      </c>
      <c r="AD1072" s="72">
        <v>0</v>
      </c>
      <c r="AE1072" s="72">
        <v>0</v>
      </c>
      <c r="AF1072" s="32">
        <v>7</v>
      </c>
      <c r="AG1072" s="72">
        <v>1</v>
      </c>
      <c r="AH1072" s="93">
        <v>3</v>
      </c>
      <c r="AI1072" s="73">
        <v>2</v>
      </c>
      <c r="AJ1072" s="73">
        <v>1</v>
      </c>
      <c r="AK1072" s="73">
        <v>0</v>
      </c>
      <c r="AL1072" s="73">
        <v>7</v>
      </c>
      <c r="AM1072" s="72">
        <v>0</v>
      </c>
      <c r="AN1072" s="72">
        <v>0</v>
      </c>
      <c r="AO1072" s="72">
        <v>0</v>
      </c>
      <c r="AP1072" s="72">
        <v>0.2</v>
      </c>
      <c r="AQ1072" s="72">
        <v>1000</v>
      </c>
      <c r="AR1072" s="72">
        <v>0.2</v>
      </c>
      <c r="AS1072" s="72">
        <v>0</v>
      </c>
      <c r="AT1072" s="73">
        <v>0</v>
      </c>
      <c r="AU1072" s="72">
        <v>90001021</v>
      </c>
      <c r="AV1072" s="72"/>
      <c r="AW1072" s="35" t="s">
        <v>205</v>
      </c>
      <c r="AX1072" s="72" t="s">
        <v>540</v>
      </c>
      <c r="AY1072" s="74">
        <v>10000001</v>
      </c>
      <c r="AZ1072" s="74">
        <v>77005101</v>
      </c>
      <c r="BA1072" s="71" t="s">
        <v>1378</v>
      </c>
      <c r="BB1072" s="72">
        <v>0</v>
      </c>
      <c r="BC1072" s="73">
        <v>0</v>
      </c>
      <c r="BD1072" s="73">
        <v>0</v>
      </c>
      <c r="BE1072" s="185" t="str">
        <f t="shared" si="116"/>
        <v>积蓄全身的力气,瞬移到目标区域并造成350%攻击伤害+5200点固定伤害,并附加1秒眩晕</v>
      </c>
      <c r="BF1072" s="185" t="s">
        <v>2342</v>
      </c>
      <c r="BG1072" s="72">
        <v>0</v>
      </c>
      <c r="BH1072" s="72">
        <v>0</v>
      </c>
      <c r="BI1072" s="72">
        <v>0</v>
      </c>
      <c r="BJ1072" s="72">
        <v>0</v>
      </c>
      <c r="BK1072" s="72">
        <v>0</v>
      </c>
      <c r="BL1072" s="72">
        <v>0</v>
      </c>
      <c r="BM1072" s="90">
        <v>0</v>
      </c>
      <c r="BN1072" s="73">
        <v>0</v>
      </c>
      <c r="BO1072" s="73">
        <v>0</v>
      </c>
      <c r="BP1072" s="73">
        <v>0</v>
      </c>
      <c r="BQ1072" s="73">
        <v>0</v>
      </c>
      <c r="BR1072" s="73">
        <v>0</v>
      </c>
      <c r="BS1072" s="73">
        <v>0</v>
      </c>
      <c r="BT1072" s="73">
        <v>0</v>
      </c>
      <c r="BU1072" s="73">
        <v>0</v>
      </c>
      <c r="BV1072" s="23"/>
      <c r="BW1072" s="23"/>
      <c r="BX1072" s="23"/>
      <c r="BY1072" s="23"/>
      <c r="BZ1072" s="23"/>
    </row>
    <row r="1073" spans="1:78" s="2" customFormat="1" ht="19.5" customHeight="1">
      <c r="A1073" s="219"/>
      <c r="B1073" s="219"/>
      <c r="C1073" s="107">
        <v>64013201</v>
      </c>
      <c r="D1073" s="110" t="s">
        <v>2343</v>
      </c>
      <c r="E1073" s="110" t="s">
        <v>2344</v>
      </c>
      <c r="F1073" s="172">
        <v>0</v>
      </c>
      <c r="G1073" s="107">
        <v>64013201</v>
      </c>
      <c r="H1073" s="72">
        <v>64013202</v>
      </c>
      <c r="I1073" s="105">
        <v>0</v>
      </c>
      <c r="J1073" s="21">
        <v>25</v>
      </c>
      <c r="K1073" s="32">
        <v>5</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44" t="s">
        <v>2263</v>
      </c>
      <c r="AW1073" s="35" t="s">
        <v>205</v>
      </c>
      <c r="AX1073" s="100" t="s">
        <v>540</v>
      </c>
      <c r="AY1073" s="107">
        <v>10000001</v>
      </c>
      <c r="AZ1073" s="107">
        <v>77005102</v>
      </c>
      <c r="BA1073" s="110" t="s">
        <v>206</v>
      </c>
      <c r="BB1073" s="100">
        <v>0</v>
      </c>
      <c r="BC1073" s="99">
        <v>0</v>
      </c>
      <c r="BD1073" s="99">
        <v>0</v>
      </c>
      <c r="BE1073" s="185" t="str">
        <f>"对前方扇形区域的敌人造成"&amp;X1073*100&amp;"%攻击伤害+"&amp;Z1073&amp;"点固定伤害,并附带一层魔法印记"</f>
        <v>对前方扇形区域的敌人造成300%攻击伤害+900点固定伤害,并附带一层魔法印记</v>
      </c>
      <c r="BF1073" s="185" t="s">
        <v>2345</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64013202</v>
      </c>
      <c r="D1074" s="110" t="s">
        <v>2343</v>
      </c>
      <c r="E1074" s="110" t="s">
        <v>2344</v>
      </c>
      <c r="F1074" s="172">
        <v>1</v>
      </c>
      <c r="G1074" s="107">
        <v>64013201</v>
      </c>
      <c r="H1074" s="72">
        <v>64013203</v>
      </c>
      <c r="I1074" s="105">
        <v>0</v>
      </c>
      <c r="J1074" s="21">
        <v>32</v>
      </c>
      <c r="K1074" s="32">
        <v>2</v>
      </c>
      <c r="L1074" s="100">
        <v>0</v>
      </c>
      <c r="M1074" s="100">
        <v>0</v>
      </c>
      <c r="N1074" s="100">
        <v>0</v>
      </c>
      <c r="O1074" s="100">
        <v>1</v>
      </c>
      <c r="P1074" s="100">
        <v>0</v>
      </c>
      <c r="Q1074" s="100">
        <v>0</v>
      </c>
      <c r="R1074" s="100">
        <v>0</v>
      </c>
      <c r="S1074" s="99">
        <v>0</v>
      </c>
      <c r="T1074" s="100">
        <v>0</v>
      </c>
      <c r="U1074" s="100">
        <v>1</v>
      </c>
      <c r="V1074" s="100">
        <v>1</v>
      </c>
      <c r="W1074" s="100">
        <v>0</v>
      </c>
      <c r="X1074" s="32">
        <v>3</v>
      </c>
      <c r="Y1074" s="19">
        <v>0</v>
      </c>
      <c r="Z1074" s="32">
        <v>900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44" t="s">
        <v>2263</v>
      </c>
      <c r="AW1074" s="35" t="s">
        <v>205</v>
      </c>
      <c r="AX1074" s="100" t="s">
        <v>540</v>
      </c>
      <c r="AY1074" s="107">
        <v>10000001</v>
      </c>
      <c r="AZ1074" s="107">
        <v>77005102</v>
      </c>
      <c r="BA1074" s="110" t="s">
        <v>206</v>
      </c>
      <c r="BB1074" s="100">
        <v>0</v>
      </c>
      <c r="BC1074" s="99">
        <v>0</v>
      </c>
      <c r="BD1074" s="99">
        <v>0</v>
      </c>
      <c r="BE1074" s="185" t="str">
        <f t="shared" ref="BE1074:BE1078" si="117">"对前方扇形区域的敌人造成"&amp;X1074*100&amp;"%攻击伤害+"&amp;Z1074&amp;"点固定伤害,并附带一层魔法印记"</f>
        <v>对前方扇形区域的敌人造成300%攻击伤害+900点固定伤害,并附带一层魔法印记</v>
      </c>
      <c r="BF1074" s="185" t="s">
        <v>2345</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64013203</v>
      </c>
      <c r="D1075" s="110" t="s">
        <v>2343</v>
      </c>
      <c r="E1075" s="110" t="s">
        <v>2344</v>
      </c>
      <c r="F1075" s="172">
        <v>2</v>
      </c>
      <c r="G1075" s="107">
        <v>64013201</v>
      </c>
      <c r="H1075" s="72">
        <v>64013204</v>
      </c>
      <c r="I1075" s="105">
        <v>0</v>
      </c>
      <c r="J1075" s="21">
        <v>37</v>
      </c>
      <c r="K1075" s="32">
        <v>2</v>
      </c>
      <c r="L1075" s="100">
        <v>0</v>
      </c>
      <c r="M1075" s="100">
        <v>0</v>
      </c>
      <c r="N1075" s="100">
        <v>0</v>
      </c>
      <c r="O1075" s="100">
        <v>1</v>
      </c>
      <c r="P1075" s="100">
        <v>0</v>
      </c>
      <c r="Q1075" s="100">
        <v>0</v>
      </c>
      <c r="R1075" s="100">
        <v>0</v>
      </c>
      <c r="S1075" s="99">
        <v>0</v>
      </c>
      <c r="T1075" s="100">
        <v>0</v>
      </c>
      <c r="U1075" s="100">
        <v>1</v>
      </c>
      <c r="V1075" s="100">
        <v>1</v>
      </c>
      <c r="W1075" s="100">
        <v>0</v>
      </c>
      <c r="X1075" s="32">
        <v>3.25</v>
      </c>
      <c r="Y1075" s="19">
        <v>0</v>
      </c>
      <c r="Z1075" s="32">
        <v>1800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44" t="s">
        <v>2263</v>
      </c>
      <c r="AW1075" s="35" t="s">
        <v>205</v>
      </c>
      <c r="AX1075" s="100" t="s">
        <v>540</v>
      </c>
      <c r="AY1075" s="107">
        <v>10000001</v>
      </c>
      <c r="AZ1075" s="107">
        <v>77005102</v>
      </c>
      <c r="BA1075" s="110" t="s">
        <v>206</v>
      </c>
      <c r="BB1075" s="100">
        <v>0</v>
      </c>
      <c r="BC1075" s="99">
        <v>0</v>
      </c>
      <c r="BD1075" s="99">
        <v>0</v>
      </c>
      <c r="BE1075" s="185" t="str">
        <f t="shared" si="117"/>
        <v>对前方扇形区域的敌人造成325%攻击伤害+1800点固定伤害,并附带一层魔法印记</v>
      </c>
      <c r="BF1075" s="185" t="s">
        <v>2346</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64013204</v>
      </c>
      <c r="D1076" s="110" t="s">
        <v>2343</v>
      </c>
      <c r="E1076" s="110" t="s">
        <v>2344</v>
      </c>
      <c r="F1076" s="172">
        <v>3</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3.5</v>
      </c>
      <c r="Y1076" s="19">
        <v>0</v>
      </c>
      <c r="Z1076" s="32">
        <v>2800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44" t="s">
        <v>2263</v>
      </c>
      <c r="AW1076" s="35" t="s">
        <v>205</v>
      </c>
      <c r="AX1076" s="100" t="s">
        <v>540</v>
      </c>
      <c r="AY1076" s="107">
        <v>10000001</v>
      </c>
      <c r="AZ1076" s="107">
        <v>77005102</v>
      </c>
      <c r="BA1076" s="110" t="s">
        <v>206</v>
      </c>
      <c r="BB1076" s="100">
        <v>0</v>
      </c>
      <c r="BC1076" s="99">
        <v>0</v>
      </c>
      <c r="BD1076" s="99">
        <v>0</v>
      </c>
      <c r="BE1076" s="185" t="str">
        <f t="shared" si="117"/>
        <v>对前方扇形区域的敌人造成350%攻击伤害+2800点固定伤害,并附带一层魔法印记</v>
      </c>
      <c r="BF1076" s="185" t="s">
        <v>2347</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64013205</v>
      </c>
      <c r="D1077" s="110" t="s">
        <v>2343</v>
      </c>
      <c r="E1077" s="110" t="s">
        <v>2344</v>
      </c>
      <c r="F1077" s="172">
        <v>4</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3.75</v>
      </c>
      <c r="Y1077" s="19">
        <v>0</v>
      </c>
      <c r="Z1077" s="32">
        <v>4000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44" t="s">
        <v>2263</v>
      </c>
      <c r="AW1077" s="35" t="s">
        <v>205</v>
      </c>
      <c r="AX1077" s="100" t="s">
        <v>540</v>
      </c>
      <c r="AY1077" s="107">
        <v>10000001</v>
      </c>
      <c r="AZ1077" s="107">
        <v>77005102</v>
      </c>
      <c r="BA1077" s="110" t="s">
        <v>206</v>
      </c>
      <c r="BB1077" s="100">
        <v>0</v>
      </c>
      <c r="BC1077" s="99">
        <v>0</v>
      </c>
      <c r="BD1077" s="99">
        <v>0</v>
      </c>
      <c r="BE1077" s="185" t="str">
        <f t="shared" si="117"/>
        <v>对前方扇形区域的敌人造成375%攻击伤害+4000点固定伤害,并附带一层魔法印记</v>
      </c>
      <c r="BF1077" s="185" t="s">
        <v>2348</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2" customFormat="1" ht="19.5" customHeight="1">
      <c r="A1078" s="219"/>
      <c r="B1078" s="219"/>
      <c r="C1078" s="107">
        <v>64013206</v>
      </c>
      <c r="D1078" s="110" t="s">
        <v>2343</v>
      </c>
      <c r="E1078" s="110" t="s">
        <v>2344</v>
      </c>
      <c r="F1078" s="172">
        <v>5</v>
      </c>
      <c r="G1078" s="107">
        <v>64013201</v>
      </c>
      <c r="H1078" s="72">
        <v>0</v>
      </c>
      <c r="I1078" s="105">
        <v>0</v>
      </c>
      <c r="J1078" s="21">
        <v>0</v>
      </c>
      <c r="K1078" s="32">
        <v>0</v>
      </c>
      <c r="L1078" s="100">
        <v>0</v>
      </c>
      <c r="M1078" s="100">
        <v>0</v>
      </c>
      <c r="N1078" s="100">
        <v>0</v>
      </c>
      <c r="O1078" s="100">
        <v>1</v>
      </c>
      <c r="P1078" s="100">
        <v>0</v>
      </c>
      <c r="Q1078" s="100">
        <v>0</v>
      </c>
      <c r="R1078" s="100">
        <v>0</v>
      </c>
      <c r="S1078" s="99">
        <v>0</v>
      </c>
      <c r="T1078" s="100">
        <v>0</v>
      </c>
      <c r="U1078" s="100">
        <v>1</v>
      </c>
      <c r="V1078" s="100">
        <v>1</v>
      </c>
      <c r="W1078" s="100">
        <v>0</v>
      </c>
      <c r="X1078" s="32">
        <v>4</v>
      </c>
      <c r="Y1078" s="19">
        <v>0</v>
      </c>
      <c r="Z1078" s="32">
        <v>5200</v>
      </c>
      <c r="AA1078" s="100">
        <v>0</v>
      </c>
      <c r="AB1078" s="100">
        <v>0</v>
      </c>
      <c r="AC1078" s="100">
        <v>0</v>
      </c>
      <c r="AD1078" s="100">
        <v>0</v>
      </c>
      <c r="AE1078" s="100">
        <v>0</v>
      </c>
      <c r="AF1078" s="32">
        <v>9</v>
      </c>
      <c r="AG1078" s="100">
        <v>3</v>
      </c>
      <c r="AH1078" s="118">
        <v>4120</v>
      </c>
      <c r="AI1078" s="99">
        <v>2</v>
      </c>
      <c r="AJ1078" s="99">
        <v>3</v>
      </c>
      <c r="AK1078" s="99">
        <v>0</v>
      </c>
      <c r="AL1078" s="99">
        <v>3</v>
      </c>
      <c r="AM1078" s="100">
        <v>0</v>
      </c>
      <c r="AN1078" s="100">
        <v>0</v>
      </c>
      <c r="AO1078" s="100">
        <v>0</v>
      </c>
      <c r="AP1078" s="100">
        <v>0.2</v>
      </c>
      <c r="AQ1078" s="100">
        <v>1000</v>
      </c>
      <c r="AR1078" s="100">
        <v>0.2</v>
      </c>
      <c r="AS1078" s="100">
        <v>0</v>
      </c>
      <c r="AT1078" s="99">
        <v>0</v>
      </c>
      <c r="AU1078" s="72">
        <v>0</v>
      </c>
      <c r="AV1078" s="344" t="s">
        <v>2263</v>
      </c>
      <c r="AW1078" s="35" t="s">
        <v>205</v>
      </c>
      <c r="AX1078" s="100" t="s">
        <v>540</v>
      </c>
      <c r="AY1078" s="107">
        <v>10000001</v>
      </c>
      <c r="AZ1078" s="107">
        <v>77005102</v>
      </c>
      <c r="BA1078" s="110" t="s">
        <v>206</v>
      </c>
      <c r="BB1078" s="100">
        <v>0</v>
      </c>
      <c r="BC1078" s="99">
        <v>0</v>
      </c>
      <c r="BD1078" s="99">
        <v>0</v>
      </c>
      <c r="BE1078" s="185" t="str">
        <f t="shared" si="117"/>
        <v>对前方扇形区域的敌人造成400%攻击伤害+5200点固定伤害,并附带一层魔法印记</v>
      </c>
      <c r="BF1078" s="185" t="s">
        <v>2349</v>
      </c>
      <c r="BG1078" s="100">
        <v>0</v>
      </c>
      <c r="BH1078" s="100">
        <v>0</v>
      </c>
      <c r="BI1078" s="100">
        <v>0</v>
      </c>
      <c r="BJ1078" s="100">
        <v>0</v>
      </c>
      <c r="BK1078" s="100">
        <v>0</v>
      </c>
      <c r="BL1078" s="100">
        <v>0</v>
      </c>
      <c r="BM1078" s="97">
        <v>0</v>
      </c>
      <c r="BN1078" s="99">
        <v>0</v>
      </c>
      <c r="BO1078" s="99">
        <v>0</v>
      </c>
      <c r="BP1078" s="99">
        <v>0</v>
      </c>
      <c r="BQ1078" s="99">
        <v>0</v>
      </c>
      <c r="BR1078" s="99">
        <v>0</v>
      </c>
      <c r="BS1078" s="99">
        <v>0</v>
      </c>
      <c r="BT1078" s="99">
        <v>0</v>
      </c>
      <c r="BU1078" s="99">
        <v>0</v>
      </c>
      <c r="BV1078" s="23"/>
      <c r="BW1078" s="23"/>
      <c r="BX1078" s="23"/>
      <c r="BY1078" s="23"/>
      <c r="BZ1078" s="23"/>
    </row>
    <row r="1079" spans="1:78" s="1" customFormat="1" ht="20.100000000000001" customHeight="1">
      <c r="A1079" s="218"/>
      <c r="B1079" s="218"/>
      <c r="C1079" s="74">
        <v>64013301</v>
      </c>
      <c r="D1079" s="71" t="s">
        <v>2350</v>
      </c>
      <c r="E1079" s="71" t="s">
        <v>2351</v>
      </c>
      <c r="F1079" s="172">
        <v>0</v>
      </c>
      <c r="G1079" s="50">
        <v>64013301</v>
      </c>
      <c r="H1079" s="50">
        <v>64013302</v>
      </c>
      <c r="I1079" s="75">
        <v>0</v>
      </c>
      <c r="J1079" s="21">
        <v>30</v>
      </c>
      <c r="K1079" s="32">
        <v>5</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44" t="s">
        <v>2352</v>
      </c>
      <c r="AV1079" s="344" t="s">
        <v>2263</v>
      </c>
      <c r="AW1079" s="35" t="s">
        <v>205</v>
      </c>
      <c r="AX1079" s="72" t="s">
        <v>551</v>
      </c>
      <c r="AY1079" s="74">
        <v>10000001</v>
      </c>
      <c r="AZ1079" s="50">
        <v>77005103</v>
      </c>
      <c r="BA1079" s="202" t="s">
        <v>321</v>
      </c>
      <c r="BB1079" s="72">
        <v>1</v>
      </c>
      <c r="BC1079" s="75">
        <v>0</v>
      </c>
      <c r="BD1079" s="75">
        <v>0</v>
      </c>
      <c r="BE1079" s="185" t="str">
        <f>"对目标区域的敌人造成"&amp;X1079*100&amp;"%攻击伤害+"&amp;Z1079&amp;"点固定伤害,并附加1秒眩晕和魔法印记"</f>
        <v>对目标区域的敌人造成250%攻击伤害+900点固定伤害,并附加1秒眩晕和魔法印记</v>
      </c>
      <c r="BF1079" s="185" t="s">
        <v>2353</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30" t="s">
        <v>2354</v>
      </c>
      <c r="BV1079" s="23"/>
      <c r="BW1079" s="23"/>
      <c r="BX1079" s="23"/>
      <c r="BY1079" s="23"/>
      <c r="BZ1079" s="23"/>
    </row>
    <row r="1080" spans="1:78" s="1" customFormat="1" ht="20.100000000000001" customHeight="1">
      <c r="A1080" s="218"/>
      <c r="B1080" s="218"/>
      <c r="C1080" s="74">
        <v>64013302</v>
      </c>
      <c r="D1080" s="71" t="s">
        <v>2350</v>
      </c>
      <c r="E1080" s="71" t="s">
        <v>2351</v>
      </c>
      <c r="F1080" s="172">
        <v>1</v>
      </c>
      <c r="G1080" s="50">
        <v>64013301</v>
      </c>
      <c r="H1080" s="50">
        <v>64013303</v>
      </c>
      <c r="I1080" s="75">
        <v>0</v>
      </c>
      <c r="J1080" s="21">
        <v>37</v>
      </c>
      <c r="K1080" s="32">
        <v>2</v>
      </c>
      <c r="L1080" s="74">
        <v>0</v>
      </c>
      <c r="M1080" s="72">
        <v>0</v>
      </c>
      <c r="N1080" s="72">
        <v>0</v>
      </c>
      <c r="O1080" s="72">
        <v>1</v>
      </c>
      <c r="P1080" s="72">
        <v>0</v>
      </c>
      <c r="Q1080" s="72">
        <v>0</v>
      </c>
      <c r="R1080" s="72">
        <v>0</v>
      </c>
      <c r="S1080" s="73">
        <v>0</v>
      </c>
      <c r="T1080" s="72">
        <v>0</v>
      </c>
      <c r="U1080" s="72">
        <v>1</v>
      </c>
      <c r="V1080" s="72">
        <v>1</v>
      </c>
      <c r="W1080" s="72">
        <v>0</v>
      </c>
      <c r="X1080" s="32">
        <v>2.5</v>
      </c>
      <c r="Y1080" s="19">
        <v>0</v>
      </c>
      <c r="Z1080" s="32">
        <v>900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44" t="s">
        <v>2352</v>
      </c>
      <c r="AV1080" s="344" t="s">
        <v>2263</v>
      </c>
      <c r="AW1080" s="35" t="s">
        <v>205</v>
      </c>
      <c r="AX1080" s="72" t="s">
        <v>551</v>
      </c>
      <c r="AY1080" s="74">
        <v>10000001</v>
      </c>
      <c r="AZ1080" s="50">
        <v>77005103</v>
      </c>
      <c r="BA1080" s="202" t="s">
        <v>321</v>
      </c>
      <c r="BB1080" s="72">
        <v>1</v>
      </c>
      <c r="BC1080" s="75">
        <v>0</v>
      </c>
      <c r="BD1080" s="75">
        <v>0</v>
      </c>
      <c r="BE1080" s="185" t="str">
        <f t="shared" ref="BE1080:BE1084" si="118">"对目标区域的敌人造成"&amp;X1080*100&amp;"%攻击伤害+"&amp;Z1080&amp;"点固定伤害,并附加1秒眩晕和魔法印记"</f>
        <v>对目标区域的敌人造成250%攻击伤害+900点固定伤害,并附加1秒眩晕和魔法印记</v>
      </c>
      <c r="BF1080" s="185" t="s">
        <v>2353</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30" t="s">
        <v>2355</v>
      </c>
      <c r="BV1080" s="23"/>
      <c r="BW1080" s="23"/>
      <c r="BX1080" s="23"/>
      <c r="BY1080" s="23"/>
      <c r="BZ1080" s="23"/>
    </row>
    <row r="1081" spans="1:78" s="1" customFormat="1" ht="20.100000000000001" customHeight="1">
      <c r="A1081" s="218"/>
      <c r="B1081" s="218"/>
      <c r="C1081" s="74">
        <v>64013303</v>
      </c>
      <c r="D1081" s="71" t="s">
        <v>2350</v>
      </c>
      <c r="E1081" s="71" t="s">
        <v>2351</v>
      </c>
      <c r="F1081" s="172">
        <v>2</v>
      </c>
      <c r="G1081" s="50">
        <v>64013301</v>
      </c>
      <c r="H1081" s="50">
        <v>64013304</v>
      </c>
      <c r="I1081" s="75">
        <v>0</v>
      </c>
      <c r="J1081" s="21">
        <v>42</v>
      </c>
      <c r="K1081" s="32">
        <v>2</v>
      </c>
      <c r="L1081" s="74">
        <v>0</v>
      </c>
      <c r="M1081" s="72">
        <v>0</v>
      </c>
      <c r="N1081" s="72">
        <v>0</v>
      </c>
      <c r="O1081" s="72">
        <v>1</v>
      </c>
      <c r="P1081" s="72">
        <v>0</v>
      </c>
      <c r="Q1081" s="72">
        <v>0</v>
      </c>
      <c r="R1081" s="72">
        <v>0</v>
      </c>
      <c r="S1081" s="73">
        <v>0</v>
      </c>
      <c r="T1081" s="72">
        <v>0</v>
      </c>
      <c r="U1081" s="72">
        <v>1</v>
      </c>
      <c r="V1081" s="72">
        <v>1</v>
      </c>
      <c r="W1081" s="72">
        <v>0</v>
      </c>
      <c r="X1081" s="32">
        <v>2.75</v>
      </c>
      <c r="Y1081" s="19">
        <v>0</v>
      </c>
      <c r="Z1081" s="32">
        <v>1800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44" t="s">
        <v>2352</v>
      </c>
      <c r="AV1081" s="344" t="s">
        <v>2263</v>
      </c>
      <c r="AW1081" s="35" t="s">
        <v>205</v>
      </c>
      <c r="AX1081" s="72" t="s">
        <v>551</v>
      </c>
      <c r="AY1081" s="74">
        <v>10000001</v>
      </c>
      <c r="AZ1081" s="50">
        <v>77005103</v>
      </c>
      <c r="BA1081" s="202" t="s">
        <v>321</v>
      </c>
      <c r="BB1081" s="72">
        <v>1</v>
      </c>
      <c r="BC1081" s="75">
        <v>0</v>
      </c>
      <c r="BD1081" s="75">
        <v>0</v>
      </c>
      <c r="BE1081" s="185" t="str">
        <f t="shared" si="118"/>
        <v>对目标区域的敌人造成275%攻击伤害+1800点固定伤害,并附加1秒眩晕和魔法印记</v>
      </c>
      <c r="BF1081" s="185" t="s">
        <v>2356</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30" t="s">
        <v>2357</v>
      </c>
      <c r="BV1081" s="23"/>
      <c r="BW1081" s="23"/>
      <c r="BX1081" s="23"/>
      <c r="BY1081" s="23"/>
      <c r="BZ1081" s="23"/>
    </row>
    <row r="1082" spans="1:78" s="1" customFormat="1" ht="20.100000000000001" customHeight="1">
      <c r="A1082" s="218"/>
      <c r="B1082" s="218"/>
      <c r="C1082" s="74">
        <v>64013304</v>
      </c>
      <c r="D1082" s="71" t="s">
        <v>2350</v>
      </c>
      <c r="E1082" s="71" t="s">
        <v>2351</v>
      </c>
      <c r="F1082" s="172">
        <v>3</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v>
      </c>
      <c r="Y1082" s="19">
        <v>0</v>
      </c>
      <c r="Z1082" s="32">
        <v>2800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44" t="s">
        <v>2352</v>
      </c>
      <c r="AV1082" s="344" t="s">
        <v>2263</v>
      </c>
      <c r="AW1082" s="35" t="s">
        <v>205</v>
      </c>
      <c r="AX1082" s="72" t="s">
        <v>551</v>
      </c>
      <c r="AY1082" s="74">
        <v>10000001</v>
      </c>
      <c r="AZ1082" s="50">
        <v>77005103</v>
      </c>
      <c r="BA1082" s="202" t="s">
        <v>321</v>
      </c>
      <c r="BB1082" s="72">
        <v>1</v>
      </c>
      <c r="BC1082" s="75">
        <v>0</v>
      </c>
      <c r="BD1082" s="75">
        <v>0</v>
      </c>
      <c r="BE1082" s="185" t="str">
        <f t="shared" si="118"/>
        <v>对目标区域的敌人造成300%攻击伤害+2800点固定伤害,并附加1秒眩晕和魔法印记</v>
      </c>
      <c r="BF1082" s="185" t="s">
        <v>2358</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30" t="s">
        <v>2359</v>
      </c>
      <c r="BV1082" s="23"/>
      <c r="BW1082" s="23"/>
      <c r="BX1082" s="23"/>
      <c r="BY1082" s="23"/>
      <c r="BZ1082" s="23"/>
    </row>
    <row r="1083" spans="1:78" s="1" customFormat="1" ht="20.100000000000001" customHeight="1">
      <c r="A1083" s="218"/>
      <c r="B1083" s="218"/>
      <c r="C1083" s="74">
        <v>64013305</v>
      </c>
      <c r="D1083" s="71" t="s">
        <v>2350</v>
      </c>
      <c r="E1083" s="71" t="s">
        <v>2351</v>
      </c>
      <c r="F1083" s="172">
        <v>4</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3.25</v>
      </c>
      <c r="Y1083" s="19">
        <v>0</v>
      </c>
      <c r="Z1083" s="32">
        <v>4000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44" t="s">
        <v>2352</v>
      </c>
      <c r="AV1083" s="344" t="s">
        <v>2263</v>
      </c>
      <c r="AW1083" s="35" t="s">
        <v>205</v>
      </c>
      <c r="AX1083" s="72" t="s">
        <v>551</v>
      </c>
      <c r="AY1083" s="74">
        <v>10000001</v>
      </c>
      <c r="AZ1083" s="50">
        <v>77005103</v>
      </c>
      <c r="BA1083" s="202" t="s">
        <v>321</v>
      </c>
      <c r="BB1083" s="72">
        <v>1</v>
      </c>
      <c r="BC1083" s="75">
        <v>0</v>
      </c>
      <c r="BD1083" s="75">
        <v>0</v>
      </c>
      <c r="BE1083" s="185" t="str">
        <f t="shared" si="118"/>
        <v>对目标区域的敌人造成325%攻击伤害+4000点固定伤害,并附加1秒眩晕和魔法印记</v>
      </c>
      <c r="BF1083" s="185" t="s">
        <v>2360</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30" t="s">
        <v>2361</v>
      </c>
      <c r="BV1083" s="23"/>
      <c r="BW1083" s="23"/>
      <c r="BX1083" s="23"/>
      <c r="BY1083" s="23"/>
      <c r="BZ1083" s="23"/>
    </row>
    <row r="1084" spans="1:78" s="1" customFormat="1" ht="20.100000000000001" customHeight="1">
      <c r="A1084" s="218"/>
      <c r="B1084" s="218"/>
      <c r="C1084" s="74">
        <v>64013306</v>
      </c>
      <c r="D1084" s="71" t="s">
        <v>2350</v>
      </c>
      <c r="E1084" s="71" t="s">
        <v>2351</v>
      </c>
      <c r="F1084" s="172">
        <v>5</v>
      </c>
      <c r="G1084" s="50">
        <v>64013301</v>
      </c>
      <c r="H1084" s="50">
        <v>0</v>
      </c>
      <c r="I1084" s="75">
        <v>0</v>
      </c>
      <c r="J1084" s="32">
        <v>0</v>
      </c>
      <c r="K1084" s="32">
        <v>0</v>
      </c>
      <c r="L1084" s="74">
        <v>0</v>
      </c>
      <c r="M1084" s="72">
        <v>0</v>
      </c>
      <c r="N1084" s="72">
        <v>0</v>
      </c>
      <c r="O1084" s="72">
        <v>1</v>
      </c>
      <c r="P1084" s="72">
        <v>0</v>
      </c>
      <c r="Q1084" s="72">
        <v>0</v>
      </c>
      <c r="R1084" s="72">
        <v>0</v>
      </c>
      <c r="S1084" s="73">
        <v>0</v>
      </c>
      <c r="T1084" s="72">
        <v>0</v>
      </c>
      <c r="U1084" s="72">
        <v>1</v>
      </c>
      <c r="V1084" s="72">
        <v>1</v>
      </c>
      <c r="W1084" s="72">
        <v>0</v>
      </c>
      <c r="X1084" s="32">
        <v>3.5</v>
      </c>
      <c r="Y1084" s="19">
        <v>0</v>
      </c>
      <c r="Z1084" s="32">
        <v>5200</v>
      </c>
      <c r="AA1084" s="72">
        <v>0</v>
      </c>
      <c r="AB1084" s="72">
        <v>0</v>
      </c>
      <c r="AC1084" s="72">
        <v>0</v>
      </c>
      <c r="AD1084" s="72">
        <v>0</v>
      </c>
      <c r="AE1084" s="72">
        <v>0</v>
      </c>
      <c r="AF1084" s="32">
        <v>12</v>
      </c>
      <c r="AG1084" s="72">
        <v>1</v>
      </c>
      <c r="AH1084" s="176">
        <v>4</v>
      </c>
      <c r="AI1084" s="175">
        <v>2</v>
      </c>
      <c r="AJ1084" s="175">
        <v>1</v>
      </c>
      <c r="AK1084" s="175">
        <v>0</v>
      </c>
      <c r="AL1084" s="175">
        <v>6</v>
      </c>
      <c r="AM1084" s="72">
        <v>0</v>
      </c>
      <c r="AN1084" s="72">
        <v>0</v>
      </c>
      <c r="AO1084" s="72">
        <v>0</v>
      </c>
      <c r="AP1084" s="72">
        <v>0.2</v>
      </c>
      <c r="AQ1084" s="72">
        <v>3000</v>
      </c>
      <c r="AR1084" s="72">
        <v>0.4</v>
      </c>
      <c r="AS1084" s="72">
        <v>0</v>
      </c>
      <c r="AT1084" s="73">
        <v>0</v>
      </c>
      <c r="AU1084" s="344" t="s">
        <v>2352</v>
      </c>
      <c r="AV1084" s="344" t="s">
        <v>2263</v>
      </c>
      <c r="AW1084" s="35" t="s">
        <v>205</v>
      </c>
      <c r="AX1084" s="72" t="s">
        <v>551</v>
      </c>
      <c r="AY1084" s="74">
        <v>10000001</v>
      </c>
      <c r="AZ1084" s="50">
        <v>77005103</v>
      </c>
      <c r="BA1084" s="202" t="s">
        <v>321</v>
      </c>
      <c r="BB1084" s="72">
        <v>1</v>
      </c>
      <c r="BC1084" s="75">
        <v>0</v>
      </c>
      <c r="BD1084" s="75">
        <v>0</v>
      </c>
      <c r="BE1084" s="185" t="str">
        <f t="shared" si="118"/>
        <v>对目标区域的敌人造成350%攻击伤害+5200点固定伤害,并附加1秒眩晕和魔法印记</v>
      </c>
      <c r="BF1084" s="185" t="s">
        <v>2362</v>
      </c>
      <c r="BG1084" s="72">
        <v>0</v>
      </c>
      <c r="BH1084" s="72">
        <v>0</v>
      </c>
      <c r="BI1084" s="72">
        <v>0</v>
      </c>
      <c r="BJ1084" s="72">
        <v>0</v>
      </c>
      <c r="BK1084" s="72">
        <v>0</v>
      </c>
      <c r="BL1084" s="72">
        <v>0</v>
      </c>
      <c r="BM1084" s="90">
        <v>0</v>
      </c>
      <c r="BN1084" s="73">
        <v>0</v>
      </c>
      <c r="BO1084" s="73">
        <v>0</v>
      </c>
      <c r="BP1084" s="73">
        <v>0</v>
      </c>
      <c r="BQ1084" s="73">
        <v>0</v>
      </c>
      <c r="BR1084" s="73">
        <v>0</v>
      </c>
      <c r="BS1084" s="73">
        <v>0</v>
      </c>
      <c r="BT1084" s="73">
        <v>0</v>
      </c>
      <c r="BU1084" s="330" t="s">
        <v>2363</v>
      </c>
      <c r="BV1084" s="23"/>
      <c r="BW1084" s="23"/>
      <c r="BX1084" s="23"/>
      <c r="BY1084" s="23"/>
      <c r="BZ1084" s="23"/>
    </row>
    <row r="1085" spans="1:78" s="4" customFormat="1" ht="20.100000000000001" customHeight="1">
      <c r="A1085" s="231"/>
      <c r="B1085" s="231"/>
      <c r="C1085" s="50">
        <v>64013311</v>
      </c>
      <c r="D1085" s="49" t="s">
        <v>2364</v>
      </c>
      <c r="E1085" s="49" t="s">
        <v>2365</v>
      </c>
      <c r="F1085" s="216">
        <v>0</v>
      </c>
      <c r="G1085" s="50">
        <v>64013301</v>
      </c>
      <c r="H1085" s="50">
        <v>64013302</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46" t="s">
        <v>2366</v>
      </c>
      <c r="AU1085" s="50">
        <v>0</v>
      </c>
      <c r="AV1085" s="50"/>
      <c r="AW1085" s="49" t="s">
        <v>204</v>
      </c>
      <c r="AX1085" s="50" t="s">
        <v>551</v>
      </c>
      <c r="AY1085" s="50">
        <v>0</v>
      </c>
      <c r="AZ1085" s="50">
        <v>77005103</v>
      </c>
      <c r="BA1085" s="49" t="s">
        <v>1180</v>
      </c>
      <c r="BB1085" s="346" t="s">
        <v>2367</v>
      </c>
      <c r="BC1085" s="50">
        <v>0</v>
      </c>
      <c r="BD1085" s="50">
        <v>0</v>
      </c>
      <c r="BE1085" s="52" t="s">
        <v>2368</v>
      </c>
      <c r="BF1085" s="52" t="s">
        <v>2369</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64013312</v>
      </c>
      <c r="D1086" s="49" t="s">
        <v>2364</v>
      </c>
      <c r="E1086" s="49" t="s">
        <v>2365</v>
      </c>
      <c r="F1086" s="216">
        <v>1</v>
      </c>
      <c r="G1086" s="50">
        <v>64013301</v>
      </c>
      <c r="H1086" s="50">
        <v>64013303</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46" t="s">
        <v>2366</v>
      </c>
      <c r="AU1086" s="50">
        <v>0</v>
      </c>
      <c r="AV1086" s="50"/>
      <c r="AW1086" s="49" t="s">
        <v>204</v>
      </c>
      <c r="AX1086" s="50" t="s">
        <v>551</v>
      </c>
      <c r="AY1086" s="50">
        <v>0</v>
      </c>
      <c r="AZ1086" s="50">
        <v>77005103</v>
      </c>
      <c r="BA1086" s="49" t="s">
        <v>1180</v>
      </c>
      <c r="BB1086" s="346" t="s">
        <v>2367</v>
      </c>
      <c r="BC1086" s="50">
        <v>0</v>
      </c>
      <c r="BD1086" s="50">
        <v>0</v>
      </c>
      <c r="BE1086" s="52" t="s">
        <v>2368</v>
      </c>
      <c r="BF1086" s="52" t="s">
        <v>2369</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64013313</v>
      </c>
      <c r="D1087" s="49" t="s">
        <v>2364</v>
      </c>
      <c r="E1087" s="49" t="s">
        <v>2365</v>
      </c>
      <c r="F1087" s="216">
        <v>2</v>
      </c>
      <c r="G1087" s="50">
        <v>64013301</v>
      </c>
      <c r="H1087" s="50">
        <v>64013304</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46" t="s">
        <v>2366</v>
      </c>
      <c r="AU1087" s="50">
        <v>0</v>
      </c>
      <c r="AV1087" s="50"/>
      <c r="AW1087" s="49" t="s">
        <v>204</v>
      </c>
      <c r="AX1087" s="50" t="s">
        <v>551</v>
      </c>
      <c r="AY1087" s="50">
        <v>0</v>
      </c>
      <c r="AZ1087" s="50">
        <v>77005103</v>
      </c>
      <c r="BA1087" s="49" t="s">
        <v>1180</v>
      </c>
      <c r="BB1087" s="346" t="s">
        <v>2367</v>
      </c>
      <c r="BC1087" s="50">
        <v>0</v>
      </c>
      <c r="BD1087" s="50">
        <v>0</v>
      </c>
      <c r="BE1087" s="52" t="s">
        <v>2368</v>
      </c>
      <c r="BF1087" s="52" t="s">
        <v>2369</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64013314</v>
      </c>
      <c r="D1088" s="49" t="s">
        <v>2364</v>
      </c>
      <c r="E1088" s="49" t="s">
        <v>2365</v>
      </c>
      <c r="F1088" s="216">
        <v>3</v>
      </c>
      <c r="G1088" s="50">
        <v>64013301</v>
      </c>
      <c r="H1088" s="50">
        <v>64013305</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46" t="s">
        <v>2366</v>
      </c>
      <c r="AU1088" s="50">
        <v>0</v>
      </c>
      <c r="AV1088" s="50"/>
      <c r="AW1088" s="49" t="s">
        <v>204</v>
      </c>
      <c r="AX1088" s="50" t="s">
        <v>551</v>
      </c>
      <c r="AY1088" s="50">
        <v>0</v>
      </c>
      <c r="AZ1088" s="50">
        <v>77005103</v>
      </c>
      <c r="BA1088" s="49" t="s">
        <v>1180</v>
      </c>
      <c r="BB1088" s="346" t="s">
        <v>2367</v>
      </c>
      <c r="BC1088" s="50">
        <v>0</v>
      </c>
      <c r="BD1088" s="50">
        <v>0</v>
      </c>
      <c r="BE1088" s="52" t="s">
        <v>2368</v>
      </c>
      <c r="BF1088" s="52" t="s">
        <v>2369</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64013315</v>
      </c>
      <c r="D1089" s="49" t="s">
        <v>2364</v>
      </c>
      <c r="E1089" s="49" t="s">
        <v>2365</v>
      </c>
      <c r="F1089" s="216">
        <v>4</v>
      </c>
      <c r="G1089" s="50">
        <v>64013301</v>
      </c>
      <c r="H1089" s="50">
        <v>64013306</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46" t="s">
        <v>2366</v>
      </c>
      <c r="AU1089" s="50">
        <v>0</v>
      </c>
      <c r="AV1089" s="50"/>
      <c r="AW1089" s="49" t="s">
        <v>204</v>
      </c>
      <c r="AX1089" s="50" t="s">
        <v>551</v>
      </c>
      <c r="AY1089" s="50">
        <v>0</v>
      </c>
      <c r="AZ1089" s="50">
        <v>77005103</v>
      </c>
      <c r="BA1089" s="49" t="s">
        <v>1180</v>
      </c>
      <c r="BB1089" s="346" t="s">
        <v>2367</v>
      </c>
      <c r="BC1089" s="50">
        <v>0</v>
      </c>
      <c r="BD1089" s="50">
        <v>0</v>
      </c>
      <c r="BE1089" s="52" t="s">
        <v>2368</v>
      </c>
      <c r="BF1089" s="52" t="s">
        <v>2369</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4" customFormat="1" ht="20.100000000000001" customHeight="1">
      <c r="A1090" s="231"/>
      <c r="B1090" s="231"/>
      <c r="C1090" s="50">
        <v>64013316</v>
      </c>
      <c r="D1090" s="49" t="s">
        <v>2364</v>
      </c>
      <c r="E1090" s="49" t="s">
        <v>2365</v>
      </c>
      <c r="F1090" s="216">
        <v>5</v>
      </c>
      <c r="G1090" s="50">
        <v>64013301</v>
      </c>
      <c r="H1090" s="50">
        <v>0</v>
      </c>
      <c r="I1090" s="50">
        <v>0</v>
      </c>
      <c r="J1090" s="32">
        <v>0</v>
      </c>
      <c r="K1090" s="50">
        <v>0</v>
      </c>
      <c r="L1090" s="50">
        <v>0</v>
      </c>
      <c r="M1090" s="50">
        <v>0</v>
      </c>
      <c r="N1090" s="50">
        <v>0</v>
      </c>
      <c r="O1090" s="50">
        <v>1</v>
      </c>
      <c r="P1090" s="50">
        <v>0</v>
      </c>
      <c r="Q1090" s="50">
        <v>0</v>
      </c>
      <c r="R1090" s="50">
        <v>0</v>
      </c>
      <c r="S1090" s="50">
        <v>0</v>
      </c>
      <c r="T1090" s="50">
        <v>0</v>
      </c>
      <c r="U1090" s="50">
        <v>1</v>
      </c>
      <c r="V1090" s="50">
        <v>1</v>
      </c>
      <c r="W1090" s="50">
        <v>0</v>
      </c>
      <c r="X1090" s="50">
        <v>0</v>
      </c>
      <c r="Y1090" s="19">
        <v>0</v>
      </c>
      <c r="Z1090" s="50">
        <v>0</v>
      </c>
      <c r="AA1090" s="50">
        <v>0</v>
      </c>
      <c r="AB1090" s="50">
        <v>0</v>
      </c>
      <c r="AC1090" s="50">
        <v>0</v>
      </c>
      <c r="AD1090" s="50">
        <v>0</v>
      </c>
      <c r="AE1090" s="50">
        <v>0</v>
      </c>
      <c r="AF1090" s="232">
        <v>10</v>
      </c>
      <c r="AG1090" s="50">
        <v>1</v>
      </c>
      <c r="AH1090" s="50">
        <v>3</v>
      </c>
      <c r="AI1090" s="50">
        <v>0</v>
      </c>
      <c r="AJ1090" s="50">
        <v>0</v>
      </c>
      <c r="AK1090" s="50">
        <v>0</v>
      </c>
      <c r="AL1090" s="50">
        <v>1.5</v>
      </c>
      <c r="AM1090" s="50">
        <v>0</v>
      </c>
      <c r="AN1090" s="50">
        <v>0</v>
      </c>
      <c r="AO1090" s="50">
        <v>0</v>
      </c>
      <c r="AP1090" s="50">
        <v>3</v>
      </c>
      <c r="AQ1090" s="50">
        <v>3000</v>
      </c>
      <c r="AR1090" s="50">
        <v>0.1</v>
      </c>
      <c r="AS1090" s="50">
        <v>0</v>
      </c>
      <c r="AT1090" s="346" t="s">
        <v>2366</v>
      </c>
      <c r="AU1090" s="50">
        <v>0</v>
      </c>
      <c r="AV1090" s="50"/>
      <c r="AW1090" s="49" t="s">
        <v>204</v>
      </c>
      <c r="AX1090" s="50" t="s">
        <v>551</v>
      </c>
      <c r="AY1090" s="50">
        <v>0</v>
      </c>
      <c r="AZ1090" s="50">
        <v>77005103</v>
      </c>
      <c r="BA1090" s="49" t="s">
        <v>1180</v>
      </c>
      <c r="BB1090" s="346" t="s">
        <v>2367</v>
      </c>
      <c r="BC1090" s="50">
        <v>0</v>
      </c>
      <c r="BD1090" s="50">
        <v>0</v>
      </c>
      <c r="BE1090" s="52" t="s">
        <v>2368</v>
      </c>
      <c r="BF1090" s="52" t="s">
        <v>2369</v>
      </c>
      <c r="BG1090" s="50">
        <v>0</v>
      </c>
      <c r="BH1090" s="50">
        <v>0</v>
      </c>
      <c r="BI1090" s="50">
        <v>0</v>
      </c>
      <c r="BJ1090" s="50">
        <v>0</v>
      </c>
      <c r="BK1090" s="50">
        <v>0</v>
      </c>
      <c r="BL1090" s="50">
        <v>0</v>
      </c>
      <c r="BM1090" s="233">
        <v>0</v>
      </c>
      <c r="BN1090" s="50">
        <v>0</v>
      </c>
      <c r="BO1090" s="50">
        <v>0</v>
      </c>
      <c r="BP1090" s="50">
        <v>0</v>
      </c>
      <c r="BQ1090" s="50">
        <v>0</v>
      </c>
      <c r="BR1090" s="50">
        <v>0</v>
      </c>
      <c r="BS1090" s="50">
        <v>0</v>
      </c>
      <c r="BT1090" s="50">
        <v>0</v>
      </c>
      <c r="BU1090" s="50">
        <v>0</v>
      </c>
      <c r="BV1090" s="23"/>
      <c r="BW1090" s="23"/>
      <c r="BX1090" s="23"/>
      <c r="BY1090" s="23"/>
      <c r="BZ1090" s="23"/>
    </row>
    <row r="1091" spans="1:78" s="2" customFormat="1" ht="20.100000000000001" customHeight="1">
      <c r="A1091" s="219"/>
      <c r="B1091" s="219"/>
      <c r="C1091" s="107">
        <v>64013401</v>
      </c>
      <c r="D1091" s="110" t="s">
        <v>2370</v>
      </c>
      <c r="E1091" s="110" t="s">
        <v>2371</v>
      </c>
      <c r="F1091" s="172">
        <v>0</v>
      </c>
      <c r="G1091" s="107">
        <v>64013401</v>
      </c>
      <c r="H1091" s="72">
        <v>64013402</v>
      </c>
      <c r="I1091" s="105">
        <v>0</v>
      </c>
      <c r="J1091" s="21">
        <v>35</v>
      </c>
      <c r="K1091" s="32">
        <v>5</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23" t="s">
        <v>2372</v>
      </c>
      <c r="AU1091" s="100" t="s">
        <v>204</v>
      </c>
      <c r="AV1091" s="344" t="s">
        <v>2263</v>
      </c>
      <c r="AW1091" s="110" t="s">
        <v>204</v>
      </c>
      <c r="AX1091" s="100" t="s">
        <v>551</v>
      </c>
      <c r="AY1091" s="107">
        <v>0</v>
      </c>
      <c r="AZ1091" s="107">
        <v>77005104</v>
      </c>
      <c r="BA1091" s="110" t="s">
        <v>1171</v>
      </c>
      <c r="BB1091" s="100">
        <v>0</v>
      </c>
      <c r="BC1091" s="105">
        <v>0</v>
      </c>
      <c r="BD1091" s="105">
        <v>0</v>
      </c>
      <c r="BE1091" s="185" t="str">
        <f>"自身变成燃烧的烈风,移动速度降低25%,旋风状态中无法选并且无法释放其他技能，对附近的单位每"&amp;X1091*100&amp;"%攻击伤害+"&amp;Z1091&amp;"点固定伤害,并附加1秒眩晕和魔法印记"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2373</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64013402</v>
      </c>
      <c r="D1092" s="110" t="s">
        <v>2370</v>
      </c>
      <c r="E1092" s="110" t="s">
        <v>2371</v>
      </c>
      <c r="F1092" s="172">
        <v>1</v>
      </c>
      <c r="G1092" s="107">
        <v>64013401</v>
      </c>
      <c r="H1092" s="72">
        <v>64013403</v>
      </c>
      <c r="I1092" s="105">
        <v>0</v>
      </c>
      <c r="J1092" s="21">
        <v>42</v>
      </c>
      <c r="K1092" s="32">
        <v>2</v>
      </c>
      <c r="L1092" s="107">
        <v>0</v>
      </c>
      <c r="M1092" s="100">
        <v>0</v>
      </c>
      <c r="N1092" s="100">
        <v>0</v>
      </c>
      <c r="O1092" s="100">
        <v>1</v>
      </c>
      <c r="P1092" s="100">
        <v>0</v>
      </c>
      <c r="Q1092" s="100">
        <v>0</v>
      </c>
      <c r="R1092" s="100">
        <v>0</v>
      </c>
      <c r="S1092" s="99">
        <v>0</v>
      </c>
      <c r="T1092" s="100">
        <v>0</v>
      </c>
      <c r="U1092" s="100">
        <v>1</v>
      </c>
      <c r="V1092" s="100">
        <v>1</v>
      </c>
      <c r="W1092" s="100">
        <v>0</v>
      </c>
      <c r="X1092" s="100">
        <v>2.4</v>
      </c>
      <c r="Y1092" s="19">
        <v>0</v>
      </c>
      <c r="Z1092" s="100">
        <v>900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23" t="s">
        <v>2372</v>
      </c>
      <c r="AU1092" s="100" t="s">
        <v>204</v>
      </c>
      <c r="AV1092" s="344" t="s">
        <v>2263</v>
      </c>
      <c r="AW1092" s="110" t="s">
        <v>204</v>
      </c>
      <c r="AX1092" s="100" t="s">
        <v>551</v>
      </c>
      <c r="AY1092" s="107">
        <v>0</v>
      </c>
      <c r="AZ1092" s="107">
        <v>77005104</v>
      </c>
      <c r="BA1092" s="110" t="s">
        <v>1171</v>
      </c>
      <c r="BB1092" s="100">
        <v>0</v>
      </c>
      <c r="BC1092" s="105">
        <v>0</v>
      </c>
      <c r="BD1092" s="105">
        <v>0</v>
      </c>
      <c r="BE1092" s="185" t="str">
        <f t="shared" ref="BE1092:BE1096" si="119">"自身变成燃烧的烈风,移动速度降低25%,旋风状态中无法选并且无法释放其他技能，对附近的单位每"&amp;X1092*100&amp;"%攻击伤害+"&amp;Z1092&amp;"点固定伤害,并附加1秒眩晕和魔法印记"</f>
        <v>自身变成燃烧的烈风,移动速度降低25%,旋风状态中无法选并且无法释放其他技能，对附近的单位每240%攻击伤害+900点固定伤害,并附加1秒眩晕和魔法印记</v>
      </c>
      <c r="BF1092" s="185" t="s">
        <v>2373</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64013403</v>
      </c>
      <c r="D1093" s="110" t="s">
        <v>2370</v>
      </c>
      <c r="E1093" s="110" t="s">
        <v>2371</v>
      </c>
      <c r="F1093" s="172">
        <v>2</v>
      </c>
      <c r="G1093" s="107">
        <v>64013401</v>
      </c>
      <c r="H1093" s="72">
        <v>64013404</v>
      </c>
      <c r="I1093" s="105">
        <v>0</v>
      </c>
      <c r="J1093" s="21">
        <v>47</v>
      </c>
      <c r="K1093" s="32">
        <v>2</v>
      </c>
      <c r="L1093" s="107">
        <v>0</v>
      </c>
      <c r="M1093" s="100">
        <v>0</v>
      </c>
      <c r="N1093" s="100">
        <v>0</v>
      </c>
      <c r="O1093" s="100">
        <v>1</v>
      </c>
      <c r="P1093" s="100">
        <v>0</v>
      </c>
      <c r="Q1093" s="100">
        <v>0</v>
      </c>
      <c r="R1093" s="100">
        <v>0</v>
      </c>
      <c r="S1093" s="99">
        <v>0</v>
      </c>
      <c r="T1093" s="100">
        <v>0</v>
      </c>
      <c r="U1093" s="100">
        <v>1</v>
      </c>
      <c r="V1093" s="100">
        <v>1</v>
      </c>
      <c r="W1093" s="100">
        <v>0</v>
      </c>
      <c r="X1093" s="100">
        <v>2.7</v>
      </c>
      <c r="Y1093" s="19">
        <v>0</v>
      </c>
      <c r="Z1093" s="100">
        <v>1800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23" t="s">
        <v>2372</v>
      </c>
      <c r="AU1093" s="100" t="s">
        <v>204</v>
      </c>
      <c r="AV1093" s="344" t="s">
        <v>2263</v>
      </c>
      <c r="AW1093" s="110" t="s">
        <v>204</v>
      </c>
      <c r="AX1093" s="100" t="s">
        <v>551</v>
      </c>
      <c r="AY1093" s="107">
        <v>0</v>
      </c>
      <c r="AZ1093" s="107">
        <v>77005104</v>
      </c>
      <c r="BA1093" s="110" t="s">
        <v>1171</v>
      </c>
      <c r="BB1093" s="100">
        <v>0</v>
      </c>
      <c r="BC1093" s="105">
        <v>0</v>
      </c>
      <c r="BD1093" s="105">
        <v>0</v>
      </c>
      <c r="BE1093" s="185" t="str">
        <f t="shared" si="119"/>
        <v>自身变成燃烧的烈风,移动速度降低25%,旋风状态中无法选并且无法释放其他技能，对附近的单位每270%攻击伤害+1800点固定伤害,并附加1秒眩晕和魔法印记</v>
      </c>
      <c r="BF1093" s="185" t="s">
        <v>2374</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64013404</v>
      </c>
      <c r="D1094" s="110" t="s">
        <v>2370</v>
      </c>
      <c r="E1094" s="110" t="s">
        <v>2371</v>
      </c>
      <c r="F1094" s="172">
        <v>3</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v>
      </c>
      <c r="Y1094" s="19">
        <v>0</v>
      </c>
      <c r="Z1094" s="100">
        <v>2800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23" t="s">
        <v>2372</v>
      </c>
      <c r="AU1094" s="100" t="s">
        <v>204</v>
      </c>
      <c r="AV1094" s="344" t="s">
        <v>2263</v>
      </c>
      <c r="AW1094" s="110" t="s">
        <v>204</v>
      </c>
      <c r="AX1094" s="100" t="s">
        <v>551</v>
      </c>
      <c r="AY1094" s="107">
        <v>0</v>
      </c>
      <c r="AZ1094" s="107">
        <v>77005104</v>
      </c>
      <c r="BA1094" s="110" t="s">
        <v>1171</v>
      </c>
      <c r="BB1094" s="100">
        <v>0</v>
      </c>
      <c r="BC1094" s="105">
        <v>0</v>
      </c>
      <c r="BD1094" s="105">
        <v>0</v>
      </c>
      <c r="BE1094" s="185" t="str">
        <f t="shared" si="119"/>
        <v>自身变成燃烧的烈风,移动速度降低25%,旋风状态中无法选并且无法释放其他技能，对附近的单位每300%攻击伤害+2800点固定伤害,并附加1秒眩晕和魔法印记</v>
      </c>
      <c r="BF1094" s="185" t="s">
        <v>2375</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64013405</v>
      </c>
      <c r="D1095" s="110" t="s">
        <v>2370</v>
      </c>
      <c r="E1095" s="110" t="s">
        <v>2371</v>
      </c>
      <c r="F1095" s="172">
        <v>4</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3.3</v>
      </c>
      <c r="Y1095" s="19">
        <v>0</v>
      </c>
      <c r="Z1095" s="100">
        <v>4000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23" t="s">
        <v>2372</v>
      </c>
      <c r="AU1095" s="100" t="s">
        <v>204</v>
      </c>
      <c r="AV1095" s="344" t="s">
        <v>2263</v>
      </c>
      <c r="AW1095" s="110" t="s">
        <v>204</v>
      </c>
      <c r="AX1095" s="100" t="s">
        <v>551</v>
      </c>
      <c r="AY1095" s="107">
        <v>0</v>
      </c>
      <c r="AZ1095" s="107">
        <v>77005104</v>
      </c>
      <c r="BA1095" s="110" t="s">
        <v>1171</v>
      </c>
      <c r="BB1095" s="100">
        <v>0</v>
      </c>
      <c r="BC1095" s="105">
        <v>0</v>
      </c>
      <c r="BD1095" s="105">
        <v>0</v>
      </c>
      <c r="BE1095" s="185" t="str">
        <f t="shared" si="119"/>
        <v>自身变成燃烧的烈风,移动速度降低25%,旋风状态中无法选并且无法释放其他技能，对附近的单位每330%攻击伤害+4000点固定伤害,并附加1秒眩晕和魔法印记</v>
      </c>
      <c r="BF1095" s="185" t="s">
        <v>2376</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2" customFormat="1" ht="20.100000000000001" customHeight="1">
      <c r="A1096" s="219"/>
      <c r="B1096" s="219"/>
      <c r="C1096" s="107">
        <v>64013406</v>
      </c>
      <c r="D1096" s="110" t="s">
        <v>2370</v>
      </c>
      <c r="E1096" s="110" t="s">
        <v>2371</v>
      </c>
      <c r="F1096" s="172">
        <v>5</v>
      </c>
      <c r="G1096" s="107">
        <v>64013401</v>
      </c>
      <c r="H1096" s="72">
        <v>0</v>
      </c>
      <c r="I1096" s="105">
        <v>0</v>
      </c>
      <c r="J1096" s="32">
        <v>0</v>
      </c>
      <c r="K1096" s="32">
        <v>0</v>
      </c>
      <c r="L1096" s="107">
        <v>0</v>
      </c>
      <c r="M1096" s="100">
        <v>0</v>
      </c>
      <c r="N1096" s="100">
        <v>0</v>
      </c>
      <c r="O1096" s="100">
        <v>1</v>
      </c>
      <c r="P1096" s="100">
        <v>0</v>
      </c>
      <c r="Q1096" s="100">
        <v>0</v>
      </c>
      <c r="R1096" s="100">
        <v>0</v>
      </c>
      <c r="S1096" s="99">
        <v>0</v>
      </c>
      <c r="T1096" s="100">
        <v>0</v>
      </c>
      <c r="U1096" s="100">
        <v>1</v>
      </c>
      <c r="V1096" s="100">
        <v>1</v>
      </c>
      <c r="W1096" s="100">
        <v>0</v>
      </c>
      <c r="X1096" s="100">
        <v>3.6</v>
      </c>
      <c r="Y1096" s="19">
        <v>0</v>
      </c>
      <c r="Z1096" s="100">
        <v>5200</v>
      </c>
      <c r="AA1096" s="100">
        <v>0</v>
      </c>
      <c r="AB1096" s="100">
        <v>0</v>
      </c>
      <c r="AC1096" s="100">
        <v>0</v>
      </c>
      <c r="AD1096" s="100">
        <v>0</v>
      </c>
      <c r="AE1096" s="100">
        <v>0</v>
      </c>
      <c r="AF1096" s="19">
        <v>24</v>
      </c>
      <c r="AG1096" s="100">
        <v>1</v>
      </c>
      <c r="AH1096" s="100">
        <v>2</v>
      </c>
      <c r="AI1096" s="99">
        <v>2</v>
      </c>
      <c r="AJ1096" s="99">
        <v>0</v>
      </c>
      <c r="AK1096" s="99">
        <v>0</v>
      </c>
      <c r="AL1096" s="99">
        <v>0</v>
      </c>
      <c r="AM1096" s="100">
        <v>0</v>
      </c>
      <c r="AN1096" s="100">
        <v>0</v>
      </c>
      <c r="AO1096" s="100">
        <v>0</v>
      </c>
      <c r="AP1096" s="107">
        <v>0</v>
      </c>
      <c r="AQ1096" s="100">
        <v>5000</v>
      </c>
      <c r="AR1096" s="100">
        <v>0</v>
      </c>
      <c r="AS1096" s="100">
        <v>0</v>
      </c>
      <c r="AT1096" s="323" t="s">
        <v>2372</v>
      </c>
      <c r="AU1096" s="100" t="s">
        <v>204</v>
      </c>
      <c r="AV1096" s="344" t="s">
        <v>2263</v>
      </c>
      <c r="AW1096" s="110" t="s">
        <v>204</v>
      </c>
      <c r="AX1096" s="100" t="s">
        <v>551</v>
      </c>
      <c r="AY1096" s="107">
        <v>0</v>
      </c>
      <c r="AZ1096" s="107">
        <v>77005104</v>
      </c>
      <c r="BA1096" s="110" t="s">
        <v>1171</v>
      </c>
      <c r="BB1096" s="100">
        <v>0</v>
      </c>
      <c r="BC1096" s="105">
        <v>0</v>
      </c>
      <c r="BD1096" s="105">
        <v>0</v>
      </c>
      <c r="BE1096" s="185" t="str">
        <f t="shared" si="119"/>
        <v>自身变成燃烧的烈风,移动速度降低25%,旋风状态中无法选并且无法释放其他技能，对附近的单位每360%攻击伤害+5200点固定伤害,并附加1秒眩晕和魔法印记</v>
      </c>
      <c r="BF1096" s="185" t="s">
        <v>2377</v>
      </c>
      <c r="BG1096" s="100">
        <v>0</v>
      </c>
      <c r="BH1096" s="100">
        <v>0</v>
      </c>
      <c r="BI1096" s="100">
        <v>0</v>
      </c>
      <c r="BJ1096" s="100">
        <v>0</v>
      </c>
      <c r="BK1096" s="100">
        <v>0</v>
      </c>
      <c r="BL1096" s="100">
        <v>0</v>
      </c>
      <c r="BM1096" s="97">
        <v>0</v>
      </c>
      <c r="BN1096" s="99">
        <v>0</v>
      </c>
      <c r="BO1096" s="99">
        <v>0</v>
      </c>
      <c r="BP1096" s="99">
        <v>0</v>
      </c>
      <c r="BQ1096" s="99">
        <v>0</v>
      </c>
      <c r="BR1096" s="99">
        <v>0</v>
      </c>
      <c r="BS1096" s="99">
        <v>0</v>
      </c>
      <c r="BT1096" s="99">
        <v>0</v>
      </c>
      <c r="BU1096" s="99">
        <v>0</v>
      </c>
      <c r="BV1096" s="23"/>
      <c r="BW1096" s="23"/>
      <c r="BX1096" s="23"/>
      <c r="BY1096" s="23"/>
      <c r="BZ1096" s="23"/>
    </row>
    <row r="1097" spans="1:78" s="3" customFormat="1" ht="19.5" customHeight="1">
      <c r="A1097" s="220"/>
      <c r="B1097" s="220"/>
      <c r="C1097" s="221">
        <v>64013501</v>
      </c>
      <c r="D1097" s="222" t="s">
        <v>766</v>
      </c>
      <c r="E1097" s="222" t="s">
        <v>767</v>
      </c>
      <c r="F1097" s="225">
        <v>1</v>
      </c>
      <c r="G1097" s="225">
        <v>0</v>
      </c>
      <c r="H1097" s="225">
        <v>0</v>
      </c>
      <c r="I1097" s="226">
        <v>0</v>
      </c>
      <c r="J1097" s="221">
        <v>1</v>
      </c>
      <c r="K1097" s="221">
        <v>0</v>
      </c>
      <c r="L1097" s="221">
        <v>0</v>
      </c>
      <c r="M1097" s="225">
        <v>0</v>
      </c>
      <c r="N1097" s="225">
        <v>0</v>
      </c>
      <c r="O1097" s="225">
        <v>2</v>
      </c>
      <c r="P1097" s="225">
        <v>1</v>
      </c>
      <c r="Q1097" s="225">
        <v>1</v>
      </c>
      <c r="R1097" s="225">
        <v>1</v>
      </c>
      <c r="S1097" s="227">
        <v>0</v>
      </c>
      <c r="T1097" s="225">
        <v>0</v>
      </c>
      <c r="U1097" s="225">
        <v>1</v>
      </c>
      <c r="V1097" s="225">
        <v>1</v>
      </c>
      <c r="W1097" s="225">
        <v>0</v>
      </c>
      <c r="X1097" s="225">
        <v>1.5</v>
      </c>
      <c r="Y1097" s="19">
        <v>0</v>
      </c>
      <c r="Z1097" s="225">
        <v>0</v>
      </c>
      <c r="AA1097" s="225">
        <v>0</v>
      </c>
      <c r="AB1097" s="225">
        <v>0</v>
      </c>
      <c r="AC1097" s="225">
        <v>0</v>
      </c>
      <c r="AD1097" s="225">
        <v>0</v>
      </c>
      <c r="AE1097" s="225">
        <v>1</v>
      </c>
      <c r="AF1097" s="225">
        <v>10</v>
      </c>
      <c r="AG1097" s="225">
        <v>2</v>
      </c>
      <c r="AH1097" s="225" t="s">
        <v>1042</v>
      </c>
      <c r="AI1097" s="227">
        <v>0</v>
      </c>
      <c r="AJ1097" s="227">
        <v>2</v>
      </c>
      <c r="AK1097" s="227">
        <v>0</v>
      </c>
      <c r="AL1097" s="227">
        <v>1.5</v>
      </c>
      <c r="AM1097" s="225">
        <v>0</v>
      </c>
      <c r="AN1097" s="225">
        <v>0.5</v>
      </c>
      <c r="AO1097" s="225">
        <v>0</v>
      </c>
      <c r="AP1097" s="225">
        <v>1</v>
      </c>
      <c r="AQ1097" s="225">
        <v>1000</v>
      </c>
      <c r="AR1097" s="225">
        <v>0.2</v>
      </c>
      <c r="AS1097" s="225">
        <v>15</v>
      </c>
      <c r="AT1097" s="227">
        <v>0</v>
      </c>
      <c r="AU1097" s="345" t="s">
        <v>2378</v>
      </c>
      <c r="AV1097" s="228"/>
      <c r="AW1097" s="222" t="s">
        <v>205</v>
      </c>
      <c r="AX1097" s="225" t="s">
        <v>221</v>
      </c>
      <c r="AY1097" s="221">
        <v>0</v>
      </c>
      <c r="AZ1097" s="221">
        <v>0</v>
      </c>
      <c r="BA1097" s="234" t="s">
        <v>222</v>
      </c>
      <c r="BB1097" s="225">
        <v>0</v>
      </c>
      <c r="BC1097" s="226">
        <v>0</v>
      </c>
      <c r="BD1097" s="226">
        <v>0</v>
      </c>
      <c r="BE1097" s="230" t="s">
        <v>2379</v>
      </c>
      <c r="BF1097" s="230" t="s">
        <v>2380</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64013601</v>
      </c>
      <c r="D1098" s="222" t="s">
        <v>2381</v>
      </c>
      <c r="E1098" s="222" t="s">
        <v>2382</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2383</v>
      </c>
      <c r="BF1098" s="230" t="s">
        <v>2384</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64013602</v>
      </c>
      <c r="D1099" s="222" t="s">
        <v>2381</v>
      </c>
      <c r="E1099" s="222" t="s">
        <v>2382</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2383</v>
      </c>
      <c r="BF1099" s="230" t="s">
        <v>2384</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64013603</v>
      </c>
      <c r="D1100" s="222" t="s">
        <v>2381</v>
      </c>
      <c r="E1100" s="222" t="s">
        <v>2382</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2383</v>
      </c>
      <c r="BF1100" s="230" t="s">
        <v>2384</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64013604</v>
      </c>
      <c r="D1101" s="222" t="s">
        <v>2381</v>
      </c>
      <c r="E1101" s="222" t="s">
        <v>2382</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2383</v>
      </c>
      <c r="BF1101" s="230" t="s">
        <v>2384</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64013605</v>
      </c>
      <c r="D1102" s="222" t="s">
        <v>2381</v>
      </c>
      <c r="E1102" s="222" t="s">
        <v>2382</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2383</v>
      </c>
      <c r="BF1102" s="230" t="s">
        <v>2384</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3" customFormat="1" ht="19.5" customHeight="1">
      <c r="A1103" s="220"/>
      <c r="B1103" s="220"/>
      <c r="C1103" s="221">
        <v>64013606</v>
      </c>
      <c r="D1103" s="222" t="s">
        <v>2381</v>
      </c>
      <c r="E1103" s="222" t="s">
        <v>2382</v>
      </c>
      <c r="F1103" s="221">
        <v>1</v>
      </c>
      <c r="G1103" s="221">
        <v>0</v>
      </c>
      <c r="H1103" s="221">
        <v>0</v>
      </c>
      <c r="I1103" s="226">
        <v>0</v>
      </c>
      <c r="J1103" s="221">
        <v>1</v>
      </c>
      <c r="K1103" s="221">
        <v>0</v>
      </c>
      <c r="L1103" s="221">
        <v>0</v>
      </c>
      <c r="M1103" s="225">
        <v>0</v>
      </c>
      <c r="N1103" s="225">
        <v>0</v>
      </c>
      <c r="O1103" s="225">
        <v>2</v>
      </c>
      <c r="P1103" s="225">
        <v>3</v>
      </c>
      <c r="Q1103" s="225">
        <v>0.2</v>
      </c>
      <c r="R1103" s="225">
        <v>0</v>
      </c>
      <c r="S1103" s="227">
        <v>0</v>
      </c>
      <c r="T1103" s="225">
        <v>0</v>
      </c>
      <c r="U1103" s="225">
        <v>1</v>
      </c>
      <c r="V1103" s="225">
        <v>2</v>
      </c>
      <c r="W1103" s="225">
        <v>0</v>
      </c>
      <c r="X1103" s="225">
        <v>0</v>
      </c>
      <c r="Y1103" s="19">
        <v>0</v>
      </c>
      <c r="Z1103" s="225">
        <v>0</v>
      </c>
      <c r="AA1103" s="225">
        <v>1</v>
      </c>
      <c r="AB1103" s="225">
        <v>0</v>
      </c>
      <c r="AC1103" s="225">
        <v>0</v>
      </c>
      <c r="AD1103" s="225">
        <v>1</v>
      </c>
      <c r="AE1103" s="225">
        <v>1</v>
      </c>
      <c r="AF1103" s="225">
        <v>0</v>
      </c>
      <c r="AG1103" s="225">
        <v>1</v>
      </c>
      <c r="AH1103" s="225">
        <v>3</v>
      </c>
      <c r="AI1103" s="227">
        <v>0</v>
      </c>
      <c r="AJ1103" s="227">
        <v>1</v>
      </c>
      <c r="AK1103" s="227">
        <v>0</v>
      </c>
      <c r="AL1103" s="227">
        <v>3</v>
      </c>
      <c r="AM1103" s="225">
        <v>0</v>
      </c>
      <c r="AN1103" s="225">
        <v>0</v>
      </c>
      <c r="AO1103" s="225">
        <v>0</v>
      </c>
      <c r="AP1103" s="225">
        <v>0</v>
      </c>
      <c r="AQ1103" s="225">
        <v>500</v>
      </c>
      <c r="AR1103" s="225">
        <v>0</v>
      </c>
      <c r="AS1103" s="225">
        <v>0</v>
      </c>
      <c r="AT1103" s="227">
        <v>95101004</v>
      </c>
      <c r="AU1103" s="228">
        <v>0</v>
      </c>
      <c r="AV1103" s="228"/>
      <c r="AW1103" s="229" t="s">
        <v>204</v>
      </c>
      <c r="AX1103" s="225" t="s">
        <v>540</v>
      </c>
      <c r="AY1103" s="221">
        <v>0</v>
      </c>
      <c r="AZ1103" s="221">
        <v>0</v>
      </c>
      <c r="BA1103" s="222" t="s">
        <v>206</v>
      </c>
      <c r="BB1103" s="225">
        <v>0</v>
      </c>
      <c r="BC1103" s="226">
        <v>0</v>
      </c>
      <c r="BD1103" s="226">
        <v>0</v>
      </c>
      <c r="BE1103" s="230" t="s">
        <v>2383</v>
      </c>
      <c r="BF1103" s="230" t="s">
        <v>2384</v>
      </c>
      <c r="BG1103" s="225">
        <v>0</v>
      </c>
      <c r="BH1103" s="225">
        <v>0</v>
      </c>
      <c r="BI1103" s="225">
        <v>0</v>
      </c>
      <c r="BJ1103" s="225">
        <v>0</v>
      </c>
      <c r="BK1103" s="225">
        <v>0</v>
      </c>
      <c r="BL1103" s="225">
        <v>0</v>
      </c>
      <c r="BM1103" s="224">
        <v>0</v>
      </c>
      <c r="BN1103" s="227">
        <v>0</v>
      </c>
      <c r="BO1103" s="227">
        <v>0</v>
      </c>
      <c r="BP1103" s="227">
        <v>0</v>
      </c>
      <c r="BQ1103" s="227">
        <v>0</v>
      </c>
      <c r="BR1103" s="227">
        <v>0</v>
      </c>
      <c r="BS1103" s="227">
        <v>0</v>
      </c>
      <c r="BT1103" s="227">
        <v>0</v>
      </c>
      <c r="BU1103" s="227">
        <v>0</v>
      </c>
      <c r="BV1103" s="23"/>
      <c r="BW1103" s="23"/>
      <c r="BX1103" s="23"/>
      <c r="BY1103" s="23"/>
      <c r="BZ1103" s="23"/>
    </row>
    <row r="1104" spans="1:78" s="1" customFormat="1" ht="20.100000000000001" customHeight="1">
      <c r="A1104" s="218"/>
      <c r="B1104" s="218"/>
      <c r="C1104" s="107">
        <v>64014101</v>
      </c>
      <c r="D1104" s="71" t="s">
        <v>2385</v>
      </c>
      <c r="E1104" s="71" t="s">
        <v>2386</v>
      </c>
      <c r="F1104" s="172">
        <v>0</v>
      </c>
      <c r="G1104" s="107">
        <v>64014101</v>
      </c>
      <c r="H1104" s="107">
        <v>64014102</v>
      </c>
      <c r="I1104" s="75">
        <v>0</v>
      </c>
      <c r="J1104" s="21">
        <v>18</v>
      </c>
      <c r="K1104" s="32">
        <v>5</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44" t="s">
        <v>2263</v>
      </c>
      <c r="AW1104" s="35" t="s">
        <v>205</v>
      </c>
      <c r="AX1104" s="72" t="s">
        <v>551</v>
      </c>
      <c r="AY1104" s="74">
        <v>10000001</v>
      </c>
      <c r="AZ1104" s="74">
        <v>77005203</v>
      </c>
      <c r="BA1104" s="71" t="s">
        <v>321</v>
      </c>
      <c r="BB1104" s="72">
        <v>1</v>
      </c>
      <c r="BC1104" s="75">
        <v>0</v>
      </c>
      <c r="BD1104" s="75">
        <v>0</v>
      </c>
      <c r="BE1104" s="185" t="str">
        <f>"对目标区域释放一个疾风深渊，每秒造成"&amp;X1104*100&amp;"%攻击伤害+"&amp;Z1104&amp;"点固定伤害,持续6秒,并附加1层魔法印记"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2387</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64014102</v>
      </c>
      <c r="D1105" s="71" t="s">
        <v>2385</v>
      </c>
      <c r="E1105" s="71" t="s">
        <v>2386</v>
      </c>
      <c r="F1105" s="172">
        <v>1</v>
      </c>
      <c r="G1105" s="107">
        <v>64014101</v>
      </c>
      <c r="H1105" s="107">
        <v>64014103</v>
      </c>
      <c r="I1105" s="75">
        <v>0</v>
      </c>
      <c r="J1105" s="21">
        <v>27</v>
      </c>
      <c r="K1105" s="32">
        <v>2</v>
      </c>
      <c r="L1105" s="74">
        <v>0</v>
      </c>
      <c r="M1105" s="72">
        <v>0</v>
      </c>
      <c r="N1105" s="72">
        <v>0</v>
      </c>
      <c r="O1105" s="72">
        <v>1</v>
      </c>
      <c r="P1105" s="72">
        <v>0</v>
      </c>
      <c r="Q1105" s="72">
        <v>0</v>
      </c>
      <c r="R1105" s="72">
        <v>0</v>
      </c>
      <c r="S1105" s="73">
        <v>0</v>
      </c>
      <c r="T1105" s="72">
        <v>0</v>
      </c>
      <c r="U1105" s="72">
        <v>1</v>
      </c>
      <c r="V1105" s="72">
        <v>1</v>
      </c>
      <c r="W1105" s="72">
        <v>0</v>
      </c>
      <c r="X1105" s="32">
        <v>1</v>
      </c>
      <c r="Y1105" s="19">
        <v>0</v>
      </c>
      <c r="Z1105" s="32">
        <v>225</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44" t="s">
        <v>2263</v>
      </c>
      <c r="AW1105" s="35" t="s">
        <v>205</v>
      </c>
      <c r="AX1105" s="72" t="s">
        <v>551</v>
      </c>
      <c r="AY1105" s="74">
        <v>10000001</v>
      </c>
      <c r="AZ1105" s="74">
        <v>77005203</v>
      </c>
      <c r="BA1105" s="71" t="s">
        <v>321</v>
      </c>
      <c r="BB1105" s="72">
        <v>1</v>
      </c>
      <c r="BC1105" s="75">
        <v>0</v>
      </c>
      <c r="BD1105" s="75">
        <v>0</v>
      </c>
      <c r="BE1105" s="185" t="str">
        <f t="shared" ref="BE1105:BE1109" si="120">"对目标区域释放一个疾风深渊，每秒造成"&amp;X1105*100&amp;"%攻击伤害+"&amp;Z1105&amp;"点固定伤害,持续6秒,并附加1层魔法印记"</f>
        <v>对目标区域释放一个疾风深渊，每秒造成100%攻击伤害+225点固定伤害,持续6秒,并附加1层魔法印记</v>
      </c>
      <c r="BF1105" s="185" t="s">
        <v>2387</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64014103</v>
      </c>
      <c r="D1106" s="71" t="s">
        <v>2385</v>
      </c>
      <c r="E1106" s="71" t="s">
        <v>2386</v>
      </c>
      <c r="F1106" s="172">
        <v>2</v>
      </c>
      <c r="G1106" s="107">
        <v>64014101</v>
      </c>
      <c r="H1106" s="107">
        <v>64014104</v>
      </c>
      <c r="I1106" s="75">
        <v>0</v>
      </c>
      <c r="J1106" s="21">
        <v>32</v>
      </c>
      <c r="K1106" s="32">
        <v>2</v>
      </c>
      <c r="L1106" s="74">
        <v>0</v>
      </c>
      <c r="M1106" s="72">
        <v>0</v>
      </c>
      <c r="N1106" s="72">
        <v>0</v>
      </c>
      <c r="O1106" s="72">
        <v>1</v>
      </c>
      <c r="P1106" s="72">
        <v>0</v>
      </c>
      <c r="Q1106" s="72">
        <v>0</v>
      </c>
      <c r="R1106" s="72">
        <v>0</v>
      </c>
      <c r="S1106" s="73">
        <v>0</v>
      </c>
      <c r="T1106" s="72">
        <v>0</v>
      </c>
      <c r="U1106" s="72">
        <v>1</v>
      </c>
      <c r="V1106" s="72">
        <v>1</v>
      </c>
      <c r="W1106" s="72">
        <v>0</v>
      </c>
      <c r="X1106" s="32">
        <v>1.2</v>
      </c>
      <c r="Y1106" s="19">
        <v>0</v>
      </c>
      <c r="Z1106" s="32">
        <v>450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44" t="s">
        <v>2263</v>
      </c>
      <c r="AW1106" s="35" t="s">
        <v>205</v>
      </c>
      <c r="AX1106" s="72" t="s">
        <v>551</v>
      </c>
      <c r="AY1106" s="74">
        <v>10000001</v>
      </c>
      <c r="AZ1106" s="74">
        <v>77005203</v>
      </c>
      <c r="BA1106" s="71" t="s">
        <v>321</v>
      </c>
      <c r="BB1106" s="72">
        <v>1</v>
      </c>
      <c r="BC1106" s="75">
        <v>0</v>
      </c>
      <c r="BD1106" s="75">
        <v>0</v>
      </c>
      <c r="BE1106" s="185" t="str">
        <f t="shared" si="120"/>
        <v>对目标区域释放一个疾风深渊，每秒造成120%攻击伤害+450点固定伤害,持续6秒,并附加1层魔法印记</v>
      </c>
      <c r="BF1106" s="185" t="s">
        <v>2388</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64014104</v>
      </c>
      <c r="D1107" s="71" t="s">
        <v>2385</v>
      </c>
      <c r="E1107" s="71" t="s">
        <v>2386</v>
      </c>
      <c r="F1107" s="172">
        <v>3</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1.4</v>
      </c>
      <c r="Y1107" s="19">
        <v>0</v>
      </c>
      <c r="Z1107" s="32">
        <v>700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44" t="s">
        <v>2263</v>
      </c>
      <c r="AW1107" s="35" t="s">
        <v>205</v>
      </c>
      <c r="AX1107" s="72" t="s">
        <v>551</v>
      </c>
      <c r="AY1107" s="74">
        <v>10000001</v>
      </c>
      <c r="AZ1107" s="74">
        <v>77005203</v>
      </c>
      <c r="BA1107" s="71" t="s">
        <v>321</v>
      </c>
      <c r="BB1107" s="72">
        <v>1</v>
      </c>
      <c r="BC1107" s="75">
        <v>0</v>
      </c>
      <c r="BD1107" s="75">
        <v>0</v>
      </c>
      <c r="BE1107" s="185" t="str">
        <f t="shared" si="120"/>
        <v>对目标区域释放一个疾风深渊，每秒造成140%攻击伤害+700点固定伤害,持续6秒,并附加1层魔法印记</v>
      </c>
      <c r="BF1107" s="185" t="s">
        <v>2389</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64014105</v>
      </c>
      <c r="D1108" s="71" t="s">
        <v>2385</v>
      </c>
      <c r="E1108" s="71" t="s">
        <v>2386</v>
      </c>
      <c r="F1108" s="172">
        <v>4</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1.6</v>
      </c>
      <c r="Y1108" s="19">
        <v>0</v>
      </c>
      <c r="Z1108" s="32">
        <v>1000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44" t="s">
        <v>2263</v>
      </c>
      <c r="AW1108" s="35" t="s">
        <v>205</v>
      </c>
      <c r="AX1108" s="72" t="s">
        <v>551</v>
      </c>
      <c r="AY1108" s="74">
        <v>10000001</v>
      </c>
      <c r="AZ1108" s="74">
        <v>77005203</v>
      </c>
      <c r="BA1108" s="71" t="s">
        <v>321</v>
      </c>
      <c r="BB1108" s="72">
        <v>1</v>
      </c>
      <c r="BC1108" s="75">
        <v>0</v>
      </c>
      <c r="BD1108" s="75">
        <v>0</v>
      </c>
      <c r="BE1108" s="185" t="str">
        <f t="shared" si="120"/>
        <v>对目标区域释放一个疾风深渊，每秒造成160%攻击伤害+1000点固定伤害,持续6秒,并附加1层魔法印记</v>
      </c>
      <c r="BF1108" s="185" t="s">
        <v>2390</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1" customFormat="1" ht="20.100000000000001" customHeight="1">
      <c r="A1109" s="218"/>
      <c r="B1109" s="218"/>
      <c r="C1109" s="107">
        <v>64014106</v>
      </c>
      <c r="D1109" s="71" t="s">
        <v>2385</v>
      </c>
      <c r="E1109" s="71" t="s">
        <v>2386</v>
      </c>
      <c r="F1109" s="172">
        <v>5</v>
      </c>
      <c r="G1109" s="107">
        <v>64014101</v>
      </c>
      <c r="H1109" s="72">
        <v>0</v>
      </c>
      <c r="I1109" s="75">
        <v>0</v>
      </c>
      <c r="J1109" s="21">
        <v>0</v>
      </c>
      <c r="K1109" s="32">
        <v>0</v>
      </c>
      <c r="L1109" s="74">
        <v>0</v>
      </c>
      <c r="M1109" s="72">
        <v>0</v>
      </c>
      <c r="N1109" s="72">
        <v>0</v>
      </c>
      <c r="O1109" s="72">
        <v>1</v>
      </c>
      <c r="P1109" s="72">
        <v>0</v>
      </c>
      <c r="Q1109" s="72">
        <v>0</v>
      </c>
      <c r="R1109" s="72">
        <v>0</v>
      </c>
      <c r="S1109" s="73">
        <v>0</v>
      </c>
      <c r="T1109" s="72">
        <v>0</v>
      </c>
      <c r="U1109" s="72">
        <v>1</v>
      </c>
      <c r="V1109" s="72">
        <v>1</v>
      </c>
      <c r="W1109" s="72">
        <v>0</v>
      </c>
      <c r="X1109" s="32">
        <v>1.8</v>
      </c>
      <c r="Y1109" s="19">
        <v>0</v>
      </c>
      <c r="Z1109" s="32">
        <v>1300</v>
      </c>
      <c r="AA1109" s="72">
        <v>0</v>
      </c>
      <c r="AB1109" s="72">
        <v>0</v>
      </c>
      <c r="AC1109" s="72">
        <v>0</v>
      </c>
      <c r="AD1109" s="72">
        <v>0</v>
      </c>
      <c r="AE1109" s="72">
        <v>0</v>
      </c>
      <c r="AF1109" s="72">
        <v>9</v>
      </c>
      <c r="AG1109" s="72">
        <v>1</v>
      </c>
      <c r="AH1109" s="72">
        <v>4</v>
      </c>
      <c r="AI1109" s="73">
        <v>2</v>
      </c>
      <c r="AJ1109" s="73">
        <v>1</v>
      </c>
      <c r="AK1109" s="73">
        <v>0</v>
      </c>
      <c r="AL1109" s="73">
        <v>8</v>
      </c>
      <c r="AM1109" s="72">
        <v>0</v>
      </c>
      <c r="AN1109" s="72">
        <v>0</v>
      </c>
      <c r="AO1109" s="72">
        <v>0</v>
      </c>
      <c r="AP1109" s="72">
        <v>0</v>
      </c>
      <c r="AQ1109" s="72">
        <v>6000</v>
      </c>
      <c r="AR1109" s="72">
        <v>0.2</v>
      </c>
      <c r="AS1109" s="72">
        <v>0</v>
      </c>
      <c r="AT1109" s="73">
        <v>0</v>
      </c>
      <c r="AU1109" s="93">
        <v>0</v>
      </c>
      <c r="AV1109" s="344" t="s">
        <v>2263</v>
      </c>
      <c r="AW1109" s="35" t="s">
        <v>205</v>
      </c>
      <c r="AX1109" s="72" t="s">
        <v>551</v>
      </c>
      <c r="AY1109" s="74">
        <v>10000001</v>
      </c>
      <c r="AZ1109" s="74">
        <v>77005203</v>
      </c>
      <c r="BA1109" s="71" t="s">
        <v>321</v>
      </c>
      <c r="BB1109" s="72">
        <v>1</v>
      </c>
      <c r="BC1109" s="75">
        <v>0</v>
      </c>
      <c r="BD1109" s="75">
        <v>0</v>
      </c>
      <c r="BE1109" s="185" t="str">
        <f t="shared" si="120"/>
        <v>对目标区域释放一个疾风深渊，每秒造成180%攻击伤害+1300点固定伤害,持续6秒,并附加1层魔法印记</v>
      </c>
      <c r="BF1109" s="185" t="s">
        <v>2391</v>
      </c>
      <c r="BG1109" s="72">
        <v>0</v>
      </c>
      <c r="BH1109" s="72">
        <v>0</v>
      </c>
      <c r="BI1109" s="72">
        <v>0</v>
      </c>
      <c r="BJ1109" s="72">
        <v>0</v>
      </c>
      <c r="BK1109" s="72">
        <v>0</v>
      </c>
      <c r="BL1109" s="72">
        <v>0</v>
      </c>
      <c r="BM1109" s="90">
        <v>0</v>
      </c>
      <c r="BN1109" s="73">
        <v>0</v>
      </c>
      <c r="BO1109" s="73">
        <v>0</v>
      </c>
      <c r="BP1109" s="73">
        <v>0</v>
      </c>
      <c r="BQ1109" s="73">
        <v>0</v>
      </c>
      <c r="BR1109" s="73">
        <v>0</v>
      </c>
      <c r="BS1109" s="73">
        <v>0</v>
      </c>
      <c r="BT1109" s="73">
        <v>0</v>
      </c>
      <c r="BU1109" s="73">
        <v>0</v>
      </c>
      <c r="BV1109" s="23"/>
      <c r="BW1109" s="23"/>
      <c r="BX1109" s="23"/>
      <c r="BY1109" s="23"/>
      <c r="BZ1109" s="23"/>
    </row>
    <row r="1110" spans="1:78" s="2" customFormat="1" ht="19.5" customHeight="1">
      <c r="A1110" s="219"/>
      <c r="B1110" s="218"/>
      <c r="C1110" s="74">
        <v>64014201</v>
      </c>
      <c r="D1110" s="110" t="s">
        <v>2392</v>
      </c>
      <c r="E1110" s="110" t="s">
        <v>2393</v>
      </c>
      <c r="F1110" s="172">
        <v>0</v>
      </c>
      <c r="G1110" s="74">
        <v>64014201</v>
      </c>
      <c r="H1110" s="74">
        <v>64014202</v>
      </c>
      <c r="I1110" s="105">
        <v>0</v>
      </c>
      <c r="J1110" s="21">
        <v>25</v>
      </c>
      <c r="K1110" s="32">
        <v>5</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28" t="s">
        <v>2394</v>
      </c>
      <c r="AV1110" s="344" t="s">
        <v>2263</v>
      </c>
      <c r="AW1110" s="35" t="s">
        <v>205</v>
      </c>
      <c r="AX1110" s="100" t="s">
        <v>540</v>
      </c>
      <c r="AY1110" s="107">
        <v>10000001</v>
      </c>
      <c r="AZ1110" s="107">
        <v>77005201</v>
      </c>
      <c r="BA1110" s="110" t="s">
        <v>592</v>
      </c>
      <c r="BB1110" s="72" t="s">
        <v>2395</v>
      </c>
      <c r="BC1110" s="99">
        <v>0</v>
      </c>
      <c r="BD1110" s="99">
        <v>0</v>
      </c>
      <c r="BE1110" s="185" t="str">
        <f>"对目标区域释放移动的魔球，对敌方单位造成"&amp;X1110*100&amp;"%攻击伤害+"&amp;Z1110&amp;"点固定伤害,并附加1层魔法印记"</f>
        <v>对目标区域释放移动的魔球，对敌方单位造成280%攻击伤害+900点固定伤害,并附加1层魔法印记</v>
      </c>
      <c r="BF1110" s="185" t="s">
        <v>2396</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8"/>
      <c r="C1111" s="74">
        <v>64014202</v>
      </c>
      <c r="D1111" s="110" t="s">
        <v>2392</v>
      </c>
      <c r="E1111" s="110" t="s">
        <v>2393</v>
      </c>
      <c r="F1111" s="172">
        <v>1</v>
      </c>
      <c r="G1111" s="74">
        <v>64014201</v>
      </c>
      <c r="H1111" s="74">
        <v>64014203</v>
      </c>
      <c r="I1111" s="105">
        <v>0</v>
      </c>
      <c r="J1111" s="21">
        <v>32</v>
      </c>
      <c r="K1111" s="32">
        <v>2</v>
      </c>
      <c r="L1111" s="100">
        <v>0</v>
      </c>
      <c r="M1111" s="100">
        <v>0</v>
      </c>
      <c r="N1111" s="100">
        <v>0</v>
      </c>
      <c r="O1111" s="100">
        <v>1</v>
      </c>
      <c r="P1111" s="100">
        <v>0</v>
      </c>
      <c r="Q1111" s="100">
        <v>0</v>
      </c>
      <c r="R1111" s="100">
        <v>0</v>
      </c>
      <c r="S1111" s="99">
        <v>0</v>
      </c>
      <c r="T1111" s="100">
        <v>0</v>
      </c>
      <c r="U1111" s="100">
        <v>1</v>
      </c>
      <c r="V1111" s="100">
        <v>1</v>
      </c>
      <c r="W1111" s="100">
        <v>0</v>
      </c>
      <c r="X1111" s="32">
        <v>2.8</v>
      </c>
      <c r="Y1111" s="19">
        <v>0</v>
      </c>
      <c r="Z1111" s="32">
        <v>900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28" t="s">
        <v>2394</v>
      </c>
      <c r="AV1111" s="344" t="s">
        <v>2263</v>
      </c>
      <c r="AW1111" s="35" t="s">
        <v>205</v>
      </c>
      <c r="AX1111" s="100" t="s">
        <v>540</v>
      </c>
      <c r="AY1111" s="107">
        <v>10000001</v>
      </c>
      <c r="AZ1111" s="107">
        <v>77005201</v>
      </c>
      <c r="BA1111" s="110" t="s">
        <v>592</v>
      </c>
      <c r="BB1111" s="72" t="s">
        <v>2395</v>
      </c>
      <c r="BC1111" s="99">
        <v>0</v>
      </c>
      <c r="BD1111" s="99">
        <v>0</v>
      </c>
      <c r="BE1111" s="185" t="str">
        <f t="shared" ref="BE1111:BE1115" si="121">"对目标区域释放移动的魔球，对敌方单位造成"&amp;X1111*100&amp;"%攻击伤害+"&amp;Z1111&amp;"点固定伤害,并附加1层魔法印记"</f>
        <v>对目标区域释放移动的魔球，对敌方单位造成280%攻击伤害+900点固定伤害,并附加1层魔法印记</v>
      </c>
      <c r="BF1111" s="185" t="s">
        <v>2396</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64014203</v>
      </c>
      <c r="D1112" s="110" t="s">
        <v>2392</v>
      </c>
      <c r="E1112" s="110" t="s">
        <v>2393</v>
      </c>
      <c r="F1112" s="172">
        <v>2</v>
      </c>
      <c r="G1112" s="74">
        <v>64014201</v>
      </c>
      <c r="H1112" s="74">
        <v>64014204</v>
      </c>
      <c r="I1112" s="105">
        <v>0</v>
      </c>
      <c r="J1112" s="21">
        <v>37</v>
      </c>
      <c r="K1112" s="32">
        <v>2</v>
      </c>
      <c r="L1112" s="100">
        <v>0</v>
      </c>
      <c r="M1112" s="100">
        <v>0</v>
      </c>
      <c r="N1112" s="100">
        <v>0</v>
      </c>
      <c r="O1112" s="100">
        <v>1</v>
      </c>
      <c r="P1112" s="100">
        <v>0</v>
      </c>
      <c r="Q1112" s="100">
        <v>0</v>
      </c>
      <c r="R1112" s="100">
        <v>0</v>
      </c>
      <c r="S1112" s="99">
        <v>0</v>
      </c>
      <c r="T1112" s="100">
        <v>0</v>
      </c>
      <c r="U1112" s="100">
        <v>1</v>
      </c>
      <c r="V1112" s="100">
        <v>1</v>
      </c>
      <c r="W1112" s="100">
        <v>0</v>
      </c>
      <c r="X1112" s="32">
        <v>3</v>
      </c>
      <c r="Y1112" s="19">
        <v>0</v>
      </c>
      <c r="Z1112" s="32">
        <v>1800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28" t="s">
        <v>2394</v>
      </c>
      <c r="AV1112" s="344" t="s">
        <v>2263</v>
      </c>
      <c r="AW1112" s="35" t="s">
        <v>205</v>
      </c>
      <c r="AX1112" s="100" t="s">
        <v>540</v>
      </c>
      <c r="AY1112" s="107">
        <v>10000001</v>
      </c>
      <c r="AZ1112" s="107">
        <v>77005201</v>
      </c>
      <c r="BA1112" s="110" t="s">
        <v>592</v>
      </c>
      <c r="BB1112" s="72" t="s">
        <v>2395</v>
      </c>
      <c r="BC1112" s="99">
        <v>0</v>
      </c>
      <c r="BD1112" s="99">
        <v>0</v>
      </c>
      <c r="BE1112" s="185" t="str">
        <f t="shared" si="121"/>
        <v>对目标区域释放移动的魔球，对敌方单位造成300%攻击伤害+1800点固定伤害,并附加1层魔法印记</v>
      </c>
      <c r="BF1112" s="185" t="s">
        <v>2397</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64014204</v>
      </c>
      <c r="D1113" s="110" t="s">
        <v>2392</v>
      </c>
      <c r="E1113" s="110" t="s">
        <v>2393</v>
      </c>
      <c r="F1113" s="172">
        <v>3</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3.3</v>
      </c>
      <c r="Y1113" s="19">
        <v>0</v>
      </c>
      <c r="Z1113" s="32">
        <v>2800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28" t="s">
        <v>2394</v>
      </c>
      <c r="AV1113" s="344" t="s">
        <v>2263</v>
      </c>
      <c r="AW1113" s="35" t="s">
        <v>205</v>
      </c>
      <c r="AX1113" s="100" t="s">
        <v>540</v>
      </c>
      <c r="AY1113" s="107">
        <v>10000001</v>
      </c>
      <c r="AZ1113" s="107">
        <v>77005201</v>
      </c>
      <c r="BA1113" s="110" t="s">
        <v>592</v>
      </c>
      <c r="BB1113" s="72" t="s">
        <v>2395</v>
      </c>
      <c r="BC1113" s="99">
        <v>0</v>
      </c>
      <c r="BD1113" s="99">
        <v>0</v>
      </c>
      <c r="BE1113" s="185" t="str">
        <f t="shared" si="121"/>
        <v>对目标区域释放移动的魔球，对敌方单位造成330%攻击伤害+2800点固定伤害,并附加1层魔法印记</v>
      </c>
      <c r="BF1113" s="185" t="s">
        <v>2398</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64014205</v>
      </c>
      <c r="D1114" s="110" t="s">
        <v>2392</v>
      </c>
      <c r="E1114" s="110" t="s">
        <v>2393</v>
      </c>
      <c r="F1114" s="172">
        <v>4</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3.6</v>
      </c>
      <c r="Y1114" s="19">
        <v>0</v>
      </c>
      <c r="Z1114" s="32">
        <v>4000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28" t="s">
        <v>2394</v>
      </c>
      <c r="AV1114" s="344" t="s">
        <v>2263</v>
      </c>
      <c r="AW1114" s="35" t="s">
        <v>205</v>
      </c>
      <c r="AX1114" s="100" t="s">
        <v>540</v>
      </c>
      <c r="AY1114" s="107">
        <v>10000001</v>
      </c>
      <c r="AZ1114" s="107">
        <v>77005201</v>
      </c>
      <c r="BA1114" s="110" t="s">
        <v>592</v>
      </c>
      <c r="BB1114" s="72" t="s">
        <v>2395</v>
      </c>
      <c r="BC1114" s="99">
        <v>0</v>
      </c>
      <c r="BD1114" s="99">
        <v>0</v>
      </c>
      <c r="BE1114" s="185" t="str">
        <f t="shared" si="121"/>
        <v>对目标区域释放移动的魔球，对敌方单位造成360%攻击伤害+4000点固定伤害,并附加1层魔法印记</v>
      </c>
      <c r="BF1114" s="185" t="s">
        <v>2399</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19.5" customHeight="1">
      <c r="A1115" s="219"/>
      <c r="B1115" s="219"/>
      <c r="C1115" s="74">
        <v>64014206</v>
      </c>
      <c r="D1115" s="110" t="s">
        <v>2392</v>
      </c>
      <c r="E1115" s="110" t="s">
        <v>2393</v>
      </c>
      <c r="F1115" s="172">
        <v>5</v>
      </c>
      <c r="G1115" s="74">
        <v>64014201</v>
      </c>
      <c r="H1115" s="72">
        <v>0</v>
      </c>
      <c r="I1115" s="105">
        <v>0</v>
      </c>
      <c r="J1115" s="21">
        <v>0</v>
      </c>
      <c r="K1115" s="32">
        <v>0</v>
      </c>
      <c r="L1115" s="100">
        <v>0</v>
      </c>
      <c r="M1115" s="100">
        <v>0</v>
      </c>
      <c r="N1115" s="100">
        <v>0</v>
      </c>
      <c r="O1115" s="100">
        <v>1</v>
      </c>
      <c r="P1115" s="100">
        <v>0</v>
      </c>
      <c r="Q1115" s="100">
        <v>0</v>
      </c>
      <c r="R1115" s="100">
        <v>0</v>
      </c>
      <c r="S1115" s="99">
        <v>0</v>
      </c>
      <c r="T1115" s="100">
        <v>0</v>
      </c>
      <c r="U1115" s="100">
        <v>1</v>
      </c>
      <c r="V1115" s="100">
        <v>1</v>
      </c>
      <c r="W1115" s="100">
        <v>0</v>
      </c>
      <c r="X1115" s="32">
        <v>4</v>
      </c>
      <c r="Y1115" s="19">
        <v>0</v>
      </c>
      <c r="Z1115" s="32">
        <v>5200</v>
      </c>
      <c r="AA1115" s="100">
        <v>0</v>
      </c>
      <c r="AB1115" s="100">
        <v>0</v>
      </c>
      <c r="AC1115" s="100">
        <v>0</v>
      </c>
      <c r="AD1115" s="100">
        <v>0</v>
      </c>
      <c r="AE1115" s="100">
        <v>0</v>
      </c>
      <c r="AF1115" s="100">
        <v>12</v>
      </c>
      <c r="AG1115" s="100">
        <v>1</v>
      </c>
      <c r="AH1115" s="118">
        <v>2</v>
      </c>
      <c r="AI1115" s="99">
        <v>2</v>
      </c>
      <c r="AJ1115" s="99">
        <v>2</v>
      </c>
      <c r="AK1115" s="99">
        <v>0</v>
      </c>
      <c r="AL1115" s="99">
        <v>3</v>
      </c>
      <c r="AM1115" s="100">
        <v>0</v>
      </c>
      <c r="AN1115" s="100">
        <v>0</v>
      </c>
      <c r="AO1115" s="100">
        <v>0</v>
      </c>
      <c r="AP1115" s="100">
        <v>0.2</v>
      </c>
      <c r="AQ1115" s="100">
        <v>3000</v>
      </c>
      <c r="AR1115" s="100">
        <v>0.2</v>
      </c>
      <c r="AS1115" s="100">
        <v>20</v>
      </c>
      <c r="AT1115" s="99">
        <v>0</v>
      </c>
      <c r="AU1115" s="328" t="s">
        <v>2394</v>
      </c>
      <c r="AV1115" s="344" t="s">
        <v>2263</v>
      </c>
      <c r="AW1115" s="35" t="s">
        <v>205</v>
      </c>
      <c r="AX1115" s="100" t="s">
        <v>540</v>
      </c>
      <c r="AY1115" s="107">
        <v>10000001</v>
      </c>
      <c r="AZ1115" s="107">
        <v>77005201</v>
      </c>
      <c r="BA1115" s="110" t="s">
        <v>592</v>
      </c>
      <c r="BB1115" s="72" t="s">
        <v>2395</v>
      </c>
      <c r="BC1115" s="99">
        <v>0</v>
      </c>
      <c r="BD1115" s="99">
        <v>0</v>
      </c>
      <c r="BE1115" s="185" t="str">
        <f t="shared" si="121"/>
        <v>对目标区域释放移动的魔球，对敌方单位造成400%攻击伤害+5200点固定伤害,并附加1层魔法印记</v>
      </c>
      <c r="BF1115" s="185" t="s">
        <v>2400</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99">
        <v>0</v>
      </c>
      <c r="BV1115" s="23"/>
      <c r="BW1115" s="23"/>
      <c r="BX1115" s="23"/>
      <c r="BY1115" s="23"/>
      <c r="BZ1115" s="23"/>
    </row>
    <row r="1116" spans="1:78" s="2" customFormat="1" ht="20.100000000000001" customHeight="1">
      <c r="A1116" s="219"/>
      <c r="B1116" s="219"/>
      <c r="C1116" s="107">
        <v>64014301</v>
      </c>
      <c r="D1116" s="110" t="s">
        <v>2401</v>
      </c>
      <c r="E1116" s="110" t="s">
        <v>2402</v>
      </c>
      <c r="F1116" s="172">
        <v>0</v>
      </c>
      <c r="G1116" s="107">
        <v>64014301</v>
      </c>
      <c r="H1116" s="72">
        <v>64014302</v>
      </c>
      <c r="I1116" s="105">
        <v>0</v>
      </c>
      <c r="J1116" s="21">
        <v>30</v>
      </c>
      <c r="K1116" s="32">
        <v>5</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2403</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23" t="s">
        <v>2404</v>
      </c>
      <c r="BV1116" s="23"/>
      <c r="BW1116" s="23"/>
      <c r="BX1116" s="23"/>
      <c r="BY1116" s="23"/>
      <c r="BZ1116" s="23"/>
    </row>
    <row r="1117" spans="1:78" s="2" customFormat="1" ht="20.100000000000001" customHeight="1">
      <c r="A1117" s="219"/>
      <c r="B1117" s="219"/>
      <c r="C1117" s="107">
        <v>64014302</v>
      </c>
      <c r="D1117" s="110" t="s">
        <v>2401</v>
      </c>
      <c r="E1117" s="110" t="s">
        <v>2402</v>
      </c>
      <c r="F1117" s="172">
        <v>1</v>
      </c>
      <c r="G1117" s="107">
        <v>64014301</v>
      </c>
      <c r="H1117" s="72">
        <v>64014303</v>
      </c>
      <c r="I1117" s="105">
        <v>0</v>
      </c>
      <c r="J1117" s="21">
        <v>37</v>
      </c>
      <c r="K1117" s="32">
        <v>2</v>
      </c>
      <c r="L1117" s="107">
        <v>0</v>
      </c>
      <c r="M1117" s="100">
        <v>0</v>
      </c>
      <c r="N1117" s="100">
        <v>0</v>
      </c>
      <c r="O1117" s="100">
        <v>1</v>
      </c>
      <c r="P1117" s="100">
        <v>0</v>
      </c>
      <c r="Q1117" s="100">
        <v>0</v>
      </c>
      <c r="R1117" s="100">
        <v>0</v>
      </c>
      <c r="S1117" s="99">
        <v>0</v>
      </c>
      <c r="T1117" s="100">
        <v>0</v>
      </c>
      <c r="U1117" s="100">
        <v>1</v>
      </c>
      <c r="V1117" s="100">
        <v>1</v>
      </c>
      <c r="W1117" s="100">
        <v>0</v>
      </c>
      <c r="X1117" s="32">
        <v>2.5</v>
      </c>
      <c r="Y1117" s="19">
        <v>0</v>
      </c>
      <c r="Z1117" s="32">
        <v>900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ref="BE1117:BE1121" si="122">"对区域投掷一个技能造成"&amp;X1117*100&amp;"%+"&amp;Z1117&amp;"伤害和50%减速效果持续3秒，技能释放命中目标后，技能进入2段阶段，再次点击技能会引发2次爆炸对目标造成伤害,并眩晕1秒"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7" s="136" t="s">
        <v>2403</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23" t="s">
        <v>2405</v>
      </c>
      <c r="BV1117" s="23"/>
      <c r="BW1117" s="23"/>
      <c r="BX1117" s="23"/>
      <c r="BY1117" s="23"/>
      <c r="BZ1117" s="23"/>
    </row>
    <row r="1118" spans="1:78" s="2" customFormat="1" ht="20.100000000000001" customHeight="1">
      <c r="A1118" s="219"/>
      <c r="B1118" s="219"/>
      <c r="C1118" s="107">
        <v>64014303</v>
      </c>
      <c r="D1118" s="110" t="s">
        <v>2401</v>
      </c>
      <c r="E1118" s="110" t="s">
        <v>2402</v>
      </c>
      <c r="F1118" s="172">
        <v>2</v>
      </c>
      <c r="G1118" s="107">
        <v>64014301</v>
      </c>
      <c r="H1118" s="72">
        <v>64014304</v>
      </c>
      <c r="I1118" s="105">
        <v>0</v>
      </c>
      <c r="J1118" s="21">
        <v>42</v>
      </c>
      <c r="K1118" s="32">
        <v>2</v>
      </c>
      <c r="L1118" s="107">
        <v>0</v>
      </c>
      <c r="M1118" s="100">
        <v>0</v>
      </c>
      <c r="N1118" s="100">
        <v>0</v>
      </c>
      <c r="O1118" s="100">
        <v>1</v>
      </c>
      <c r="P1118" s="100">
        <v>0</v>
      </c>
      <c r="Q1118" s="100">
        <v>0</v>
      </c>
      <c r="R1118" s="100">
        <v>0</v>
      </c>
      <c r="S1118" s="99">
        <v>0</v>
      </c>
      <c r="T1118" s="100">
        <v>0</v>
      </c>
      <c r="U1118" s="100">
        <v>1</v>
      </c>
      <c r="V1118" s="100">
        <v>1</v>
      </c>
      <c r="W1118" s="100">
        <v>0</v>
      </c>
      <c r="X1118" s="32">
        <v>2.75</v>
      </c>
      <c r="Y1118" s="19">
        <v>0</v>
      </c>
      <c r="Z1118" s="32">
        <v>1800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2"/>
        <v>对区域投掷一个技能造成275%+1800伤害和50%减速效果持续3秒，技能释放命中目标后，技能进入2段阶段，再次点击技能会引发2次爆炸对目标造成伤害,并眩晕1秒</v>
      </c>
      <c r="BF1118" s="136" t="s">
        <v>2406</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23" t="s">
        <v>2407</v>
      </c>
      <c r="BV1118" s="23"/>
      <c r="BW1118" s="23"/>
      <c r="BX1118" s="23"/>
      <c r="BY1118" s="23"/>
      <c r="BZ1118" s="23"/>
    </row>
    <row r="1119" spans="1:78" s="2" customFormat="1" ht="20.100000000000001" customHeight="1">
      <c r="A1119" s="219"/>
      <c r="B1119" s="219"/>
      <c r="C1119" s="107">
        <v>64014304</v>
      </c>
      <c r="D1119" s="110" t="s">
        <v>2401</v>
      </c>
      <c r="E1119" s="110" t="s">
        <v>2402</v>
      </c>
      <c r="F1119" s="172">
        <v>3</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v>
      </c>
      <c r="Y1119" s="19">
        <v>0</v>
      </c>
      <c r="Z1119" s="32">
        <v>2800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2"/>
        <v>对区域投掷一个技能造成300%+2800伤害和50%减速效果持续3秒，技能释放命中目标后，技能进入2段阶段，再次点击技能会引发2次爆炸对目标造成伤害,并眩晕1秒</v>
      </c>
      <c r="BF1119" s="136" t="s">
        <v>2408</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23" t="s">
        <v>2409</v>
      </c>
      <c r="BV1119" s="23"/>
      <c r="BW1119" s="23"/>
      <c r="BX1119" s="23"/>
      <c r="BY1119" s="23"/>
      <c r="BZ1119" s="23"/>
    </row>
    <row r="1120" spans="1:78" s="2" customFormat="1" ht="20.100000000000001" customHeight="1">
      <c r="A1120" s="219"/>
      <c r="B1120" s="219"/>
      <c r="C1120" s="107">
        <v>64014305</v>
      </c>
      <c r="D1120" s="110" t="s">
        <v>2401</v>
      </c>
      <c r="E1120" s="110" t="s">
        <v>2402</v>
      </c>
      <c r="F1120" s="172">
        <v>4</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3.25</v>
      </c>
      <c r="Y1120" s="19">
        <v>0</v>
      </c>
      <c r="Z1120" s="32">
        <v>4000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2"/>
        <v>对区域投掷一个技能造成325%+4000伤害和50%减速效果持续3秒，技能释放命中目标后，技能进入2段阶段，再次点击技能会引发2次爆炸对目标造成伤害,并眩晕1秒</v>
      </c>
      <c r="BF1120" s="136" t="s">
        <v>2410</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23" t="s">
        <v>2411</v>
      </c>
      <c r="BV1120" s="23"/>
      <c r="BW1120" s="23"/>
      <c r="BX1120" s="23"/>
      <c r="BY1120" s="23"/>
      <c r="BZ1120" s="23"/>
    </row>
    <row r="1121" spans="1:78" s="2" customFormat="1" ht="20.100000000000001" customHeight="1">
      <c r="A1121" s="219"/>
      <c r="B1121" s="219"/>
      <c r="C1121" s="107">
        <v>64014306</v>
      </c>
      <c r="D1121" s="110" t="s">
        <v>2401</v>
      </c>
      <c r="E1121" s="110" t="s">
        <v>2402</v>
      </c>
      <c r="F1121" s="172">
        <v>5</v>
      </c>
      <c r="G1121" s="107">
        <v>64014301</v>
      </c>
      <c r="H1121" s="72">
        <v>0</v>
      </c>
      <c r="I1121" s="105">
        <v>0</v>
      </c>
      <c r="J1121" s="32">
        <v>0</v>
      </c>
      <c r="K1121" s="32">
        <v>0</v>
      </c>
      <c r="L1121" s="107">
        <v>0</v>
      </c>
      <c r="M1121" s="100">
        <v>0</v>
      </c>
      <c r="N1121" s="100">
        <v>0</v>
      </c>
      <c r="O1121" s="100">
        <v>1</v>
      </c>
      <c r="P1121" s="100">
        <v>0</v>
      </c>
      <c r="Q1121" s="100">
        <v>0</v>
      </c>
      <c r="R1121" s="100">
        <v>0</v>
      </c>
      <c r="S1121" s="99">
        <v>0</v>
      </c>
      <c r="T1121" s="100">
        <v>0</v>
      </c>
      <c r="U1121" s="100">
        <v>1</v>
      </c>
      <c r="V1121" s="100">
        <v>1</v>
      </c>
      <c r="W1121" s="100">
        <v>0</v>
      </c>
      <c r="X1121" s="32">
        <v>3.5</v>
      </c>
      <c r="Y1121" s="19">
        <v>0</v>
      </c>
      <c r="Z1121" s="32">
        <v>5200</v>
      </c>
      <c r="AA1121" s="100">
        <v>0</v>
      </c>
      <c r="AB1121" s="100">
        <v>0</v>
      </c>
      <c r="AC1121" s="100">
        <v>0</v>
      </c>
      <c r="AD1121" s="100">
        <v>0</v>
      </c>
      <c r="AE1121" s="100">
        <v>0</v>
      </c>
      <c r="AF1121" s="100">
        <v>12</v>
      </c>
      <c r="AG1121" s="100">
        <v>1</v>
      </c>
      <c r="AH1121" s="100">
        <v>4</v>
      </c>
      <c r="AI1121" s="99">
        <v>2</v>
      </c>
      <c r="AJ1121" s="99">
        <v>1</v>
      </c>
      <c r="AK1121" s="99">
        <v>0</v>
      </c>
      <c r="AL1121" s="99">
        <v>7</v>
      </c>
      <c r="AM1121" s="100">
        <v>0</v>
      </c>
      <c r="AN1121" s="100">
        <v>0</v>
      </c>
      <c r="AO1121" s="100">
        <v>0</v>
      </c>
      <c r="AP1121" s="107">
        <v>0.2</v>
      </c>
      <c r="AQ1121" s="100">
        <v>1000</v>
      </c>
      <c r="AR1121" s="100">
        <v>0.4</v>
      </c>
      <c r="AS1121" s="100">
        <v>0</v>
      </c>
      <c r="AT1121" s="99">
        <v>0</v>
      </c>
      <c r="AU1121" s="100">
        <v>95102003</v>
      </c>
      <c r="AV1121" s="100"/>
      <c r="AW1121" s="35" t="s">
        <v>205</v>
      </c>
      <c r="AX1121" s="100" t="s">
        <v>551</v>
      </c>
      <c r="AY1121" s="107">
        <v>0</v>
      </c>
      <c r="AZ1121" s="107">
        <v>77005207</v>
      </c>
      <c r="BA1121" s="110" t="s">
        <v>206</v>
      </c>
      <c r="BB1121" s="100">
        <v>0</v>
      </c>
      <c r="BC1121" s="105">
        <v>0</v>
      </c>
      <c r="BD1121" s="105">
        <v>0</v>
      </c>
      <c r="BE1121" s="136" t="str">
        <f t="shared" si="122"/>
        <v>对区域投掷一个技能造成350%+5200伤害和50%减速效果持续3秒，技能释放命中目标后，技能进入2段阶段，再次点击技能会引发2次爆炸对目标造成伤害,并眩晕1秒</v>
      </c>
      <c r="BF1121" s="136" t="s">
        <v>2412</v>
      </c>
      <c r="BG1121" s="100">
        <v>0</v>
      </c>
      <c r="BH1121" s="100">
        <v>0</v>
      </c>
      <c r="BI1121" s="100">
        <v>0</v>
      </c>
      <c r="BJ1121" s="100">
        <v>0</v>
      </c>
      <c r="BK1121" s="100">
        <v>0</v>
      </c>
      <c r="BL1121" s="100">
        <v>0</v>
      </c>
      <c r="BM1121" s="97">
        <v>0</v>
      </c>
      <c r="BN1121" s="99">
        <v>0</v>
      </c>
      <c r="BO1121" s="99">
        <v>0</v>
      </c>
      <c r="BP1121" s="99">
        <v>0</v>
      </c>
      <c r="BQ1121" s="99">
        <v>0</v>
      </c>
      <c r="BR1121" s="99">
        <v>0</v>
      </c>
      <c r="BS1121" s="99">
        <v>0</v>
      </c>
      <c r="BT1121" s="99">
        <v>0</v>
      </c>
      <c r="BU1121" s="323" t="s">
        <v>2413</v>
      </c>
      <c r="BV1121" s="23"/>
      <c r="BW1121" s="23"/>
      <c r="BX1121" s="23"/>
      <c r="BY1121" s="23"/>
      <c r="BZ1121" s="23"/>
    </row>
    <row r="1122" spans="1:78" s="1" customFormat="1" ht="20.100000000000001" customHeight="1">
      <c r="A1122" s="218"/>
      <c r="B1122" s="218"/>
      <c r="C1122" s="74">
        <v>64014401</v>
      </c>
      <c r="D1122" s="71" t="s">
        <v>2414</v>
      </c>
      <c r="E1122" s="71" t="s">
        <v>2415</v>
      </c>
      <c r="F1122" s="172">
        <v>0</v>
      </c>
      <c r="G1122" s="74">
        <v>64014401</v>
      </c>
      <c r="H1122" s="72">
        <v>64014402</v>
      </c>
      <c r="I1122" s="75">
        <v>0</v>
      </c>
      <c r="J1122" s="21">
        <v>35</v>
      </c>
      <c r="K1122" s="32">
        <v>5</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30" t="s">
        <v>2416</v>
      </c>
      <c r="AU1122" s="344"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2417</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64014402</v>
      </c>
      <c r="D1123" s="71" t="s">
        <v>2414</v>
      </c>
      <c r="E1123" s="71" t="s">
        <v>2415</v>
      </c>
      <c r="F1123" s="172">
        <v>1</v>
      </c>
      <c r="G1123" s="74">
        <v>64014401</v>
      </c>
      <c r="H1123" s="72">
        <v>64014403</v>
      </c>
      <c r="I1123" s="75">
        <v>0</v>
      </c>
      <c r="J1123" s="21">
        <v>42</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30" t="s">
        <v>2416</v>
      </c>
      <c r="AU1123" s="344" t="s">
        <v>204</v>
      </c>
      <c r="AV1123" s="72"/>
      <c r="AW1123" s="35" t="s">
        <v>205</v>
      </c>
      <c r="AX1123" s="72" t="s">
        <v>551</v>
      </c>
      <c r="AY1123" s="74">
        <v>0</v>
      </c>
      <c r="AZ1123" s="74">
        <v>77005204</v>
      </c>
      <c r="BA1123" s="71" t="s">
        <v>206</v>
      </c>
      <c r="BB1123" s="72">
        <v>0</v>
      </c>
      <c r="BC1123" s="75">
        <v>0</v>
      </c>
      <c r="BD1123" s="75">
        <v>0</v>
      </c>
      <c r="BE1123" s="185" t="str">
        <f>"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3" s="185" t="s">
        <v>2417</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64014403</v>
      </c>
      <c r="D1124" s="71" t="s">
        <v>2414</v>
      </c>
      <c r="E1124" s="71" t="s">
        <v>2415</v>
      </c>
      <c r="F1124" s="172">
        <v>2</v>
      </c>
      <c r="G1124" s="74">
        <v>64014401</v>
      </c>
      <c r="H1124" s="72">
        <v>64014404</v>
      </c>
      <c r="I1124" s="75">
        <v>0</v>
      </c>
      <c r="J1124" s="21">
        <v>47</v>
      </c>
      <c r="K1124" s="32">
        <v>2</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30" t="s">
        <v>2416</v>
      </c>
      <c r="AU1124" s="344" t="s">
        <v>204</v>
      </c>
      <c r="AV1124" s="72"/>
      <c r="AW1124" s="35" t="s">
        <v>205</v>
      </c>
      <c r="AX1124" s="72" t="s">
        <v>551</v>
      </c>
      <c r="AY1124" s="74">
        <v>0</v>
      </c>
      <c r="AZ1124" s="74">
        <v>77005204</v>
      </c>
      <c r="BA1124" s="71" t="s">
        <v>206</v>
      </c>
      <c r="BB1124" s="72">
        <v>0</v>
      </c>
      <c r="BC1124" s="75">
        <v>0</v>
      </c>
      <c r="BD1124" s="75">
        <v>0</v>
      </c>
      <c r="BE1124" s="185" t="str">
        <f t="shared" ref="BE1124:BE1127" si="123">"自身变成风神之女，每次攻击附带龙卷风,龙卷风每次攻击造成"&amp;X1129*100&amp;"%攻击伤害+"&amp;Z1129&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4" s="185" t="s">
        <v>2418</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64014404</v>
      </c>
      <c r="D1125" s="71" t="s">
        <v>2414</v>
      </c>
      <c r="E1125" s="71" t="s">
        <v>2415</v>
      </c>
      <c r="F1125" s="172">
        <v>3</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30" t="s">
        <v>2416</v>
      </c>
      <c r="AU1125" s="344" t="s">
        <v>204</v>
      </c>
      <c r="AV1125" s="72"/>
      <c r="AW1125" s="35" t="s">
        <v>205</v>
      </c>
      <c r="AX1125" s="72" t="s">
        <v>551</v>
      </c>
      <c r="AY1125" s="74">
        <v>0</v>
      </c>
      <c r="AZ1125" s="74">
        <v>77005204</v>
      </c>
      <c r="BA1125" s="71" t="s">
        <v>206</v>
      </c>
      <c r="BB1125" s="72">
        <v>0</v>
      </c>
      <c r="BC1125" s="75">
        <v>0</v>
      </c>
      <c r="BD1125" s="75">
        <v>0</v>
      </c>
      <c r="BE1125" s="185" t="str">
        <f t="shared" si="123"/>
        <v>自身变成风神之女，每次攻击附带龙卷风,龙卷风每次攻击造成115%攻击伤害+2800点固定伤害,如果目标血量低于35%,则普攻技能提升50%,变身效果持续12秒,命中目标后造成范围爆炸,造成100%伤害</v>
      </c>
      <c r="BF1125" s="185" t="s">
        <v>2419</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64014405</v>
      </c>
      <c r="D1126" s="71" t="s">
        <v>2414</v>
      </c>
      <c r="E1126" s="71" t="s">
        <v>2415</v>
      </c>
      <c r="F1126" s="172">
        <v>4</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30" t="s">
        <v>2416</v>
      </c>
      <c r="AU1126" s="344" t="s">
        <v>204</v>
      </c>
      <c r="AV1126" s="72"/>
      <c r="AW1126" s="35" t="s">
        <v>205</v>
      </c>
      <c r="AX1126" s="72" t="s">
        <v>551</v>
      </c>
      <c r="AY1126" s="74">
        <v>0</v>
      </c>
      <c r="AZ1126" s="74">
        <v>77005204</v>
      </c>
      <c r="BA1126" s="71" t="s">
        <v>206</v>
      </c>
      <c r="BB1126" s="72">
        <v>0</v>
      </c>
      <c r="BC1126" s="75">
        <v>0</v>
      </c>
      <c r="BD1126" s="75">
        <v>0</v>
      </c>
      <c r="BE1126" s="185" t="str">
        <f t="shared" si="123"/>
        <v>自身变成风神之女，每次攻击附带龙卷风,龙卷风每次攻击造成122.5%攻击伤害+4000点固定伤害,如果目标血量低于35%,则普攻技能提升50%,变身效果持续12秒,命中目标后造成范围爆炸,造成100%伤害</v>
      </c>
      <c r="BF1126" s="185" t="s">
        <v>2420</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1" customFormat="1" ht="20.100000000000001" customHeight="1">
      <c r="A1127" s="218"/>
      <c r="B1127" s="218"/>
      <c r="C1127" s="74">
        <v>64014406</v>
      </c>
      <c r="D1127" s="71" t="s">
        <v>2414</v>
      </c>
      <c r="E1127" s="71" t="s">
        <v>2415</v>
      </c>
      <c r="F1127" s="172">
        <v>5</v>
      </c>
      <c r="G1127" s="74">
        <v>64014401</v>
      </c>
      <c r="H1127" s="72">
        <v>0</v>
      </c>
      <c r="I1127" s="75">
        <v>0</v>
      </c>
      <c r="J1127" s="32">
        <v>0</v>
      </c>
      <c r="K1127" s="32">
        <v>0</v>
      </c>
      <c r="L1127" s="74">
        <v>0</v>
      </c>
      <c r="M1127" s="72">
        <v>0</v>
      </c>
      <c r="N1127" s="72">
        <v>0</v>
      </c>
      <c r="O1127" s="72">
        <v>1</v>
      </c>
      <c r="P1127" s="72">
        <v>0</v>
      </c>
      <c r="Q1127" s="72">
        <v>0</v>
      </c>
      <c r="R1127" s="72">
        <v>0</v>
      </c>
      <c r="S1127" s="73">
        <v>0</v>
      </c>
      <c r="T1127" s="72">
        <v>0</v>
      </c>
      <c r="U1127" s="72">
        <v>1</v>
      </c>
      <c r="V1127" s="72">
        <v>1</v>
      </c>
      <c r="W1127" s="72">
        <v>0</v>
      </c>
      <c r="X1127" s="72">
        <v>0</v>
      </c>
      <c r="Y1127" s="19">
        <v>0</v>
      </c>
      <c r="Z1127" s="72">
        <v>0</v>
      </c>
      <c r="AA1127" s="72">
        <v>0</v>
      </c>
      <c r="AB1127" s="72">
        <v>0</v>
      </c>
      <c r="AC1127" s="72">
        <v>0</v>
      </c>
      <c r="AD1127" s="72">
        <v>0</v>
      </c>
      <c r="AE1127" s="72">
        <v>0</v>
      </c>
      <c r="AF1127" s="72">
        <v>30</v>
      </c>
      <c r="AG1127" s="72">
        <v>1</v>
      </c>
      <c r="AH1127" s="72">
        <v>4</v>
      </c>
      <c r="AI1127" s="73">
        <v>0</v>
      </c>
      <c r="AJ1127" s="73">
        <v>0</v>
      </c>
      <c r="AK1127" s="73">
        <v>0</v>
      </c>
      <c r="AL1127" s="73">
        <v>1.5</v>
      </c>
      <c r="AM1127" s="72">
        <v>0</v>
      </c>
      <c r="AN1127" s="72">
        <v>0</v>
      </c>
      <c r="AO1127" s="72">
        <v>0</v>
      </c>
      <c r="AP1127" s="74">
        <v>0.1</v>
      </c>
      <c r="AQ1127" s="72">
        <v>3000</v>
      </c>
      <c r="AR1127" s="72">
        <v>0.1</v>
      </c>
      <c r="AS1127" s="72">
        <v>0</v>
      </c>
      <c r="AT1127" s="330" t="s">
        <v>2416</v>
      </c>
      <c r="AU1127" s="344" t="s">
        <v>204</v>
      </c>
      <c r="AV1127" s="72"/>
      <c r="AW1127" s="35" t="s">
        <v>205</v>
      </c>
      <c r="AX1127" s="72" t="s">
        <v>551</v>
      </c>
      <c r="AY1127" s="74">
        <v>0</v>
      </c>
      <c r="AZ1127" s="74">
        <v>77005204</v>
      </c>
      <c r="BA1127" s="71" t="s">
        <v>206</v>
      </c>
      <c r="BB1127" s="72">
        <v>0</v>
      </c>
      <c r="BC1127" s="75">
        <v>0</v>
      </c>
      <c r="BD1127" s="75">
        <v>0</v>
      </c>
      <c r="BE1127" s="185" t="str">
        <f t="shared" si="123"/>
        <v>自身变成风神之女，每次攻击附带龙卷风,龙卷风每次攻击造成130%攻击伤害+5200点固定伤害,如果目标血量低于35%,则普攻技能提升50%,变身效果持续12秒,命中目标后造成范围爆炸,造成100%伤害</v>
      </c>
      <c r="BF1127" s="185" t="s">
        <v>2421</v>
      </c>
      <c r="BG1127" s="72">
        <v>0</v>
      </c>
      <c r="BH1127" s="72">
        <v>0</v>
      </c>
      <c r="BI1127" s="72">
        <v>0</v>
      </c>
      <c r="BJ1127" s="72">
        <v>0</v>
      </c>
      <c r="BK1127" s="72">
        <v>0</v>
      </c>
      <c r="BL1127" s="72">
        <v>0</v>
      </c>
      <c r="BM1127" s="90">
        <v>0</v>
      </c>
      <c r="BN1127" s="73">
        <v>0</v>
      </c>
      <c r="BO1127" s="73">
        <v>0</v>
      </c>
      <c r="BP1127" s="73">
        <v>0</v>
      </c>
      <c r="BQ1127" s="73">
        <v>0</v>
      </c>
      <c r="BR1127" s="73">
        <v>0</v>
      </c>
      <c r="BS1127" s="73">
        <v>0</v>
      </c>
      <c r="BT1127" s="73">
        <v>0</v>
      </c>
      <c r="BU1127" s="73">
        <v>0</v>
      </c>
      <c r="BV1127" s="23"/>
      <c r="BW1127" s="23"/>
      <c r="BX1127" s="23"/>
      <c r="BY1127" s="23"/>
      <c r="BZ1127" s="23"/>
    </row>
    <row r="1128" spans="1:78" s="2" customFormat="1" ht="19.5" customHeight="1">
      <c r="A1128" s="219"/>
      <c r="B1128" s="219"/>
      <c r="C1128" s="107">
        <v>64014451</v>
      </c>
      <c r="D1128" s="110" t="s">
        <v>2422</v>
      </c>
      <c r="E1128" s="110" t="s">
        <v>2423</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v>
      </c>
      <c r="Y1128" s="19">
        <v>1.05</v>
      </c>
      <c r="Z1128" s="100">
        <v>900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28" t="s">
        <v>2394</v>
      </c>
      <c r="AV1128" s="344" t="s">
        <v>2378</v>
      </c>
      <c r="AW1128" s="35" t="s">
        <v>205</v>
      </c>
      <c r="AX1128" s="100" t="s">
        <v>540</v>
      </c>
      <c r="AY1128" s="107">
        <v>10000001</v>
      </c>
      <c r="AZ1128" s="107">
        <v>77005205</v>
      </c>
      <c r="BA1128" s="110" t="s">
        <v>592</v>
      </c>
      <c r="BB1128" s="72" t="s">
        <v>2264</v>
      </c>
      <c r="BC1128" s="99">
        <v>0</v>
      </c>
      <c r="BD1128" s="99">
        <v>0</v>
      </c>
      <c r="BE1128" s="136" t="s">
        <v>2424</v>
      </c>
      <c r="BF1128" s="136" t="s">
        <v>2425</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2426</v>
      </c>
      <c r="BW1128" s="23"/>
      <c r="BX1128" s="23"/>
      <c r="BY1128" s="23"/>
      <c r="BZ1128" s="23"/>
    </row>
    <row r="1129" spans="1:78" s="2" customFormat="1" ht="19.5" customHeight="1">
      <c r="A1129" s="219"/>
      <c r="B1129" s="219"/>
      <c r="C1129" s="107">
        <v>64014452</v>
      </c>
      <c r="D1129" s="110" t="s">
        <v>2422</v>
      </c>
      <c r="E1129" s="110" t="s">
        <v>2423</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1.075</v>
      </c>
      <c r="Y1129" s="19">
        <v>1.2250000000000001</v>
      </c>
      <c r="Z1129" s="100">
        <v>1800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28" t="s">
        <v>2394</v>
      </c>
      <c r="AV1129" s="344" t="s">
        <v>2378</v>
      </c>
      <c r="AW1129" s="35" t="s">
        <v>205</v>
      </c>
      <c r="AX1129" s="100" t="s">
        <v>540</v>
      </c>
      <c r="AY1129" s="107">
        <v>10000001</v>
      </c>
      <c r="AZ1129" s="107">
        <v>77005205</v>
      </c>
      <c r="BA1129" s="110" t="s">
        <v>592</v>
      </c>
      <c r="BB1129" s="72" t="s">
        <v>2264</v>
      </c>
      <c r="BC1129" s="99">
        <v>0</v>
      </c>
      <c r="BD1129" s="99">
        <v>0</v>
      </c>
      <c r="BE1129" s="136" t="s">
        <v>2424</v>
      </c>
      <c r="BF1129" s="136" t="s">
        <v>2425</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2426</v>
      </c>
      <c r="BW1129" s="23"/>
      <c r="BX1129" s="23"/>
      <c r="BY1129" s="23"/>
      <c r="BZ1129" s="23"/>
    </row>
    <row r="1130" spans="1:78" s="2" customFormat="1" ht="19.5" customHeight="1">
      <c r="A1130" s="219"/>
      <c r="B1130" s="219"/>
      <c r="C1130" s="107">
        <v>64014453</v>
      </c>
      <c r="D1130" s="110" t="s">
        <v>2422</v>
      </c>
      <c r="E1130" s="110" t="s">
        <v>2423</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1.1499999999999999</v>
      </c>
      <c r="Y1130" s="19">
        <v>1.4</v>
      </c>
      <c r="Z1130" s="100">
        <v>2800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28" t="s">
        <v>2394</v>
      </c>
      <c r="AV1130" s="344" t="s">
        <v>2378</v>
      </c>
      <c r="AW1130" s="35" t="s">
        <v>205</v>
      </c>
      <c r="AX1130" s="100" t="s">
        <v>540</v>
      </c>
      <c r="AY1130" s="107">
        <v>10000001</v>
      </c>
      <c r="AZ1130" s="107">
        <v>77005205</v>
      </c>
      <c r="BA1130" s="110" t="s">
        <v>592</v>
      </c>
      <c r="BB1130" s="72" t="s">
        <v>2264</v>
      </c>
      <c r="BC1130" s="99">
        <v>0</v>
      </c>
      <c r="BD1130" s="99">
        <v>0</v>
      </c>
      <c r="BE1130" s="136" t="s">
        <v>2424</v>
      </c>
      <c r="BF1130" s="136" t="s">
        <v>2425</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2426</v>
      </c>
      <c r="BW1130" s="23"/>
      <c r="BX1130" s="23"/>
      <c r="BY1130" s="23"/>
      <c r="BZ1130" s="23"/>
    </row>
    <row r="1131" spans="1:78" s="2" customFormat="1" ht="19.5" customHeight="1">
      <c r="A1131" s="219"/>
      <c r="B1131" s="219"/>
      <c r="C1131" s="107">
        <v>64014454</v>
      </c>
      <c r="D1131" s="110" t="s">
        <v>2422</v>
      </c>
      <c r="E1131" s="110" t="s">
        <v>2423</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1.2250000000000001</v>
      </c>
      <c r="Y1131" s="19">
        <v>1.575</v>
      </c>
      <c r="Z1131" s="100">
        <v>4000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28" t="s">
        <v>2394</v>
      </c>
      <c r="AV1131" s="344" t="s">
        <v>2378</v>
      </c>
      <c r="AW1131" s="35" t="s">
        <v>205</v>
      </c>
      <c r="AX1131" s="100" t="s">
        <v>540</v>
      </c>
      <c r="AY1131" s="107">
        <v>10000001</v>
      </c>
      <c r="AZ1131" s="107">
        <v>77005205</v>
      </c>
      <c r="BA1131" s="110" t="s">
        <v>592</v>
      </c>
      <c r="BB1131" s="72" t="s">
        <v>2264</v>
      </c>
      <c r="BC1131" s="99">
        <v>0</v>
      </c>
      <c r="BD1131" s="99">
        <v>0</v>
      </c>
      <c r="BE1131" s="136" t="s">
        <v>2424</v>
      </c>
      <c r="BF1131" s="136" t="s">
        <v>2425</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2426</v>
      </c>
      <c r="BW1131" s="23"/>
      <c r="BX1131" s="23"/>
      <c r="BY1131" s="23"/>
      <c r="BZ1131" s="23"/>
    </row>
    <row r="1132" spans="1:78" s="2" customFormat="1" ht="19.5" customHeight="1">
      <c r="A1132" s="219"/>
      <c r="B1132" s="219"/>
      <c r="C1132" s="107">
        <v>64014455</v>
      </c>
      <c r="D1132" s="110" t="s">
        <v>2422</v>
      </c>
      <c r="E1132" s="110" t="s">
        <v>2423</v>
      </c>
      <c r="F1132" s="172">
        <v>1</v>
      </c>
      <c r="G1132" s="100">
        <v>63021101</v>
      </c>
      <c r="H1132" s="72">
        <v>0</v>
      </c>
      <c r="I1132" s="105">
        <v>0</v>
      </c>
      <c r="J1132" s="107">
        <v>1</v>
      </c>
      <c r="K1132" s="100">
        <v>0</v>
      </c>
      <c r="L1132" s="100">
        <v>0</v>
      </c>
      <c r="M1132" s="100">
        <v>0</v>
      </c>
      <c r="N1132" s="100">
        <v>0</v>
      </c>
      <c r="O1132" s="100">
        <v>1</v>
      </c>
      <c r="P1132" s="100">
        <v>0</v>
      </c>
      <c r="Q1132" s="100">
        <v>0</v>
      </c>
      <c r="R1132" s="100">
        <v>0</v>
      </c>
      <c r="S1132" s="99">
        <v>0</v>
      </c>
      <c r="T1132" s="100">
        <v>0</v>
      </c>
      <c r="U1132" s="100">
        <v>0</v>
      </c>
      <c r="V1132" s="100">
        <v>1</v>
      </c>
      <c r="W1132" s="19">
        <v>0</v>
      </c>
      <c r="X1132" s="19">
        <v>1.3</v>
      </c>
      <c r="Y1132" s="19">
        <v>1.75</v>
      </c>
      <c r="Z1132" s="100">
        <v>5200</v>
      </c>
      <c r="AA1132" s="100">
        <v>0</v>
      </c>
      <c r="AB1132" s="100">
        <v>0</v>
      </c>
      <c r="AC1132" s="100">
        <v>0</v>
      </c>
      <c r="AD1132" s="100">
        <v>0</v>
      </c>
      <c r="AE1132" s="100">
        <v>0</v>
      </c>
      <c r="AF1132" s="100">
        <v>0</v>
      </c>
      <c r="AG1132" s="100">
        <v>1</v>
      </c>
      <c r="AH1132" s="118">
        <v>2</v>
      </c>
      <c r="AI1132" s="99">
        <v>0</v>
      </c>
      <c r="AJ1132" s="99">
        <v>2</v>
      </c>
      <c r="AK1132" s="99">
        <v>1</v>
      </c>
      <c r="AL1132" s="99">
        <v>8</v>
      </c>
      <c r="AM1132" s="100">
        <v>3</v>
      </c>
      <c r="AN1132" s="100">
        <v>0</v>
      </c>
      <c r="AO1132" s="100">
        <v>0</v>
      </c>
      <c r="AP1132" s="100">
        <v>0.2</v>
      </c>
      <c r="AQ1132" s="100">
        <v>1200</v>
      </c>
      <c r="AR1132" s="100">
        <v>0.2</v>
      </c>
      <c r="AS1132" s="100">
        <v>15</v>
      </c>
      <c r="AT1132" s="99">
        <v>0</v>
      </c>
      <c r="AU1132" s="328" t="s">
        <v>2394</v>
      </c>
      <c r="AV1132" s="344" t="s">
        <v>2378</v>
      </c>
      <c r="AW1132" s="35" t="s">
        <v>205</v>
      </c>
      <c r="AX1132" s="100" t="s">
        <v>540</v>
      </c>
      <c r="AY1132" s="107">
        <v>10000001</v>
      </c>
      <c r="AZ1132" s="107">
        <v>77005205</v>
      </c>
      <c r="BA1132" s="110" t="s">
        <v>592</v>
      </c>
      <c r="BB1132" s="72" t="s">
        <v>2264</v>
      </c>
      <c r="BC1132" s="99">
        <v>0</v>
      </c>
      <c r="BD1132" s="99">
        <v>0</v>
      </c>
      <c r="BE1132" s="136" t="s">
        <v>2424</v>
      </c>
      <c r="BF1132" s="136" t="s">
        <v>2425</v>
      </c>
      <c r="BG1132" s="100">
        <v>0</v>
      </c>
      <c r="BH1132" s="100">
        <v>0</v>
      </c>
      <c r="BI1132" s="100">
        <v>0</v>
      </c>
      <c r="BJ1132" s="100">
        <v>0</v>
      </c>
      <c r="BK1132" s="100">
        <v>0</v>
      </c>
      <c r="BL1132" s="100">
        <v>0</v>
      </c>
      <c r="BM1132" s="97">
        <v>0</v>
      </c>
      <c r="BN1132" s="99">
        <v>0</v>
      </c>
      <c r="BO1132" s="99">
        <v>0</v>
      </c>
      <c r="BP1132" s="99">
        <v>0</v>
      </c>
      <c r="BQ1132" s="99">
        <v>0</v>
      </c>
      <c r="BR1132" s="99">
        <v>0</v>
      </c>
      <c r="BS1132" s="99">
        <v>0</v>
      </c>
      <c r="BT1132" s="99">
        <v>0</v>
      </c>
      <c r="BU1132" s="99">
        <v>0</v>
      </c>
      <c r="BV1132" s="23" t="s">
        <v>2426</v>
      </c>
      <c r="BW1132" s="23"/>
      <c r="BX1132" s="23"/>
      <c r="BY1132" s="23"/>
      <c r="BZ1132" s="23"/>
    </row>
    <row r="1133" spans="1:78" s="3" customFormat="1" ht="19.5" customHeight="1">
      <c r="A1133" s="220"/>
      <c r="B1133" s="220"/>
      <c r="C1133" s="221">
        <v>64014501</v>
      </c>
      <c r="D1133" s="222" t="s">
        <v>2332</v>
      </c>
      <c r="E1133" s="222" t="s">
        <v>2333</v>
      </c>
      <c r="F1133" s="221">
        <v>1</v>
      </c>
      <c r="G1133" s="221">
        <v>0</v>
      </c>
      <c r="H1133" s="221">
        <v>0</v>
      </c>
      <c r="I1133" s="226">
        <v>0</v>
      </c>
      <c r="J1133" s="221">
        <v>1</v>
      </c>
      <c r="K1133" s="221">
        <v>0</v>
      </c>
      <c r="L1133" s="221">
        <v>0</v>
      </c>
      <c r="M1133" s="225">
        <v>0</v>
      </c>
      <c r="N1133" s="225">
        <v>0</v>
      </c>
      <c r="O1133" s="225">
        <v>2</v>
      </c>
      <c r="P1133" s="225">
        <v>3</v>
      </c>
      <c r="Q1133" s="225">
        <v>0.2</v>
      </c>
      <c r="R1133" s="225">
        <v>0</v>
      </c>
      <c r="S1133" s="227">
        <v>0</v>
      </c>
      <c r="T1133" s="225">
        <v>0</v>
      </c>
      <c r="U1133" s="225">
        <v>1</v>
      </c>
      <c r="V1133" s="225">
        <v>2</v>
      </c>
      <c r="W1133" s="225">
        <v>0</v>
      </c>
      <c r="X1133" s="225">
        <v>0.5</v>
      </c>
      <c r="Y1133" s="19">
        <v>0</v>
      </c>
      <c r="Z1133" s="225">
        <v>0</v>
      </c>
      <c r="AA1133" s="225">
        <v>1</v>
      </c>
      <c r="AB1133" s="225">
        <v>0</v>
      </c>
      <c r="AC1133" s="225">
        <v>0</v>
      </c>
      <c r="AD1133" s="225">
        <v>1</v>
      </c>
      <c r="AE1133" s="225">
        <v>1</v>
      </c>
      <c r="AF1133" s="225">
        <v>0</v>
      </c>
      <c r="AG1133" s="225">
        <v>1</v>
      </c>
      <c r="AH1133" s="225">
        <v>2</v>
      </c>
      <c r="AI1133" s="227">
        <v>1</v>
      </c>
      <c r="AJ1133" s="227">
        <v>1</v>
      </c>
      <c r="AK1133" s="227">
        <v>0</v>
      </c>
      <c r="AL1133" s="227">
        <v>3</v>
      </c>
      <c r="AM1133" s="225">
        <v>0</v>
      </c>
      <c r="AN1133" s="225">
        <v>0</v>
      </c>
      <c r="AO1133" s="225">
        <v>0</v>
      </c>
      <c r="AP1133" s="225">
        <v>0</v>
      </c>
      <c r="AQ1133" s="225">
        <v>1000</v>
      </c>
      <c r="AR1133" s="225">
        <v>0.4</v>
      </c>
      <c r="AS1133" s="225">
        <v>0</v>
      </c>
      <c r="AT1133" s="227">
        <v>0</v>
      </c>
      <c r="AU1133" s="345" t="s">
        <v>2378</v>
      </c>
      <c r="AV1133" s="228"/>
      <c r="AW1133" s="229" t="s">
        <v>204</v>
      </c>
      <c r="AX1133" s="225" t="s">
        <v>540</v>
      </c>
      <c r="AY1133" s="221">
        <v>0</v>
      </c>
      <c r="AZ1133" s="221">
        <v>77005207</v>
      </c>
      <c r="BA1133" s="222" t="s">
        <v>206</v>
      </c>
      <c r="BB1133" s="225">
        <v>0</v>
      </c>
      <c r="BC1133" s="226">
        <v>0</v>
      </c>
      <c r="BD1133" s="226">
        <v>0</v>
      </c>
      <c r="BE1133" s="230" t="s">
        <v>2427</v>
      </c>
      <c r="BF1133" s="230" t="s">
        <v>2428</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v>1</v>
      </c>
      <c r="BX1133" s="23"/>
      <c r="BY1133" s="23"/>
      <c r="BZ1133" s="23"/>
    </row>
    <row r="1134" spans="1:78" s="3" customFormat="1" ht="19.5" customHeight="1">
      <c r="A1134" s="220"/>
      <c r="B1134" s="220"/>
      <c r="C1134" s="221">
        <v>64014601</v>
      </c>
      <c r="D1134" s="222" t="s">
        <v>2429</v>
      </c>
      <c r="E1134" s="222" t="s">
        <v>2430</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45" t="s">
        <v>2378</v>
      </c>
      <c r="AV1134" s="228"/>
      <c r="AW1134" s="222" t="s">
        <v>204</v>
      </c>
      <c r="AX1134" s="225" t="s">
        <v>540</v>
      </c>
      <c r="AY1134" s="221">
        <v>10000007</v>
      </c>
      <c r="AZ1134" s="221">
        <v>77005205</v>
      </c>
      <c r="BA1134" s="222" t="s">
        <v>592</v>
      </c>
      <c r="BB1134" s="225" t="s">
        <v>2431</v>
      </c>
      <c r="BC1134" s="226">
        <v>0</v>
      </c>
      <c r="BD1134" s="226">
        <v>1</v>
      </c>
      <c r="BE1134" s="230" t="s">
        <v>2432</v>
      </c>
      <c r="BF1134" s="230" t="s">
        <v>2433</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64014602</v>
      </c>
      <c r="D1135" s="222" t="s">
        <v>2429</v>
      </c>
      <c r="E1135" s="222" t="s">
        <v>2430</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45" t="s">
        <v>2378</v>
      </c>
      <c r="AV1135" s="228"/>
      <c r="AW1135" s="222" t="s">
        <v>204</v>
      </c>
      <c r="AX1135" s="225" t="s">
        <v>540</v>
      </c>
      <c r="AY1135" s="221">
        <v>10000007</v>
      </c>
      <c r="AZ1135" s="221">
        <v>77005205</v>
      </c>
      <c r="BA1135" s="222" t="s">
        <v>592</v>
      </c>
      <c r="BB1135" s="225" t="s">
        <v>2431</v>
      </c>
      <c r="BC1135" s="226">
        <v>0</v>
      </c>
      <c r="BD1135" s="226">
        <v>1</v>
      </c>
      <c r="BE1135" s="230" t="s">
        <v>2432</v>
      </c>
      <c r="BF1135" s="230" t="s">
        <v>2433</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64014603</v>
      </c>
      <c r="D1136" s="222" t="s">
        <v>2429</v>
      </c>
      <c r="E1136" s="222" t="s">
        <v>2430</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45" t="s">
        <v>2378</v>
      </c>
      <c r="AV1136" s="228"/>
      <c r="AW1136" s="222" t="s">
        <v>204</v>
      </c>
      <c r="AX1136" s="225" t="s">
        <v>540</v>
      </c>
      <c r="AY1136" s="221">
        <v>10000007</v>
      </c>
      <c r="AZ1136" s="221">
        <v>77005205</v>
      </c>
      <c r="BA1136" s="222" t="s">
        <v>592</v>
      </c>
      <c r="BB1136" s="225" t="s">
        <v>2431</v>
      </c>
      <c r="BC1136" s="226">
        <v>0</v>
      </c>
      <c r="BD1136" s="226">
        <v>1</v>
      </c>
      <c r="BE1136" s="230" t="s">
        <v>2432</v>
      </c>
      <c r="BF1136" s="230" t="s">
        <v>2433</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64014604</v>
      </c>
      <c r="D1137" s="222" t="s">
        <v>2429</v>
      </c>
      <c r="E1137" s="222" t="s">
        <v>2430</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45" t="s">
        <v>2378</v>
      </c>
      <c r="AV1137" s="228"/>
      <c r="AW1137" s="222" t="s">
        <v>204</v>
      </c>
      <c r="AX1137" s="225" t="s">
        <v>540</v>
      </c>
      <c r="AY1137" s="221">
        <v>10000007</v>
      </c>
      <c r="AZ1137" s="221">
        <v>77005205</v>
      </c>
      <c r="BA1137" s="222" t="s">
        <v>592</v>
      </c>
      <c r="BB1137" s="225" t="s">
        <v>2431</v>
      </c>
      <c r="BC1137" s="226">
        <v>0</v>
      </c>
      <c r="BD1137" s="226">
        <v>1</v>
      </c>
      <c r="BE1137" s="230" t="s">
        <v>2432</v>
      </c>
      <c r="BF1137" s="230" t="s">
        <v>2433</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64014605</v>
      </c>
      <c r="D1138" s="222" t="s">
        <v>2429</v>
      </c>
      <c r="E1138" s="222" t="s">
        <v>2430</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45" t="s">
        <v>2378</v>
      </c>
      <c r="AV1138" s="228"/>
      <c r="AW1138" s="222" t="s">
        <v>204</v>
      </c>
      <c r="AX1138" s="225" t="s">
        <v>540</v>
      </c>
      <c r="AY1138" s="221">
        <v>10000007</v>
      </c>
      <c r="AZ1138" s="221">
        <v>77005205</v>
      </c>
      <c r="BA1138" s="222" t="s">
        <v>592</v>
      </c>
      <c r="BB1138" s="225" t="s">
        <v>2431</v>
      </c>
      <c r="BC1138" s="226">
        <v>0</v>
      </c>
      <c r="BD1138" s="226">
        <v>1</v>
      </c>
      <c r="BE1138" s="230" t="s">
        <v>2432</v>
      </c>
      <c r="BF1138" s="230" t="s">
        <v>2433</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64014606</v>
      </c>
      <c r="D1139" s="222" t="s">
        <v>2429</v>
      </c>
      <c r="E1139" s="222" t="s">
        <v>2430</v>
      </c>
      <c r="F1139" s="221">
        <v>1</v>
      </c>
      <c r="G1139" s="225">
        <v>0</v>
      </c>
      <c r="H1139" s="221">
        <v>0</v>
      </c>
      <c r="I1139" s="226">
        <v>0</v>
      </c>
      <c r="J1139" s="221">
        <v>1</v>
      </c>
      <c r="K1139" s="221">
        <v>0</v>
      </c>
      <c r="L1139" s="221">
        <v>0</v>
      </c>
      <c r="M1139" s="225">
        <v>0</v>
      </c>
      <c r="N1139" s="225">
        <v>0</v>
      </c>
      <c r="O1139" s="225">
        <v>2</v>
      </c>
      <c r="P1139" s="225">
        <v>16</v>
      </c>
      <c r="Q1139" s="225">
        <v>1</v>
      </c>
      <c r="R1139" s="225">
        <v>0</v>
      </c>
      <c r="S1139" s="227">
        <v>0</v>
      </c>
      <c r="T1139" s="225">
        <v>0</v>
      </c>
      <c r="U1139" s="225">
        <v>1</v>
      </c>
      <c r="V1139" s="225">
        <v>2</v>
      </c>
      <c r="W1139" s="225">
        <v>0</v>
      </c>
      <c r="X1139" s="225">
        <v>1.5</v>
      </c>
      <c r="Y1139" s="19">
        <v>0</v>
      </c>
      <c r="Z1139" s="225">
        <v>0</v>
      </c>
      <c r="AA1139" s="225">
        <v>0</v>
      </c>
      <c r="AB1139" s="225">
        <v>0</v>
      </c>
      <c r="AC1139" s="225">
        <v>0</v>
      </c>
      <c r="AD1139" s="225">
        <v>0</v>
      </c>
      <c r="AE1139" s="225">
        <v>1</v>
      </c>
      <c r="AF1139" s="225">
        <v>0</v>
      </c>
      <c r="AG1139" s="225">
        <v>1</v>
      </c>
      <c r="AH1139" s="225">
        <v>2</v>
      </c>
      <c r="AI1139" s="227">
        <v>0</v>
      </c>
      <c r="AJ1139" s="227">
        <v>2</v>
      </c>
      <c r="AK1139" s="227">
        <v>0</v>
      </c>
      <c r="AL1139" s="227">
        <v>2</v>
      </c>
      <c r="AM1139" s="225">
        <v>0</v>
      </c>
      <c r="AN1139" s="225">
        <v>0</v>
      </c>
      <c r="AO1139" s="225">
        <v>0</v>
      </c>
      <c r="AP1139" s="225">
        <v>0</v>
      </c>
      <c r="AQ1139" s="225">
        <v>5000</v>
      </c>
      <c r="AR1139" s="225">
        <v>0</v>
      </c>
      <c r="AS1139" s="225">
        <v>15</v>
      </c>
      <c r="AT1139" s="235">
        <v>0</v>
      </c>
      <c r="AU1139" s="345" t="s">
        <v>2378</v>
      </c>
      <c r="AV1139" s="228"/>
      <c r="AW1139" s="222" t="s">
        <v>204</v>
      </c>
      <c r="AX1139" s="225" t="s">
        <v>540</v>
      </c>
      <c r="AY1139" s="221">
        <v>10000007</v>
      </c>
      <c r="AZ1139" s="221">
        <v>77005205</v>
      </c>
      <c r="BA1139" s="222" t="s">
        <v>592</v>
      </c>
      <c r="BB1139" s="225" t="s">
        <v>2431</v>
      </c>
      <c r="BC1139" s="226">
        <v>0</v>
      </c>
      <c r="BD1139" s="226">
        <v>1</v>
      </c>
      <c r="BE1139" s="230" t="s">
        <v>2432</v>
      </c>
      <c r="BF1139" s="230" t="s">
        <v>2433</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64014701</v>
      </c>
      <c r="D1140" s="222" t="s">
        <v>2434</v>
      </c>
      <c r="E1140" s="222" t="s">
        <v>2435</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45" t="s">
        <v>2436</v>
      </c>
      <c r="AV1140" s="228"/>
      <c r="AW1140" s="229" t="s">
        <v>204</v>
      </c>
      <c r="AX1140" s="225" t="s">
        <v>540</v>
      </c>
      <c r="AY1140" s="221">
        <v>0</v>
      </c>
      <c r="AZ1140" s="221">
        <v>77005202</v>
      </c>
      <c r="BA1140" s="222" t="s">
        <v>206</v>
      </c>
      <c r="BB1140" s="225">
        <v>0</v>
      </c>
      <c r="BC1140" s="226">
        <v>0</v>
      </c>
      <c r="BD1140" s="226">
        <v>0</v>
      </c>
      <c r="BE1140" s="230" t="s">
        <v>2334</v>
      </c>
      <c r="BF1140" s="230" t="s">
        <v>2335</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64014702</v>
      </c>
      <c r="D1141" s="222" t="s">
        <v>2434</v>
      </c>
      <c r="E1141" s="222" t="s">
        <v>2435</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v>
      </c>
      <c r="Y1141" s="225">
        <v>0.5</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45" t="s">
        <v>2436</v>
      </c>
      <c r="AV1141" s="228"/>
      <c r="AW1141" s="229" t="s">
        <v>204</v>
      </c>
      <c r="AX1141" s="225" t="s">
        <v>540</v>
      </c>
      <c r="AY1141" s="221">
        <v>0</v>
      </c>
      <c r="AZ1141" s="221">
        <v>77005202</v>
      </c>
      <c r="BA1141" s="222" t="s">
        <v>206</v>
      </c>
      <c r="BB1141" s="225">
        <v>0</v>
      </c>
      <c r="BC1141" s="226">
        <v>0</v>
      </c>
      <c r="BD1141" s="226">
        <v>0</v>
      </c>
      <c r="BE1141" s="230" t="s">
        <v>2334</v>
      </c>
      <c r="BF1141" s="230" t="s">
        <v>2335</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64014703</v>
      </c>
      <c r="D1142" s="222" t="s">
        <v>2434</v>
      </c>
      <c r="E1142" s="222" t="s">
        <v>2435</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0.55000000000000004</v>
      </c>
      <c r="Y1142" s="225">
        <v>0.55000000000000004</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45" t="s">
        <v>2436</v>
      </c>
      <c r="AV1142" s="228"/>
      <c r="AW1142" s="229" t="s">
        <v>204</v>
      </c>
      <c r="AX1142" s="225" t="s">
        <v>540</v>
      </c>
      <c r="AY1142" s="221">
        <v>0</v>
      </c>
      <c r="AZ1142" s="221">
        <v>77005202</v>
      </c>
      <c r="BA1142" s="222" t="s">
        <v>206</v>
      </c>
      <c r="BB1142" s="225">
        <v>0</v>
      </c>
      <c r="BC1142" s="226">
        <v>0</v>
      </c>
      <c r="BD1142" s="226">
        <v>0</v>
      </c>
      <c r="BE1142" s="230" t="s">
        <v>2334</v>
      </c>
      <c r="BF1142" s="230" t="s">
        <v>2335</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64014704</v>
      </c>
      <c r="D1143" s="222" t="s">
        <v>2434</v>
      </c>
      <c r="E1143" s="222" t="s">
        <v>2435</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v>
      </c>
      <c r="Y1143" s="225">
        <v>0.6</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45" t="s">
        <v>2436</v>
      </c>
      <c r="AV1143" s="228"/>
      <c r="AW1143" s="229" t="s">
        <v>204</v>
      </c>
      <c r="AX1143" s="225" t="s">
        <v>540</v>
      </c>
      <c r="AY1143" s="221">
        <v>0</v>
      </c>
      <c r="AZ1143" s="221">
        <v>77005202</v>
      </c>
      <c r="BA1143" s="222" t="s">
        <v>206</v>
      </c>
      <c r="BB1143" s="225">
        <v>0</v>
      </c>
      <c r="BC1143" s="226">
        <v>0</v>
      </c>
      <c r="BD1143" s="226">
        <v>0</v>
      </c>
      <c r="BE1143" s="230" t="s">
        <v>2334</v>
      </c>
      <c r="BF1143" s="230" t="s">
        <v>2335</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64014705</v>
      </c>
      <c r="D1144" s="222" t="s">
        <v>2434</v>
      </c>
      <c r="E1144" s="222" t="s">
        <v>2435</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0.65</v>
      </c>
      <c r="Y1144" s="225">
        <v>0.65</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45" t="s">
        <v>2436</v>
      </c>
      <c r="AV1144" s="228"/>
      <c r="AW1144" s="229" t="s">
        <v>204</v>
      </c>
      <c r="AX1144" s="225" t="s">
        <v>540</v>
      </c>
      <c r="AY1144" s="221">
        <v>0</v>
      </c>
      <c r="AZ1144" s="221">
        <v>77005202</v>
      </c>
      <c r="BA1144" s="222" t="s">
        <v>206</v>
      </c>
      <c r="BB1144" s="225">
        <v>0</v>
      </c>
      <c r="BC1144" s="226">
        <v>0</v>
      </c>
      <c r="BD1144" s="226">
        <v>0</v>
      </c>
      <c r="BE1144" s="230" t="s">
        <v>2334</v>
      </c>
      <c r="BF1144" s="230" t="s">
        <v>2335</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3" customFormat="1" ht="19.5" customHeight="1">
      <c r="A1145" s="220"/>
      <c r="B1145" s="220"/>
      <c r="C1145" s="221">
        <v>64014706</v>
      </c>
      <c r="D1145" s="222" t="s">
        <v>2434</v>
      </c>
      <c r="E1145" s="222" t="s">
        <v>2435</v>
      </c>
      <c r="F1145" s="221">
        <v>1</v>
      </c>
      <c r="G1145" s="221">
        <v>0</v>
      </c>
      <c r="H1145" s="221">
        <v>0</v>
      </c>
      <c r="I1145" s="226">
        <v>0</v>
      </c>
      <c r="J1145" s="221">
        <v>1</v>
      </c>
      <c r="K1145" s="221">
        <v>0</v>
      </c>
      <c r="L1145" s="221">
        <v>0</v>
      </c>
      <c r="M1145" s="225">
        <v>0</v>
      </c>
      <c r="N1145" s="225">
        <v>0</v>
      </c>
      <c r="O1145" s="225">
        <v>2</v>
      </c>
      <c r="P1145" s="225">
        <v>3</v>
      </c>
      <c r="Q1145" s="225">
        <v>0.2</v>
      </c>
      <c r="R1145" s="225">
        <v>0</v>
      </c>
      <c r="S1145" s="227">
        <v>0</v>
      </c>
      <c r="T1145" s="225">
        <v>0</v>
      </c>
      <c r="U1145" s="225">
        <v>1</v>
      </c>
      <c r="V1145" s="225">
        <v>2</v>
      </c>
      <c r="W1145" s="225">
        <v>0</v>
      </c>
      <c r="X1145" s="225">
        <v>0.7</v>
      </c>
      <c r="Y1145" s="225">
        <v>0.7</v>
      </c>
      <c r="Z1145" s="225">
        <v>0</v>
      </c>
      <c r="AA1145" s="225">
        <v>1</v>
      </c>
      <c r="AB1145" s="225">
        <v>0</v>
      </c>
      <c r="AC1145" s="225">
        <v>0</v>
      </c>
      <c r="AD1145" s="225">
        <v>1</v>
      </c>
      <c r="AE1145" s="225">
        <v>1</v>
      </c>
      <c r="AF1145" s="225">
        <v>12</v>
      </c>
      <c r="AG1145" s="225">
        <v>1</v>
      </c>
      <c r="AH1145" s="225">
        <v>3</v>
      </c>
      <c r="AI1145" s="227">
        <v>1</v>
      </c>
      <c r="AJ1145" s="227">
        <v>1</v>
      </c>
      <c r="AK1145" s="227">
        <v>0</v>
      </c>
      <c r="AL1145" s="227">
        <v>3</v>
      </c>
      <c r="AM1145" s="225">
        <v>0</v>
      </c>
      <c r="AN1145" s="225">
        <v>0</v>
      </c>
      <c r="AO1145" s="225">
        <v>0</v>
      </c>
      <c r="AP1145" s="225">
        <v>0</v>
      </c>
      <c r="AQ1145" s="225">
        <v>2000</v>
      </c>
      <c r="AR1145" s="225">
        <v>0.3</v>
      </c>
      <c r="AS1145" s="225">
        <v>0</v>
      </c>
      <c r="AT1145" s="227">
        <v>0</v>
      </c>
      <c r="AU1145" s="345" t="s">
        <v>2436</v>
      </c>
      <c r="AV1145" s="228"/>
      <c r="AW1145" s="229" t="s">
        <v>204</v>
      </c>
      <c r="AX1145" s="225" t="s">
        <v>540</v>
      </c>
      <c r="AY1145" s="221">
        <v>0</v>
      </c>
      <c r="AZ1145" s="221">
        <v>77005202</v>
      </c>
      <c r="BA1145" s="222" t="s">
        <v>206</v>
      </c>
      <c r="BB1145" s="225">
        <v>0</v>
      </c>
      <c r="BC1145" s="226">
        <v>0</v>
      </c>
      <c r="BD1145" s="226">
        <v>0</v>
      </c>
      <c r="BE1145" s="230" t="s">
        <v>2334</v>
      </c>
      <c r="BF1145" s="230" t="s">
        <v>2335</v>
      </c>
      <c r="BG1145" s="225">
        <v>0</v>
      </c>
      <c r="BH1145" s="225">
        <v>0</v>
      </c>
      <c r="BI1145" s="225">
        <v>0</v>
      </c>
      <c r="BJ1145" s="225">
        <v>0</v>
      </c>
      <c r="BK1145" s="225">
        <v>0</v>
      </c>
      <c r="BL1145" s="225">
        <v>0</v>
      </c>
      <c r="BM1145" s="224">
        <v>0</v>
      </c>
      <c r="BN1145" s="227">
        <v>0</v>
      </c>
      <c r="BO1145" s="227">
        <v>0</v>
      </c>
      <c r="BP1145" s="227">
        <v>0</v>
      </c>
      <c r="BQ1145" s="227">
        <v>0</v>
      </c>
      <c r="BR1145" s="227">
        <v>0</v>
      </c>
      <c r="BS1145" s="227">
        <v>0</v>
      </c>
      <c r="BT1145" s="227">
        <v>0</v>
      </c>
      <c r="BU1145" s="227">
        <v>0</v>
      </c>
      <c r="BV1145" s="23"/>
      <c r="BW1145" s="23"/>
      <c r="BX1145" s="23"/>
      <c r="BY1145" s="23"/>
      <c r="BZ1145" s="23"/>
    </row>
    <row r="1146" spans="1:78" s="2" customFormat="1" ht="19.5" customHeight="1">
      <c r="A1146" s="219"/>
      <c r="B1146" s="219"/>
      <c r="C1146" s="107">
        <v>64015101</v>
      </c>
      <c r="D1146" s="110" t="s">
        <v>2437</v>
      </c>
      <c r="E1146" s="110" t="s">
        <v>2438</v>
      </c>
      <c r="F1146" s="172">
        <v>0</v>
      </c>
      <c r="G1146" s="100">
        <v>64015101</v>
      </c>
      <c r="H1146" s="72">
        <v>64015102</v>
      </c>
      <c r="I1146" s="105">
        <v>0</v>
      </c>
      <c r="J1146" s="21">
        <v>18</v>
      </c>
      <c r="K1146" s="32">
        <v>5</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2439</v>
      </c>
      <c r="BB1146" s="100" t="s">
        <v>2440</v>
      </c>
      <c r="BC1146" s="99">
        <v>0</v>
      </c>
      <c r="BD1146" s="99">
        <v>0</v>
      </c>
      <c r="BE1146" s="185" t="str">
        <f>"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2441</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64015102</v>
      </c>
      <c r="D1147" s="110" t="s">
        <v>2437</v>
      </c>
      <c r="E1147" s="110" t="s">
        <v>2438</v>
      </c>
      <c r="F1147" s="172">
        <v>1</v>
      </c>
      <c r="G1147" s="100">
        <v>64015101</v>
      </c>
      <c r="H1147" s="72">
        <v>64015103</v>
      </c>
      <c r="I1147" s="105">
        <v>0</v>
      </c>
      <c r="J1147" s="21">
        <v>27</v>
      </c>
      <c r="K1147" s="32">
        <v>2</v>
      </c>
      <c r="L1147" s="100">
        <v>0</v>
      </c>
      <c r="M1147" s="100">
        <v>0</v>
      </c>
      <c r="N1147" s="100">
        <v>0</v>
      </c>
      <c r="O1147" s="100">
        <v>1</v>
      </c>
      <c r="P1147" s="100">
        <v>0</v>
      </c>
      <c r="Q1147" s="100">
        <v>0</v>
      </c>
      <c r="R1147" s="100">
        <v>0</v>
      </c>
      <c r="S1147" s="99">
        <v>0</v>
      </c>
      <c r="T1147" s="100">
        <v>0</v>
      </c>
      <c r="U1147" s="100">
        <v>1</v>
      </c>
      <c r="V1147" s="100">
        <v>1</v>
      </c>
      <c r="W1147" s="100">
        <v>0</v>
      </c>
      <c r="X1147" s="100">
        <v>1</v>
      </c>
      <c r="Y1147" s="19">
        <v>0</v>
      </c>
      <c r="Z1147" s="100">
        <f t="shared" ref="Z1147:Z1148" si="124">Z1159/3</f>
        <v>300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2439</v>
      </c>
      <c r="BB1147" s="100" t="s">
        <v>2440</v>
      </c>
      <c r="BC1147" s="99">
        <v>0</v>
      </c>
      <c r="BD1147" s="99">
        <v>0</v>
      </c>
      <c r="BE1147" s="185" t="str">
        <f t="shared" ref="BE1147:BE1151" si="125">"在区域内生成契约之地，在此区域己方的召唤单位伤害提升，并每秒对敌人造成"&amp;X1147*100&amp;"%攻击伤害+"&amp;Z1147&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7" s="185" t="s">
        <v>2441</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64015103</v>
      </c>
      <c r="D1148" s="110" t="s">
        <v>2437</v>
      </c>
      <c r="E1148" s="110" t="s">
        <v>2438</v>
      </c>
      <c r="F1148" s="172">
        <v>2</v>
      </c>
      <c r="G1148" s="100">
        <v>64015101</v>
      </c>
      <c r="H1148" s="72">
        <v>64015104</v>
      </c>
      <c r="I1148" s="105">
        <v>0</v>
      </c>
      <c r="J1148" s="21">
        <v>32</v>
      </c>
      <c r="K1148" s="32">
        <v>2</v>
      </c>
      <c r="L1148" s="100">
        <v>0</v>
      </c>
      <c r="M1148" s="100">
        <v>0</v>
      </c>
      <c r="N1148" s="100">
        <v>0</v>
      </c>
      <c r="O1148" s="100">
        <v>1</v>
      </c>
      <c r="P1148" s="100">
        <v>0</v>
      </c>
      <c r="Q1148" s="100">
        <v>0</v>
      </c>
      <c r="R1148" s="100">
        <v>0</v>
      </c>
      <c r="S1148" s="99">
        <v>0</v>
      </c>
      <c r="T1148" s="100">
        <v>0</v>
      </c>
      <c r="U1148" s="100">
        <v>1</v>
      </c>
      <c r="V1148" s="100">
        <v>1</v>
      </c>
      <c r="W1148" s="100">
        <v>0</v>
      </c>
      <c r="X1148" s="100">
        <v>1.1000000000000001</v>
      </c>
      <c r="Y1148" s="19">
        <v>0</v>
      </c>
      <c r="Z1148" s="100">
        <f t="shared" si="124"/>
        <v>600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2439</v>
      </c>
      <c r="BB1148" s="100" t="s">
        <v>2440</v>
      </c>
      <c r="BC1148" s="99">
        <v>0</v>
      </c>
      <c r="BD1148" s="99">
        <v>0</v>
      </c>
      <c r="BE1148" s="185" t="str">
        <f t="shared" si="125"/>
        <v>在区域内生成契约之地，在此区域己方的召唤单位伤害提升，并每秒对敌人造成110%攻击伤害+600点固定伤害,并在区域内倒下的怪物会立即变成契约者协助自身战斗,并且每隔1秒从里面生成契约者协助自己战斗.</v>
      </c>
      <c r="BF1148" s="185" t="s">
        <v>2442</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64015104</v>
      </c>
      <c r="D1149" s="110" t="s">
        <v>2437</v>
      </c>
      <c r="E1149" s="110" t="s">
        <v>2438</v>
      </c>
      <c r="F1149" s="172">
        <v>3</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1.2</v>
      </c>
      <c r="Y1149" s="19">
        <v>0</v>
      </c>
      <c r="Z1149" s="100">
        <v>950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2439</v>
      </c>
      <c r="BB1149" s="100" t="s">
        <v>2440</v>
      </c>
      <c r="BC1149" s="99">
        <v>0</v>
      </c>
      <c r="BD1149" s="99">
        <v>0</v>
      </c>
      <c r="BE1149" s="185" t="str">
        <f t="shared" si="125"/>
        <v>在区域内生成契约之地，在此区域己方的召唤单位伤害提升，并每秒对敌人造成120%攻击伤害+950点固定伤害,并在区域内倒下的怪物会立即变成契约者协助自身战斗,并且每隔1秒从里面生成契约者协助自己战斗.</v>
      </c>
      <c r="BF1149" s="185" t="s">
        <v>2443</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64015105</v>
      </c>
      <c r="D1150" s="110" t="s">
        <v>2437</v>
      </c>
      <c r="E1150" s="110" t="s">
        <v>2438</v>
      </c>
      <c r="F1150" s="172">
        <v>4</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1.3</v>
      </c>
      <c r="Y1150" s="19">
        <v>0</v>
      </c>
      <c r="Z1150" s="100">
        <v>1500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2439</v>
      </c>
      <c r="BB1150" s="100" t="s">
        <v>2440</v>
      </c>
      <c r="BC1150" s="99">
        <v>0</v>
      </c>
      <c r="BD1150" s="99">
        <v>0</v>
      </c>
      <c r="BE1150" s="185" t="str">
        <f t="shared" si="125"/>
        <v>在区域内生成契约之地，在此区域己方的召唤单位伤害提升，并每秒对敌人造成130%攻击伤害+1500点固定伤害,并在区域内倒下的怪物会立即变成契约者协助自身战斗,并且每隔1秒从里面生成契约者协助自己战斗.</v>
      </c>
      <c r="BF1150" s="185" t="s">
        <v>2444</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s="2" customFormat="1" ht="19.5" customHeight="1">
      <c r="A1151" s="219"/>
      <c r="B1151" s="219"/>
      <c r="C1151" s="107">
        <v>64015106</v>
      </c>
      <c r="D1151" s="110" t="s">
        <v>2437</v>
      </c>
      <c r="E1151" s="110" t="s">
        <v>2438</v>
      </c>
      <c r="F1151" s="172">
        <v>5</v>
      </c>
      <c r="G1151" s="100">
        <v>64015101</v>
      </c>
      <c r="H1151" s="72">
        <v>0</v>
      </c>
      <c r="I1151" s="105">
        <v>0</v>
      </c>
      <c r="J1151" s="21">
        <v>0</v>
      </c>
      <c r="K1151" s="32">
        <v>0</v>
      </c>
      <c r="L1151" s="100">
        <v>0</v>
      </c>
      <c r="M1151" s="100">
        <v>0</v>
      </c>
      <c r="N1151" s="100">
        <v>0</v>
      </c>
      <c r="O1151" s="100">
        <v>1</v>
      </c>
      <c r="P1151" s="100">
        <v>0</v>
      </c>
      <c r="Q1151" s="100">
        <v>0</v>
      </c>
      <c r="R1151" s="100">
        <v>0</v>
      </c>
      <c r="S1151" s="99">
        <v>0</v>
      </c>
      <c r="T1151" s="100">
        <v>0</v>
      </c>
      <c r="U1151" s="100">
        <v>1</v>
      </c>
      <c r="V1151" s="100">
        <v>1</v>
      </c>
      <c r="W1151" s="100">
        <v>0</v>
      </c>
      <c r="X1151" s="100">
        <v>1.4</v>
      </c>
      <c r="Y1151" s="19">
        <v>0</v>
      </c>
      <c r="Z1151" s="100">
        <v>2000</v>
      </c>
      <c r="AA1151" s="100">
        <v>0</v>
      </c>
      <c r="AB1151" s="100">
        <v>0</v>
      </c>
      <c r="AC1151" s="100">
        <v>0</v>
      </c>
      <c r="AD1151" s="100">
        <v>0</v>
      </c>
      <c r="AE1151" s="100">
        <v>0</v>
      </c>
      <c r="AF1151" s="100">
        <v>12</v>
      </c>
      <c r="AG1151" s="100">
        <v>1</v>
      </c>
      <c r="AH1151" s="118">
        <v>6</v>
      </c>
      <c r="AI1151" s="99">
        <v>2</v>
      </c>
      <c r="AJ1151" s="99">
        <v>1</v>
      </c>
      <c r="AK1151" s="99">
        <v>0</v>
      </c>
      <c r="AL1151" s="99">
        <v>8</v>
      </c>
      <c r="AM1151" s="100">
        <v>0</v>
      </c>
      <c r="AN1151" s="100">
        <v>0</v>
      </c>
      <c r="AO1151" s="100">
        <v>0</v>
      </c>
      <c r="AP1151" s="100">
        <v>0.2</v>
      </c>
      <c r="AQ1151" s="100">
        <v>5000</v>
      </c>
      <c r="AR1151" s="100">
        <v>0.2</v>
      </c>
      <c r="AS1151" s="100">
        <v>0</v>
      </c>
      <c r="AT1151" s="99">
        <v>0</v>
      </c>
      <c r="AU1151" s="100">
        <v>95103001</v>
      </c>
      <c r="AV1151" s="100"/>
      <c r="AW1151" s="35" t="s">
        <v>205</v>
      </c>
      <c r="AX1151" s="100" t="s">
        <v>540</v>
      </c>
      <c r="AY1151" s="107">
        <v>10000001</v>
      </c>
      <c r="AZ1151" s="107">
        <v>77005301</v>
      </c>
      <c r="BA1151" s="110" t="s">
        <v>2439</v>
      </c>
      <c r="BB1151" s="100" t="s">
        <v>2440</v>
      </c>
      <c r="BC1151" s="99">
        <v>0</v>
      </c>
      <c r="BD1151" s="99">
        <v>0</v>
      </c>
      <c r="BE1151" s="185" t="str">
        <f t="shared" si="125"/>
        <v>在区域内生成契约之地，在此区域己方的召唤单位伤害提升，并每秒对敌人造成140%攻击伤害+2000点固定伤害,并在区域内倒下的怪物会立即变成契约者协助自身战斗,并且每隔1秒从里面生成契约者协助自己战斗.</v>
      </c>
      <c r="BF1151" s="185" t="s">
        <v>2445</v>
      </c>
      <c r="BG1151" s="100">
        <v>0</v>
      </c>
      <c r="BH1151" s="100">
        <v>0</v>
      </c>
      <c r="BI1151" s="100">
        <v>0</v>
      </c>
      <c r="BJ1151" s="100">
        <v>0</v>
      </c>
      <c r="BK1151" s="100">
        <v>0</v>
      </c>
      <c r="BL1151" s="100">
        <v>0</v>
      </c>
      <c r="BM1151" s="97">
        <v>0</v>
      </c>
      <c r="BN1151" s="99">
        <v>0</v>
      </c>
      <c r="BO1151" s="99">
        <v>0</v>
      </c>
      <c r="BP1151" s="99">
        <v>0</v>
      </c>
      <c r="BQ1151" s="99">
        <v>0</v>
      </c>
      <c r="BR1151" s="99">
        <v>0</v>
      </c>
      <c r="BS1151" s="99">
        <v>0</v>
      </c>
      <c r="BT1151" s="99">
        <v>0</v>
      </c>
      <c r="BU1151" s="99">
        <v>0</v>
      </c>
      <c r="BV1151" s="23"/>
      <c r="BW1151" s="23"/>
      <c r="BX1151" s="23"/>
      <c r="BY1151" s="23"/>
      <c r="BZ1151" s="23"/>
    </row>
    <row r="1152" spans="1:78" ht="20.100000000000001" customHeight="1">
      <c r="C1152" s="74">
        <v>64015201</v>
      </c>
      <c r="D1152" s="202" t="s">
        <v>2446</v>
      </c>
      <c r="E1152" s="202" t="s">
        <v>2447</v>
      </c>
      <c r="F1152" s="172">
        <v>0</v>
      </c>
      <c r="G1152" s="74">
        <v>64015201</v>
      </c>
      <c r="H1152" s="74">
        <v>64015202</v>
      </c>
      <c r="I1152" s="174">
        <v>0</v>
      </c>
      <c r="J1152" s="21">
        <v>25</v>
      </c>
      <c r="K1152" s="21">
        <v>5</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206">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2187</v>
      </c>
      <c r="AU1152" s="343" t="s">
        <v>2188</v>
      </c>
      <c r="AV1152" s="205"/>
      <c r="AW1152" s="35" t="s">
        <v>205</v>
      </c>
      <c r="AX1152" s="175" t="s">
        <v>2189</v>
      </c>
      <c r="AY1152" s="175" t="s">
        <v>204</v>
      </c>
      <c r="AZ1152" s="175">
        <v>21203010</v>
      </c>
      <c r="BA1152" s="202" t="s">
        <v>206</v>
      </c>
      <c r="BB1152" s="175">
        <v>0</v>
      </c>
      <c r="BC1152" s="175">
        <v>0</v>
      </c>
      <c r="BD1152" s="175">
        <v>0</v>
      </c>
      <c r="BE1152" s="215" t="s">
        <v>2190</v>
      </c>
      <c r="BF1152" s="215" t="s">
        <v>2191</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64015202</v>
      </c>
      <c r="D1153" s="202" t="s">
        <v>2446</v>
      </c>
      <c r="E1153" s="202" t="s">
        <v>2447</v>
      </c>
      <c r="F1153" s="172">
        <v>1</v>
      </c>
      <c r="G1153" s="74">
        <v>64015201</v>
      </c>
      <c r="H1153" s="74">
        <v>64015203</v>
      </c>
      <c r="I1153" s="174">
        <v>0</v>
      </c>
      <c r="J1153" s="21">
        <v>32</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2187</v>
      </c>
      <c r="AU1153" s="343" t="s">
        <v>2188</v>
      </c>
      <c r="AV1153" s="205"/>
      <c r="AW1153" s="35" t="s">
        <v>205</v>
      </c>
      <c r="AX1153" s="175" t="s">
        <v>2189</v>
      </c>
      <c r="AY1153" s="175" t="s">
        <v>204</v>
      </c>
      <c r="AZ1153" s="175">
        <v>21203010</v>
      </c>
      <c r="BA1153" s="202" t="s">
        <v>206</v>
      </c>
      <c r="BB1153" s="175">
        <v>0</v>
      </c>
      <c r="BC1153" s="175">
        <v>0</v>
      </c>
      <c r="BD1153" s="175">
        <v>0</v>
      </c>
      <c r="BE1153" s="215" t="s">
        <v>2190</v>
      </c>
      <c r="BF1153" s="215" t="s">
        <v>2191</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64015203</v>
      </c>
      <c r="D1154" s="202" t="s">
        <v>2446</v>
      </c>
      <c r="E1154" s="202" t="s">
        <v>2447</v>
      </c>
      <c r="F1154" s="172">
        <v>2</v>
      </c>
      <c r="G1154" s="74">
        <v>64015201</v>
      </c>
      <c r="H1154" s="74">
        <v>64015204</v>
      </c>
      <c r="I1154" s="174">
        <v>0</v>
      </c>
      <c r="J1154" s="21">
        <v>37</v>
      </c>
      <c r="K1154" s="21">
        <v>2</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205" t="s">
        <v>2192</v>
      </c>
      <c r="AU1154" s="343" t="s">
        <v>2193</v>
      </c>
      <c r="AV1154" s="205"/>
      <c r="AW1154" s="35" t="s">
        <v>205</v>
      </c>
      <c r="AX1154" s="175" t="s">
        <v>2189</v>
      </c>
      <c r="AY1154" s="175" t="s">
        <v>204</v>
      </c>
      <c r="AZ1154" s="175">
        <v>21203010</v>
      </c>
      <c r="BA1154" s="202" t="s">
        <v>206</v>
      </c>
      <c r="BB1154" s="175">
        <v>0</v>
      </c>
      <c r="BC1154" s="175">
        <v>0</v>
      </c>
      <c r="BD1154" s="175">
        <v>0</v>
      </c>
      <c r="BE1154" s="215" t="s">
        <v>2194</v>
      </c>
      <c r="BF1154" s="215" t="s">
        <v>2195</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64015204</v>
      </c>
      <c r="D1155" s="202" t="s">
        <v>2446</v>
      </c>
      <c r="E1155" s="202" t="s">
        <v>2447</v>
      </c>
      <c r="F1155" s="172">
        <v>3</v>
      </c>
      <c r="G1155" s="74">
        <v>64015201</v>
      </c>
      <c r="H1155" s="172">
        <v>0</v>
      </c>
      <c r="I1155" s="174">
        <v>0</v>
      </c>
      <c r="J1155" s="21">
        <v>0</v>
      </c>
      <c r="K1155" s="182">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343" t="s">
        <v>2196</v>
      </c>
      <c r="AU1155" s="343" t="s">
        <v>2197</v>
      </c>
      <c r="AV1155" s="205"/>
      <c r="AW1155" s="35" t="s">
        <v>205</v>
      </c>
      <c r="AX1155" s="175" t="s">
        <v>2189</v>
      </c>
      <c r="AY1155" s="175" t="s">
        <v>204</v>
      </c>
      <c r="AZ1155" s="175">
        <v>21203010</v>
      </c>
      <c r="BA1155" s="202" t="s">
        <v>206</v>
      </c>
      <c r="BB1155" s="175">
        <v>0</v>
      </c>
      <c r="BC1155" s="175">
        <v>0</v>
      </c>
      <c r="BD1155" s="175">
        <v>0</v>
      </c>
      <c r="BE1155" s="215" t="s">
        <v>2198</v>
      </c>
      <c r="BF1155" s="215" t="s">
        <v>2199</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64015205</v>
      </c>
      <c r="D1156" s="202" t="s">
        <v>2446</v>
      </c>
      <c r="E1156" s="202" t="s">
        <v>2447</v>
      </c>
      <c r="F1156" s="172">
        <v>4</v>
      </c>
      <c r="G1156" s="74">
        <v>64015201</v>
      </c>
      <c r="H1156" s="172">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2200</v>
      </c>
      <c r="AU1156" s="343" t="s">
        <v>2201</v>
      </c>
      <c r="AV1156" s="205"/>
      <c r="AW1156" s="35" t="s">
        <v>205</v>
      </c>
      <c r="AX1156" s="175" t="s">
        <v>2189</v>
      </c>
      <c r="AY1156" s="175" t="s">
        <v>204</v>
      </c>
      <c r="AZ1156" s="175">
        <v>21203010</v>
      </c>
      <c r="BA1156" s="202" t="s">
        <v>206</v>
      </c>
      <c r="BB1156" s="175">
        <v>0</v>
      </c>
      <c r="BC1156" s="175">
        <v>0</v>
      </c>
      <c r="BD1156" s="175">
        <v>0</v>
      </c>
      <c r="BE1156" s="215" t="s">
        <v>2202</v>
      </c>
      <c r="BF1156" s="215" t="s">
        <v>2203</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ht="20.100000000000001" customHeight="1">
      <c r="C1157" s="74">
        <v>64015206</v>
      </c>
      <c r="D1157" s="202" t="s">
        <v>2446</v>
      </c>
      <c r="E1157" s="202" t="s">
        <v>2447</v>
      </c>
      <c r="F1157" s="172">
        <v>5</v>
      </c>
      <c r="G1157" s="74">
        <v>64015201</v>
      </c>
      <c r="H1157" s="176">
        <v>0</v>
      </c>
      <c r="I1157" s="174">
        <v>0</v>
      </c>
      <c r="J1157" s="21">
        <v>0</v>
      </c>
      <c r="K1157" s="21">
        <v>0</v>
      </c>
      <c r="L1157" s="172">
        <v>0</v>
      </c>
      <c r="M1157" s="175">
        <v>0</v>
      </c>
      <c r="N1157" s="175">
        <v>0</v>
      </c>
      <c r="O1157" s="175">
        <v>1</v>
      </c>
      <c r="P1157" s="175">
        <v>0</v>
      </c>
      <c r="Q1157" s="175">
        <v>0</v>
      </c>
      <c r="R1157" s="175">
        <v>0</v>
      </c>
      <c r="S1157" s="175">
        <v>0</v>
      </c>
      <c r="T1157" s="175">
        <v>0</v>
      </c>
      <c r="U1157" s="172">
        <v>1</v>
      </c>
      <c r="V1157" s="175">
        <v>2</v>
      </c>
      <c r="W1157" s="175">
        <v>0</v>
      </c>
      <c r="X1157" s="176">
        <v>0</v>
      </c>
      <c r="Y1157" s="19">
        <v>0</v>
      </c>
      <c r="Z1157" s="176">
        <v>0</v>
      </c>
      <c r="AA1157" s="175">
        <v>0</v>
      </c>
      <c r="AB1157" s="175">
        <v>0</v>
      </c>
      <c r="AC1157" s="175">
        <v>0</v>
      </c>
      <c r="AD1157" s="176">
        <v>0</v>
      </c>
      <c r="AE1157" s="175">
        <v>0</v>
      </c>
      <c r="AF1157" s="176">
        <v>25</v>
      </c>
      <c r="AG1157" s="175">
        <v>1</v>
      </c>
      <c r="AH1157" s="176">
        <v>20</v>
      </c>
      <c r="AI1157" s="175">
        <v>2</v>
      </c>
      <c r="AJ1157" s="175">
        <v>1</v>
      </c>
      <c r="AK1157" s="175">
        <v>1</v>
      </c>
      <c r="AL1157" s="175">
        <v>6</v>
      </c>
      <c r="AM1157" s="175">
        <v>0</v>
      </c>
      <c r="AN1157" s="175">
        <v>0</v>
      </c>
      <c r="AO1157" s="175">
        <v>0</v>
      </c>
      <c r="AP1157" s="176">
        <v>0.25</v>
      </c>
      <c r="AQ1157" s="176">
        <v>2000</v>
      </c>
      <c r="AR1157" s="175">
        <v>0.1</v>
      </c>
      <c r="AS1157" s="175">
        <v>0</v>
      </c>
      <c r="AT1157" s="205" t="s">
        <v>2204</v>
      </c>
      <c r="AU1157" s="343" t="s">
        <v>2205</v>
      </c>
      <c r="AV1157" s="205"/>
      <c r="AW1157" s="35" t="s">
        <v>205</v>
      </c>
      <c r="AX1157" s="175" t="s">
        <v>2189</v>
      </c>
      <c r="AY1157" s="175" t="s">
        <v>204</v>
      </c>
      <c r="AZ1157" s="175">
        <v>21203010</v>
      </c>
      <c r="BA1157" s="202" t="s">
        <v>206</v>
      </c>
      <c r="BB1157" s="175">
        <v>0</v>
      </c>
      <c r="BC1157" s="175">
        <v>0</v>
      </c>
      <c r="BD1157" s="175">
        <v>0</v>
      </c>
      <c r="BE1157" s="215" t="s">
        <v>2206</v>
      </c>
      <c r="BF1157" s="215" t="s">
        <v>2207</v>
      </c>
      <c r="BG1157" s="175">
        <v>0</v>
      </c>
      <c r="BH1157" s="172">
        <v>0</v>
      </c>
      <c r="BI1157" s="175">
        <v>0</v>
      </c>
      <c r="BJ1157" s="175">
        <v>0</v>
      </c>
      <c r="BK1157" s="175">
        <v>0</v>
      </c>
      <c r="BL1157" s="175">
        <v>0</v>
      </c>
      <c r="BM1157" s="178">
        <v>0</v>
      </c>
      <c r="BN1157" s="175">
        <v>0</v>
      </c>
      <c r="BO1157" s="175">
        <v>0</v>
      </c>
      <c r="BP1157" s="175">
        <v>0</v>
      </c>
      <c r="BQ1157" s="175">
        <v>0</v>
      </c>
      <c r="BR1157" s="175">
        <v>0</v>
      </c>
      <c r="BS1157" s="175">
        <v>0</v>
      </c>
      <c r="BT1157" s="19">
        <v>0</v>
      </c>
      <c r="BU1157" s="23">
        <v>0</v>
      </c>
      <c r="BV1157" s="23"/>
      <c r="BW1157" s="23"/>
      <c r="BX1157" s="23"/>
      <c r="BY1157" s="23"/>
      <c r="BZ1157" s="23"/>
    </row>
    <row r="1158" spans="1:78" s="2" customFormat="1" ht="20.100000000000001" customHeight="1">
      <c r="A1158" s="219"/>
      <c r="B1158" s="219"/>
      <c r="C1158" s="107">
        <v>64015301</v>
      </c>
      <c r="D1158" s="110" t="s">
        <v>2448</v>
      </c>
      <c r="E1158" s="110" t="s">
        <v>2449</v>
      </c>
      <c r="F1158" s="172">
        <v>0</v>
      </c>
      <c r="G1158" s="107">
        <v>64015301</v>
      </c>
      <c r="H1158" s="72">
        <v>64015302</v>
      </c>
      <c r="I1158" s="105">
        <v>0</v>
      </c>
      <c r="J1158" s="21">
        <v>30</v>
      </c>
      <c r="K1158" s="32">
        <v>5</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44" t="s">
        <v>2263</v>
      </c>
      <c r="AW1158" s="35" t="s">
        <v>205</v>
      </c>
      <c r="AX1158" s="100" t="s">
        <v>551</v>
      </c>
      <c r="AY1158" s="107">
        <v>0</v>
      </c>
      <c r="AZ1158" s="107">
        <v>77005303</v>
      </c>
      <c r="BA1158" s="71" t="s">
        <v>321</v>
      </c>
      <c r="BB1158" s="72">
        <v>0</v>
      </c>
      <c r="BC1158" s="105">
        <v>0</v>
      </c>
      <c r="BD1158" s="105">
        <v>0</v>
      </c>
      <c r="BE1158" s="185" t="str">
        <f>"对目标区域立即造成"&amp;X1158*100&amp;"%攻击伤害+"&amp;Z1158&amp;"点固定伤害,并附带魔法印记和并眩晕2秒"</f>
        <v>对目标区域立即造成250%攻击伤害+900点固定伤害,并附带魔法印记和并眩晕2秒</v>
      </c>
      <c r="BF1158" s="185" t="s">
        <v>2450</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64015302</v>
      </c>
      <c r="D1159" s="110" t="s">
        <v>2448</v>
      </c>
      <c r="E1159" s="110" t="s">
        <v>2449</v>
      </c>
      <c r="F1159" s="172">
        <v>1</v>
      </c>
      <c r="G1159" s="107">
        <v>64015301</v>
      </c>
      <c r="H1159" s="72">
        <v>64015303</v>
      </c>
      <c r="I1159" s="105">
        <v>0</v>
      </c>
      <c r="J1159" s="21">
        <v>37</v>
      </c>
      <c r="K1159" s="32">
        <v>2</v>
      </c>
      <c r="L1159" s="107">
        <v>0</v>
      </c>
      <c r="M1159" s="100">
        <v>0</v>
      </c>
      <c r="N1159" s="100">
        <v>0</v>
      </c>
      <c r="O1159" s="100">
        <v>1</v>
      </c>
      <c r="P1159" s="100">
        <v>0</v>
      </c>
      <c r="Q1159" s="100">
        <v>0</v>
      </c>
      <c r="R1159" s="100">
        <v>0</v>
      </c>
      <c r="S1159" s="99">
        <v>0</v>
      </c>
      <c r="T1159" s="100">
        <v>0</v>
      </c>
      <c r="U1159" s="100">
        <v>1</v>
      </c>
      <c r="V1159" s="100">
        <v>1</v>
      </c>
      <c r="W1159" s="100">
        <v>0</v>
      </c>
      <c r="X1159" s="32">
        <v>2.5</v>
      </c>
      <c r="Y1159" s="19">
        <v>0</v>
      </c>
      <c r="Z1159" s="32">
        <v>900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44" t="s">
        <v>2263</v>
      </c>
      <c r="AW1159" s="35" t="s">
        <v>205</v>
      </c>
      <c r="AX1159" s="100" t="s">
        <v>551</v>
      </c>
      <c r="AY1159" s="107">
        <v>0</v>
      </c>
      <c r="AZ1159" s="107">
        <v>77005303</v>
      </c>
      <c r="BA1159" s="71" t="s">
        <v>321</v>
      </c>
      <c r="BB1159" s="72">
        <v>1</v>
      </c>
      <c r="BC1159" s="105">
        <v>0</v>
      </c>
      <c r="BD1159" s="105">
        <v>0</v>
      </c>
      <c r="BE1159" s="185" t="str">
        <f t="shared" ref="BE1159:BE1163" si="126">"对目标区域立即造成"&amp;X1159*100&amp;"%攻击伤害+"&amp;Z1159&amp;"点固定伤害,并附带魔法印记和并眩晕2秒"</f>
        <v>对目标区域立即造成250%攻击伤害+900点固定伤害,并附带魔法印记和并眩晕2秒</v>
      </c>
      <c r="BF1159" s="185" t="s">
        <v>2450</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64015303</v>
      </c>
      <c r="D1160" s="110" t="s">
        <v>2448</v>
      </c>
      <c r="E1160" s="110" t="s">
        <v>2449</v>
      </c>
      <c r="F1160" s="172">
        <v>2</v>
      </c>
      <c r="G1160" s="107">
        <v>64015301</v>
      </c>
      <c r="H1160" s="72">
        <v>64015304</v>
      </c>
      <c r="I1160" s="105">
        <v>0</v>
      </c>
      <c r="J1160" s="21">
        <v>42</v>
      </c>
      <c r="K1160" s="32">
        <v>2</v>
      </c>
      <c r="L1160" s="107">
        <v>0</v>
      </c>
      <c r="M1160" s="100">
        <v>0</v>
      </c>
      <c r="N1160" s="100">
        <v>0</v>
      </c>
      <c r="O1160" s="100">
        <v>1</v>
      </c>
      <c r="P1160" s="100">
        <v>0</v>
      </c>
      <c r="Q1160" s="100">
        <v>0</v>
      </c>
      <c r="R1160" s="100">
        <v>0</v>
      </c>
      <c r="S1160" s="99">
        <v>0</v>
      </c>
      <c r="T1160" s="100">
        <v>0</v>
      </c>
      <c r="U1160" s="100">
        <v>1</v>
      </c>
      <c r="V1160" s="100">
        <v>1</v>
      </c>
      <c r="W1160" s="100">
        <v>0</v>
      </c>
      <c r="X1160" s="32">
        <v>2.75</v>
      </c>
      <c r="Y1160" s="19">
        <v>0</v>
      </c>
      <c r="Z1160" s="32">
        <v>1800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44" t="s">
        <v>2263</v>
      </c>
      <c r="AW1160" s="35" t="s">
        <v>205</v>
      </c>
      <c r="AX1160" s="100" t="s">
        <v>551</v>
      </c>
      <c r="AY1160" s="107">
        <v>0</v>
      </c>
      <c r="AZ1160" s="107">
        <v>77005303</v>
      </c>
      <c r="BA1160" s="71" t="s">
        <v>321</v>
      </c>
      <c r="BB1160" s="72">
        <v>1</v>
      </c>
      <c r="BC1160" s="105">
        <v>0</v>
      </c>
      <c r="BD1160" s="105">
        <v>0</v>
      </c>
      <c r="BE1160" s="185" t="str">
        <f t="shared" si="126"/>
        <v>对目标区域立即造成275%攻击伤害+1800点固定伤害,并附带魔法印记和并眩晕2秒</v>
      </c>
      <c r="BF1160" s="185" t="s">
        <v>2451</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64015304</v>
      </c>
      <c r="D1161" s="110" t="s">
        <v>2448</v>
      </c>
      <c r="E1161" s="110" t="s">
        <v>2449</v>
      </c>
      <c r="F1161" s="172">
        <v>3</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v>
      </c>
      <c r="Y1161" s="19">
        <v>0</v>
      </c>
      <c r="Z1161" s="32">
        <v>2800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44" t="s">
        <v>2263</v>
      </c>
      <c r="AW1161" s="35" t="s">
        <v>205</v>
      </c>
      <c r="AX1161" s="100" t="s">
        <v>551</v>
      </c>
      <c r="AY1161" s="107">
        <v>0</v>
      </c>
      <c r="AZ1161" s="107">
        <v>77005303</v>
      </c>
      <c r="BA1161" s="71" t="s">
        <v>321</v>
      </c>
      <c r="BB1161" s="72">
        <v>1</v>
      </c>
      <c r="BC1161" s="105">
        <v>0</v>
      </c>
      <c r="BD1161" s="105">
        <v>0</v>
      </c>
      <c r="BE1161" s="185" t="str">
        <f t="shared" si="126"/>
        <v>对目标区域立即造成300%攻击伤害+2800点固定伤害,并附带魔法印记和并眩晕2秒</v>
      </c>
      <c r="BF1161" s="185" t="s">
        <v>2452</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20.100000000000001" customHeight="1">
      <c r="A1162" s="219"/>
      <c r="B1162" s="219"/>
      <c r="C1162" s="107">
        <v>64015305</v>
      </c>
      <c r="D1162" s="110" t="s">
        <v>2448</v>
      </c>
      <c r="E1162" s="110" t="s">
        <v>2449</v>
      </c>
      <c r="F1162" s="172">
        <v>4</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3.25</v>
      </c>
      <c r="Y1162" s="19">
        <v>0</v>
      </c>
      <c r="Z1162" s="32">
        <v>4000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44" t="s">
        <v>2263</v>
      </c>
      <c r="AW1162" s="35" t="s">
        <v>205</v>
      </c>
      <c r="AX1162" s="100" t="s">
        <v>551</v>
      </c>
      <c r="AY1162" s="107">
        <v>0</v>
      </c>
      <c r="AZ1162" s="107">
        <v>77005303</v>
      </c>
      <c r="BA1162" s="71" t="s">
        <v>321</v>
      </c>
      <c r="BB1162" s="72">
        <v>1</v>
      </c>
      <c r="BC1162" s="105">
        <v>0</v>
      </c>
      <c r="BD1162" s="105">
        <v>0</v>
      </c>
      <c r="BE1162" s="185" t="str">
        <f t="shared" si="126"/>
        <v>对目标区域立即造成325%攻击伤害+4000点固定伤害,并附带魔法印记和并眩晕2秒</v>
      </c>
      <c r="BF1162" s="185" t="s">
        <v>2453</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2" customFormat="1" ht="19.5" customHeight="1">
      <c r="A1163" s="219"/>
      <c r="B1163" s="219"/>
      <c r="C1163" s="107">
        <v>64015306</v>
      </c>
      <c r="D1163" s="110" t="s">
        <v>2448</v>
      </c>
      <c r="E1163" s="110" t="s">
        <v>2449</v>
      </c>
      <c r="F1163" s="172">
        <v>5</v>
      </c>
      <c r="G1163" s="107">
        <v>64015301</v>
      </c>
      <c r="H1163" s="72">
        <v>0</v>
      </c>
      <c r="I1163" s="105">
        <v>0</v>
      </c>
      <c r="J1163" s="32">
        <v>0</v>
      </c>
      <c r="K1163" s="32">
        <v>0</v>
      </c>
      <c r="L1163" s="107">
        <v>0</v>
      </c>
      <c r="M1163" s="100">
        <v>0</v>
      </c>
      <c r="N1163" s="100">
        <v>0</v>
      </c>
      <c r="O1163" s="100">
        <v>1</v>
      </c>
      <c r="P1163" s="100">
        <v>0</v>
      </c>
      <c r="Q1163" s="100">
        <v>0</v>
      </c>
      <c r="R1163" s="100">
        <v>0</v>
      </c>
      <c r="S1163" s="99">
        <v>0</v>
      </c>
      <c r="T1163" s="100">
        <v>0</v>
      </c>
      <c r="U1163" s="100">
        <v>1</v>
      </c>
      <c r="V1163" s="100">
        <v>1</v>
      </c>
      <c r="W1163" s="100">
        <v>0</v>
      </c>
      <c r="X1163" s="32">
        <v>3.5</v>
      </c>
      <c r="Y1163" s="19">
        <v>0</v>
      </c>
      <c r="Z1163" s="32">
        <v>5200</v>
      </c>
      <c r="AA1163" s="100">
        <v>0</v>
      </c>
      <c r="AB1163" s="100">
        <v>0</v>
      </c>
      <c r="AC1163" s="100">
        <v>0</v>
      </c>
      <c r="AD1163" s="100">
        <v>0</v>
      </c>
      <c r="AE1163" s="100">
        <v>0</v>
      </c>
      <c r="AF1163" s="100">
        <v>9</v>
      </c>
      <c r="AG1163" s="100">
        <v>1</v>
      </c>
      <c r="AH1163" s="100">
        <v>4</v>
      </c>
      <c r="AI1163" s="99">
        <v>2</v>
      </c>
      <c r="AJ1163" s="99">
        <v>1</v>
      </c>
      <c r="AK1163" s="99">
        <v>0</v>
      </c>
      <c r="AL1163" s="99">
        <v>8</v>
      </c>
      <c r="AM1163" s="100">
        <v>0</v>
      </c>
      <c r="AN1163" s="100">
        <v>0</v>
      </c>
      <c r="AO1163" s="100">
        <v>0</v>
      </c>
      <c r="AP1163" s="107">
        <v>0.2</v>
      </c>
      <c r="AQ1163" s="100">
        <v>3000</v>
      </c>
      <c r="AR1163" s="100">
        <v>0.2</v>
      </c>
      <c r="AS1163" s="100">
        <v>0</v>
      </c>
      <c r="AT1163" s="99">
        <v>0</v>
      </c>
      <c r="AU1163" s="100">
        <v>95102005</v>
      </c>
      <c r="AV1163" s="344" t="s">
        <v>2263</v>
      </c>
      <c r="AW1163" s="35" t="s">
        <v>205</v>
      </c>
      <c r="AX1163" s="100" t="s">
        <v>551</v>
      </c>
      <c r="AY1163" s="107">
        <v>0</v>
      </c>
      <c r="AZ1163" s="107">
        <v>77005303</v>
      </c>
      <c r="BA1163" s="71" t="s">
        <v>321</v>
      </c>
      <c r="BB1163" s="72">
        <v>1</v>
      </c>
      <c r="BC1163" s="105">
        <v>0</v>
      </c>
      <c r="BD1163" s="105">
        <v>0</v>
      </c>
      <c r="BE1163" s="185" t="str">
        <f t="shared" si="126"/>
        <v>对目标区域立即造成350%攻击伤害+5200点固定伤害,并附带魔法印记和并眩晕2秒</v>
      </c>
      <c r="BF1163" s="185" t="s">
        <v>2454</v>
      </c>
      <c r="BG1163" s="100">
        <v>0</v>
      </c>
      <c r="BH1163" s="100">
        <v>0</v>
      </c>
      <c r="BI1163" s="100">
        <v>0</v>
      </c>
      <c r="BJ1163" s="100">
        <v>0</v>
      </c>
      <c r="BK1163" s="100">
        <v>0</v>
      </c>
      <c r="BL1163" s="100">
        <v>0</v>
      </c>
      <c r="BM1163" s="97">
        <v>0</v>
      </c>
      <c r="BN1163" s="99">
        <v>0</v>
      </c>
      <c r="BO1163" s="99">
        <v>0</v>
      </c>
      <c r="BP1163" s="99">
        <v>0</v>
      </c>
      <c r="BQ1163" s="99">
        <v>0</v>
      </c>
      <c r="BR1163" s="99">
        <v>0</v>
      </c>
      <c r="BS1163" s="99">
        <v>0</v>
      </c>
      <c r="BT1163" s="99">
        <v>0</v>
      </c>
      <c r="BU1163" s="99">
        <v>0</v>
      </c>
      <c r="BV1163" s="23"/>
      <c r="BW1163" s="23"/>
      <c r="BX1163" s="23"/>
      <c r="BY1163" s="23"/>
      <c r="BZ1163" s="23"/>
    </row>
    <row r="1164" spans="1:78" s="1" customFormat="1" ht="20.100000000000001" customHeight="1">
      <c r="A1164" s="218"/>
      <c r="B1164" s="218"/>
      <c r="C1164" s="74">
        <v>64015401</v>
      </c>
      <c r="D1164" s="71" t="s">
        <v>2455</v>
      </c>
      <c r="E1164" s="71" t="s">
        <v>2456</v>
      </c>
      <c r="F1164" s="172">
        <v>0</v>
      </c>
      <c r="G1164" s="74">
        <v>64015401</v>
      </c>
      <c r="H1164" s="72">
        <v>64015402</v>
      </c>
      <c r="I1164" s="75">
        <v>0</v>
      </c>
      <c r="J1164" s="21">
        <v>35</v>
      </c>
      <c r="K1164" s="32">
        <v>5</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2457</v>
      </c>
      <c r="BB1164" s="344" t="s">
        <v>2458</v>
      </c>
      <c r="BC1164" s="75">
        <v>0</v>
      </c>
      <c r="BD1164" s="75">
        <v>0</v>
      </c>
      <c r="BE1164" s="76" t="s">
        <v>2459</v>
      </c>
      <c r="BF1164" s="76" t="s">
        <v>2460</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64015402</v>
      </c>
      <c r="D1165" s="71" t="s">
        <v>2455</v>
      </c>
      <c r="E1165" s="71" t="s">
        <v>2456</v>
      </c>
      <c r="F1165" s="172">
        <v>1</v>
      </c>
      <c r="G1165" s="74">
        <v>64015401</v>
      </c>
      <c r="H1165" s="72">
        <v>64015403</v>
      </c>
      <c r="I1165" s="75">
        <v>0</v>
      </c>
      <c r="J1165" s="21">
        <v>42</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2457</v>
      </c>
      <c r="BB1165" s="344" t="s">
        <v>2458</v>
      </c>
      <c r="BC1165" s="75">
        <v>0</v>
      </c>
      <c r="BD1165" s="75">
        <v>0</v>
      </c>
      <c r="BE1165" s="76" t="s">
        <v>2459</v>
      </c>
      <c r="BF1165" s="76" t="s">
        <v>2460</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64015403</v>
      </c>
      <c r="D1166" s="71" t="s">
        <v>2455</v>
      </c>
      <c r="E1166" s="71" t="s">
        <v>2456</v>
      </c>
      <c r="F1166" s="172">
        <v>2</v>
      </c>
      <c r="G1166" s="74">
        <v>64015401</v>
      </c>
      <c r="H1166" s="72">
        <v>64015404</v>
      </c>
      <c r="I1166" s="75">
        <v>0</v>
      </c>
      <c r="J1166" s="21">
        <v>47</v>
      </c>
      <c r="K1166" s="32">
        <v>2</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2457</v>
      </c>
      <c r="BB1166" s="344" t="s">
        <v>2461</v>
      </c>
      <c r="BC1166" s="75">
        <v>0</v>
      </c>
      <c r="BD1166" s="75">
        <v>0</v>
      </c>
      <c r="BE1166" s="76" t="s">
        <v>2462</v>
      </c>
      <c r="BF1166" s="76" t="s">
        <v>2463</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64015404</v>
      </c>
      <c r="D1167" s="71" t="s">
        <v>2455</v>
      </c>
      <c r="E1167" s="71" t="s">
        <v>2456</v>
      </c>
      <c r="F1167" s="172">
        <v>3</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2457</v>
      </c>
      <c r="BB1167" s="344" t="s">
        <v>2464</v>
      </c>
      <c r="BC1167" s="75">
        <v>0</v>
      </c>
      <c r="BD1167" s="75">
        <v>0</v>
      </c>
      <c r="BE1167" s="76" t="s">
        <v>2465</v>
      </c>
      <c r="BF1167" s="76" t="s">
        <v>2466</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64015405</v>
      </c>
      <c r="D1168" s="71" t="s">
        <v>2455</v>
      </c>
      <c r="E1168" s="71" t="s">
        <v>2456</v>
      </c>
      <c r="F1168" s="172">
        <v>4</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2457</v>
      </c>
      <c r="BB1168" s="344" t="s">
        <v>2467</v>
      </c>
      <c r="BC1168" s="75">
        <v>0</v>
      </c>
      <c r="BD1168" s="75">
        <v>0</v>
      </c>
      <c r="BE1168" s="76" t="s">
        <v>2468</v>
      </c>
      <c r="BF1168" s="76" t="s">
        <v>2469</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1" customFormat="1" ht="20.100000000000001" customHeight="1">
      <c r="A1169" s="218"/>
      <c r="B1169" s="218"/>
      <c r="C1169" s="74">
        <v>64015406</v>
      </c>
      <c r="D1169" s="71" t="s">
        <v>2455</v>
      </c>
      <c r="E1169" s="71" t="s">
        <v>2456</v>
      </c>
      <c r="F1169" s="172">
        <v>5</v>
      </c>
      <c r="G1169" s="74">
        <v>64015401</v>
      </c>
      <c r="H1169" s="72">
        <v>0</v>
      </c>
      <c r="I1169" s="75">
        <v>0</v>
      </c>
      <c r="J1169" s="32">
        <v>0</v>
      </c>
      <c r="K1169" s="32">
        <v>0</v>
      </c>
      <c r="L1169" s="74">
        <v>0</v>
      </c>
      <c r="M1169" s="72">
        <v>0</v>
      </c>
      <c r="N1169" s="72">
        <v>0</v>
      </c>
      <c r="O1169" s="72">
        <v>1</v>
      </c>
      <c r="P1169" s="72">
        <v>0</v>
      </c>
      <c r="Q1169" s="72">
        <v>0</v>
      </c>
      <c r="R1169" s="72">
        <v>0</v>
      </c>
      <c r="S1169" s="73">
        <v>0</v>
      </c>
      <c r="T1169" s="72">
        <v>0</v>
      </c>
      <c r="U1169" s="72">
        <v>1</v>
      </c>
      <c r="V1169" s="72">
        <v>1</v>
      </c>
      <c r="W1169" s="72">
        <v>0</v>
      </c>
      <c r="X1169" s="72">
        <v>0</v>
      </c>
      <c r="Y1169" s="19">
        <v>0</v>
      </c>
      <c r="Z1169" s="72">
        <v>0</v>
      </c>
      <c r="AA1169" s="72">
        <v>0</v>
      </c>
      <c r="AB1169" s="72">
        <v>0</v>
      </c>
      <c r="AC1169" s="72">
        <v>0</v>
      </c>
      <c r="AD1169" s="72">
        <v>0</v>
      </c>
      <c r="AE1169" s="72">
        <v>0</v>
      </c>
      <c r="AF1169" s="72">
        <v>30</v>
      </c>
      <c r="AG1169" s="72">
        <v>0</v>
      </c>
      <c r="AH1169" s="72">
        <v>0</v>
      </c>
      <c r="AI1169" s="73">
        <v>0</v>
      </c>
      <c r="AJ1169" s="73">
        <v>0</v>
      </c>
      <c r="AK1169" s="73">
        <v>0</v>
      </c>
      <c r="AL1169" s="73">
        <v>1.5</v>
      </c>
      <c r="AM1169" s="72">
        <v>0</v>
      </c>
      <c r="AN1169" s="72">
        <v>0</v>
      </c>
      <c r="AO1169" s="72">
        <v>0</v>
      </c>
      <c r="AP1169" s="74">
        <v>0.2</v>
      </c>
      <c r="AQ1169" s="72">
        <v>3000</v>
      </c>
      <c r="AR1169" s="72">
        <v>0.2</v>
      </c>
      <c r="AS1169" s="72">
        <v>0</v>
      </c>
      <c r="AT1169" s="73">
        <v>0</v>
      </c>
      <c r="AU1169" s="72">
        <v>0</v>
      </c>
      <c r="AV1169" s="72"/>
      <c r="AW1169" s="35" t="s">
        <v>205</v>
      </c>
      <c r="AX1169" s="72" t="s">
        <v>551</v>
      </c>
      <c r="AY1169" s="74">
        <v>0</v>
      </c>
      <c r="AZ1169" s="74">
        <v>0</v>
      </c>
      <c r="BA1169" s="71" t="s">
        <v>2457</v>
      </c>
      <c r="BB1169" s="344" t="s">
        <v>2470</v>
      </c>
      <c r="BC1169" s="75">
        <v>0</v>
      </c>
      <c r="BD1169" s="75">
        <v>0</v>
      </c>
      <c r="BE1169" s="76" t="s">
        <v>2471</v>
      </c>
      <c r="BF1169" s="76" t="s">
        <v>2472</v>
      </c>
      <c r="BG1169" s="72">
        <v>0</v>
      </c>
      <c r="BH1169" s="72">
        <v>0</v>
      </c>
      <c r="BI1169" s="72">
        <v>0</v>
      </c>
      <c r="BJ1169" s="72">
        <v>0</v>
      </c>
      <c r="BK1169" s="72">
        <v>0</v>
      </c>
      <c r="BL1169" s="72">
        <v>0</v>
      </c>
      <c r="BM1169" s="90">
        <v>0</v>
      </c>
      <c r="BN1169" s="73">
        <v>0</v>
      </c>
      <c r="BO1169" s="73">
        <v>0</v>
      </c>
      <c r="BP1169" s="73">
        <v>0</v>
      </c>
      <c r="BQ1169" s="73">
        <v>0</v>
      </c>
      <c r="BR1169" s="73">
        <v>0</v>
      </c>
      <c r="BS1169" s="73">
        <v>0</v>
      </c>
      <c r="BT1169" s="73">
        <v>0</v>
      </c>
      <c r="BU1169" s="73">
        <v>0</v>
      </c>
      <c r="BV1169" s="23"/>
      <c r="BW1169" s="23"/>
      <c r="BX1169" s="23"/>
      <c r="BY1169" s="23"/>
      <c r="BZ1169" s="23"/>
    </row>
    <row r="1170" spans="1:78" s="3" customFormat="1" ht="20.100000000000001" customHeight="1">
      <c r="A1170" s="220"/>
      <c r="B1170" s="220"/>
      <c r="C1170" s="221">
        <v>64015501</v>
      </c>
      <c r="D1170" s="222" t="s">
        <v>606</v>
      </c>
      <c r="E1170" s="223" t="s">
        <v>607</v>
      </c>
      <c r="F1170" s="224">
        <v>1</v>
      </c>
      <c r="G1170" s="225">
        <v>63021101</v>
      </c>
      <c r="H1170" s="221">
        <v>0</v>
      </c>
      <c r="I1170" s="226">
        <v>0</v>
      </c>
      <c r="J1170" s="221">
        <v>1</v>
      </c>
      <c r="K1170" s="225">
        <v>0</v>
      </c>
      <c r="L1170" s="221">
        <v>0</v>
      </c>
      <c r="M1170" s="225">
        <v>0</v>
      </c>
      <c r="N1170" s="225">
        <v>0</v>
      </c>
      <c r="O1170" s="225">
        <v>1</v>
      </c>
      <c r="P1170" s="225">
        <v>0</v>
      </c>
      <c r="Q1170" s="225">
        <v>0</v>
      </c>
      <c r="R1170" s="225">
        <v>0</v>
      </c>
      <c r="S1170" s="227">
        <v>0</v>
      </c>
      <c r="T1170" s="225">
        <v>0</v>
      </c>
      <c r="U1170" s="225">
        <v>1</v>
      </c>
      <c r="V1170" s="225">
        <v>1</v>
      </c>
      <c r="W1170" s="225">
        <v>0</v>
      </c>
      <c r="X1170" s="225">
        <v>0</v>
      </c>
      <c r="Y1170" s="19">
        <v>0</v>
      </c>
      <c r="Z1170" s="225">
        <v>0</v>
      </c>
      <c r="AA1170" s="225">
        <v>0</v>
      </c>
      <c r="AB1170" s="225">
        <v>0</v>
      </c>
      <c r="AC1170" s="225">
        <v>0</v>
      </c>
      <c r="AD1170" s="225">
        <v>0</v>
      </c>
      <c r="AE1170" s="225">
        <v>0</v>
      </c>
      <c r="AF1170" s="225">
        <v>24</v>
      </c>
      <c r="AG1170" s="225">
        <v>0</v>
      </c>
      <c r="AH1170" s="225">
        <v>0</v>
      </c>
      <c r="AI1170" s="227">
        <v>0</v>
      </c>
      <c r="AJ1170" s="227">
        <v>0</v>
      </c>
      <c r="AK1170" s="227">
        <v>0</v>
      </c>
      <c r="AL1170" s="227">
        <v>1.5</v>
      </c>
      <c r="AM1170" s="225">
        <v>0</v>
      </c>
      <c r="AN1170" s="225">
        <v>0</v>
      </c>
      <c r="AO1170" s="225">
        <v>0</v>
      </c>
      <c r="AP1170" s="221">
        <v>0.2</v>
      </c>
      <c r="AQ1170" s="225">
        <v>3000</v>
      </c>
      <c r="AR1170" s="225">
        <v>0.2</v>
      </c>
      <c r="AS1170" s="225">
        <v>0</v>
      </c>
      <c r="AT1170" s="227">
        <v>0</v>
      </c>
      <c r="AU1170" s="225" t="s">
        <v>204</v>
      </c>
      <c r="AV1170" s="225"/>
      <c r="AW1170" s="222" t="s">
        <v>204</v>
      </c>
      <c r="AX1170" s="225" t="s">
        <v>551</v>
      </c>
      <c r="AY1170" s="221">
        <v>0</v>
      </c>
      <c r="AZ1170" s="221">
        <v>0</v>
      </c>
      <c r="BA1170" s="222" t="s">
        <v>2473</v>
      </c>
      <c r="BB1170" s="347" t="s">
        <v>2474</v>
      </c>
      <c r="BC1170" s="226">
        <v>0</v>
      </c>
      <c r="BD1170" s="226">
        <v>0</v>
      </c>
      <c r="BE1170" s="230" t="s">
        <v>2475</v>
      </c>
      <c r="BF1170" s="230" t="s">
        <v>2476</v>
      </c>
      <c r="BG1170" s="225">
        <v>0</v>
      </c>
      <c r="BH1170" s="225">
        <v>0</v>
      </c>
      <c r="BI1170" s="225">
        <v>0</v>
      </c>
      <c r="BJ1170" s="225">
        <v>0</v>
      </c>
      <c r="BK1170" s="225">
        <v>0</v>
      </c>
      <c r="BL1170" s="225">
        <v>0</v>
      </c>
      <c r="BM1170" s="224">
        <v>0</v>
      </c>
      <c r="BN1170" s="227">
        <v>0</v>
      </c>
      <c r="BO1170" s="227">
        <v>0</v>
      </c>
      <c r="BP1170" s="227">
        <v>0</v>
      </c>
      <c r="BQ1170" s="227">
        <v>0</v>
      </c>
      <c r="BR1170" s="227">
        <v>0</v>
      </c>
      <c r="BS1170" s="227">
        <v>0</v>
      </c>
      <c r="BT1170" s="227">
        <v>0</v>
      </c>
      <c r="BU1170" s="227">
        <v>0</v>
      </c>
      <c r="BV1170" s="23"/>
      <c r="BW1170" s="23"/>
      <c r="BX1170" s="23"/>
      <c r="BY1170" s="23"/>
      <c r="BZ1170" s="23"/>
    </row>
    <row r="1171" spans="1:78" s="3" customFormat="1" ht="20.100000000000001" customHeight="1">
      <c r="C1171" s="221">
        <v>64015601</v>
      </c>
      <c r="D1171" s="229" t="s">
        <v>2477</v>
      </c>
      <c r="E1171" s="229" t="s">
        <v>2478</v>
      </c>
      <c r="F1171" s="225">
        <v>1</v>
      </c>
      <c r="G1171" s="225">
        <v>0</v>
      </c>
      <c r="H1171" s="221">
        <v>0</v>
      </c>
      <c r="I1171" s="226">
        <v>0</v>
      </c>
      <c r="J1171" s="225">
        <v>1</v>
      </c>
      <c r="K1171" s="225">
        <v>0</v>
      </c>
      <c r="L1171" s="225">
        <v>0</v>
      </c>
      <c r="M1171" s="221">
        <v>0</v>
      </c>
      <c r="N1171" s="221">
        <v>0</v>
      </c>
      <c r="O1171" s="221">
        <v>2</v>
      </c>
      <c r="P1171" s="221">
        <v>16</v>
      </c>
      <c r="Q1171" s="221">
        <v>10</v>
      </c>
      <c r="R1171" s="221">
        <v>0</v>
      </c>
      <c r="S1171" s="227">
        <v>0</v>
      </c>
      <c r="T1171" s="226">
        <v>0</v>
      </c>
      <c r="U1171" s="225">
        <v>1</v>
      </c>
      <c r="V1171" s="221">
        <v>2</v>
      </c>
      <c r="W1171" s="221">
        <v>0</v>
      </c>
      <c r="X1171" s="221">
        <v>2.6</v>
      </c>
      <c r="Y1171" s="19">
        <v>0</v>
      </c>
      <c r="Z1171" s="221">
        <v>0</v>
      </c>
      <c r="AA1171" s="221">
        <v>1</v>
      </c>
      <c r="AB1171" s="221">
        <v>0</v>
      </c>
      <c r="AC1171" s="221">
        <v>0</v>
      </c>
      <c r="AD1171" s="221">
        <v>0</v>
      </c>
      <c r="AE1171" s="221">
        <v>0</v>
      </c>
      <c r="AF1171" s="221">
        <v>0</v>
      </c>
      <c r="AG1171" s="221">
        <v>2</v>
      </c>
      <c r="AH1171" s="221" t="s">
        <v>219</v>
      </c>
      <c r="AI1171" s="227">
        <v>0</v>
      </c>
      <c r="AJ1171" s="227">
        <v>2</v>
      </c>
      <c r="AK1171" s="227">
        <v>0</v>
      </c>
      <c r="AL1171" s="227">
        <v>3</v>
      </c>
      <c r="AM1171" s="221">
        <v>0</v>
      </c>
      <c r="AN1171" s="221">
        <v>0</v>
      </c>
      <c r="AO1171" s="221">
        <v>0</v>
      </c>
      <c r="AP1171" s="221">
        <v>1</v>
      </c>
      <c r="AQ1171" s="221">
        <v>2000</v>
      </c>
      <c r="AR1171" s="221">
        <v>1</v>
      </c>
      <c r="AS1171" s="221">
        <v>0</v>
      </c>
      <c r="AT1171" s="227">
        <v>0</v>
      </c>
      <c r="AU1171" s="221">
        <v>95103003</v>
      </c>
      <c r="AV1171" s="221"/>
      <c r="AW1171" s="229" t="s">
        <v>293</v>
      </c>
      <c r="AX1171" s="221" t="s">
        <v>540</v>
      </c>
      <c r="AY1171" s="221">
        <v>10000015</v>
      </c>
      <c r="AZ1171" s="221">
        <v>77005304</v>
      </c>
      <c r="BA1171" s="222" t="s">
        <v>206</v>
      </c>
      <c r="BB1171" s="229">
        <v>0</v>
      </c>
      <c r="BC1171" s="226">
        <v>0</v>
      </c>
      <c r="BD1171" s="226">
        <v>0</v>
      </c>
      <c r="BE1171" s="236" t="s">
        <v>2479</v>
      </c>
      <c r="BF1171" s="236" t="s">
        <v>2480</v>
      </c>
      <c r="BG1171" s="221">
        <v>0</v>
      </c>
      <c r="BH1171" s="225">
        <v>0</v>
      </c>
      <c r="BI1171" s="221">
        <v>0</v>
      </c>
      <c r="BJ1171" s="221">
        <v>0</v>
      </c>
      <c r="BK1171" s="221">
        <v>0</v>
      </c>
      <c r="BL1171" s="221">
        <v>0</v>
      </c>
      <c r="BM1171" s="224">
        <v>0</v>
      </c>
      <c r="BN1171" s="227">
        <v>1</v>
      </c>
      <c r="BO1171" s="227">
        <v>0</v>
      </c>
      <c r="BP1171" s="227">
        <v>0</v>
      </c>
      <c r="BQ1171" s="227">
        <v>0</v>
      </c>
      <c r="BR1171" s="227">
        <v>0</v>
      </c>
      <c r="BS1171" s="227">
        <v>0</v>
      </c>
      <c r="BT1171" s="227">
        <v>0</v>
      </c>
      <c r="BU1171" s="227">
        <v>0</v>
      </c>
      <c r="BV1171" s="23"/>
      <c r="BW1171" s="23"/>
      <c r="BX1171" s="23"/>
      <c r="BY1171" s="23"/>
      <c r="BZ1171" s="23"/>
    </row>
    <row r="1172" spans="1:78" s="3" customFormat="1" ht="19.5" customHeight="1">
      <c r="A1172" s="220"/>
      <c r="B1172" s="220"/>
      <c r="C1172" s="221">
        <v>64015602</v>
      </c>
      <c r="D1172" s="222" t="s">
        <v>1271</v>
      </c>
      <c r="E1172" s="222" t="s">
        <v>1272</v>
      </c>
      <c r="F1172" s="225">
        <v>1</v>
      </c>
      <c r="G1172" s="225">
        <v>0</v>
      </c>
      <c r="H1172" s="225">
        <v>0</v>
      </c>
      <c r="I1172" s="226">
        <v>0</v>
      </c>
      <c r="J1172" s="221">
        <v>1</v>
      </c>
      <c r="K1172" s="221">
        <v>0</v>
      </c>
      <c r="L1172" s="221">
        <v>0</v>
      </c>
      <c r="M1172" s="225">
        <v>0</v>
      </c>
      <c r="N1172" s="225">
        <v>0</v>
      </c>
      <c r="O1172" s="225">
        <v>2</v>
      </c>
      <c r="P1172" s="225">
        <v>1</v>
      </c>
      <c r="Q1172" s="225">
        <v>0.2</v>
      </c>
      <c r="R1172" s="225">
        <v>0</v>
      </c>
      <c r="S1172" s="227">
        <v>0</v>
      </c>
      <c r="T1172" s="225">
        <v>0</v>
      </c>
      <c r="U1172" s="225">
        <v>1</v>
      </c>
      <c r="V1172" s="225">
        <v>1</v>
      </c>
      <c r="W1172" s="225">
        <v>0</v>
      </c>
      <c r="X1172" s="225">
        <v>0</v>
      </c>
      <c r="Y1172" s="19">
        <v>0</v>
      </c>
      <c r="Z1172" s="225">
        <v>0</v>
      </c>
      <c r="AA1172" s="225">
        <v>1</v>
      </c>
      <c r="AB1172" s="225">
        <v>0</v>
      </c>
      <c r="AC1172" s="225">
        <v>0</v>
      </c>
      <c r="AD1172" s="225">
        <v>0</v>
      </c>
      <c r="AE1172" s="225">
        <v>1</v>
      </c>
      <c r="AF1172" s="225">
        <v>12</v>
      </c>
      <c r="AG1172" s="225">
        <v>2</v>
      </c>
      <c r="AH1172" s="225" t="s">
        <v>219</v>
      </c>
      <c r="AI1172" s="227">
        <v>0</v>
      </c>
      <c r="AJ1172" s="227">
        <v>2</v>
      </c>
      <c r="AK1172" s="227">
        <v>0</v>
      </c>
      <c r="AL1172" s="227">
        <v>1.5</v>
      </c>
      <c r="AM1172" s="225">
        <v>0</v>
      </c>
      <c r="AN1172" s="225">
        <v>0</v>
      </c>
      <c r="AO1172" s="225">
        <v>0</v>
      </c>
      <c r="AP1172" s="225">
        <v>0.3</v>
      </c>
      <c r="AQ1172" s="225">
        <v>300</v>
      </c>
      <c r="AR1172" s="225">
        <v>0</v>
      </c>
      <c r="AS1172" s="225">
        <v>15</v>
      </c>
      <c r="AT1172" s="227">
        <v>0</v>
      </c>
      <c r="AU1172" s="228">
        <v>0</v>
      </c>
      <c r="AV1172" s="228"/>
      <c r="AW1172" s="222" t="s">
        <v>204</v>
      </c>
      <c r="AX1172" s="225" t="s">
        <v>221</v>
      </c>
      <c r="AY1172" s="221">
        <v>0</v>
      </c>
      <c r="AZ1172" s="221">
        <v>0</v>
      </c>
      <c r="BA1172" s="234" t="s">
        <v>222</v>
      </c>
      <c r="BB1172" s="225">
        <v>1</v>
      </c>
      <c r="BC1172" s="226">
        <v>0</v>
      </c>
      <c r="BD1172" s="226">
        <v>0</v>
      </c>
      <c r="BE1172" s="230" t="s">
        <v>2481</v>
      </c>
      <c r="BF1172" s="230" t="s">
        <v>2482</v>
      </c>
      <c r="BG1172" s="225">
        <v>0</v>
      </c>
      <c r="BH1172" s="225">
        <v>0</v>
      </c>
      <c r="BI1172" s="225">
        <v>0</v>
      </c>
      <c r="BJ1172" s="225">
        <v>0</v>
      </c>
      <c r="BK1172" s="225">
        <v>0</v>
      </c>
      <c r="BL1172" s="225">
        <v>0</v>
      </c>
      <c r="BM1172" s="224">
        <v>0</v>
      </c>
      <c r="BN1172" s="227">
        <v>0</v>
      </c>
      <c r="BO1172" s="227">
        <v>0</v>
      </c>
      <c r="BP1172" s="227">
        <v>0</v>
      </c>
      <c r="BQ1172" s="227">
        <v>0</v>
      </c>
      <c r="BR1172" s="227">
        <v>0</v>
      </c>
      <c r="BS1172" s="227">
        <v>1</v>
      </c>
      <c r="BT1172" s="227">
        <v>64015603</v>
      </c>
      <c r="BU1172" s="227">
        <v>0</v>
      </c>
      <c r="BV1172" s="23"/>
      <c r="BW1172" s="23"/>
      <c r="BX1172" s="23"/>
      <c r="BY1172" s="23"/>
      <c r="BZ1172" s="23"/>
    </row>
    <row r="1173" spans="1:78" s="3" customFormat="1" ht="19.5" customHeight="1">
      <c r="A1173" s="220"/>
      <c r="B1173" s="220"/>
      <c r="C1173" s="221">
        <v>64015603</v>
      </c>
      <c r="D1173" s="229" t="s">
        <v>1271</v>
      </c>
      <c r="E1173" s="229" t="s">
        <v>1272</v>
      </c>
      <c r="F1173" s="225">
        <v>1</v>
      </c>
      <c r="G1173" s="225">
        <v>0</v>
      </c>
      <c r="H1173" s="221">
        <v>0</v>
      </c>
      <c r="I1173" s="226">
        <v>0</v>
      </c>
      <c r="J1173" s="225">
        <v>1</v>
      </c>
      <c r="K1173" s="225">
        <v>0</v>
      </c>
      <c r="L1173" s="225">
        <v>0</v>
      </c>
      <c r="M1173" s="221">
        <v>0</v>
      </c>
      <c r="N1173" s="221">
        <v>0</v>
      </c>
      <c r="O1173" s="221">
        <v>2</v>
      </c>
      <c r="P1173" s="221">
        <v>1</v>
      </c>
      <c r="Q1173" s="221">
        <v>1</v>
      </c>
      <c r="R1173" s="221">
        <v>0</v>
      </c>
      <c r="S1173" s="227">
        <v>0</v>
      </c>
      <c r="T1173" s="226">
        <v>0</v>
      </c>
      <c r="U1173" s="225">
        <v>1</v>
      </c>
      <c r="V1173" s="221">
        <v>1</v>
      </c>
      <c r="W1173" s="221">
        <v>0</v>
      </c>
      <c r="X1173" s="221">
        <v>1.5</v>
      </c>
      <c r="Y1173" s="19">
        <v>0</v>
      </c>
      <c r="Z1173" s="221">
        <v>0</v>
      </c>
      <c r="AA1173" s="221">
        <v>1</v>
      </c>
      <c r="AB1173" s="221">
        <v>0</v>
      </c>
      <c r="AC1173" s="221">
        <v>0</v>
      </c>
      <c r="AD1173" s="221">
        <v>0</v>
      </c>
      <c r="AE1173" s="221">
        <v>0</v>
      </c>
      <c r="AF1173" s="221">
        <v>0</v>
      </c>
      <c r="AG1173" s="221">
        <v>1</v>
      </c>
      <c r="AH1173" s="237">
        <v>4</v>
      </c>
      <c r="AI1173" s="227">
        <v>0</v>
      </c>
      <c r="AJ1173" s="227">
        <v>1</v>
      </c>
      <c r="AK1173" s="227">
        <v>0</v>
      </c>
      <c r="AL1173" s="227">
        <v>5</v>
      </c>
      <c r="AM1173" s="221">
        <v>0</v>
      </c>
      <c r="AN1173" s="221">
        <v>1</v>
      </c>
      <c r="AO1173" s="221">
        <v>0</v>
      </c>
      <c r="AP1173" s="221">
        <v>0.6</v>
      </c>
      <c r="AQ1173" s="221">
        <v>2000</v>
      </c>
      <c r="AR1173" s="221">
        <v>0.6</v>
      </c>
      <c r="AS1173" s="221">
        <v>0</v>
      </c>
      <c r="AT1173" s="227">
        <v>0</v>
      </c>
      <c r="AU1173" s="221">
        <v>95103001</v>
      </c>
      <c r="AV1173" s="221"/>
      <c r="AW1173" s="229" t="s">
        <v>293</v>
      </c>
      <c r="AX1173" s="221" t="s">
        <v>551</v>
      </c>
      <c r="AY1173" s="221">
        <v>10001005</v>
      </c>
      <c r="AZ1173" s="221">
        <v>77005305</v>
      </c>
      <c r="BA1173" s="229" t="s">
        <v>206</v>
      </c>
      <c r="BB1173" s="229">
        <v>0</v>
      </c>
      <c r="BC1173" s="226">
        <v>0</v>
      </c>
      <c r="BD1173" s="226">
        <v>0</v>
      </c>
      <c r="BE1173" s="236" t="s">
        <v>1275</v>
      </c>
      <c r="BF1173" s="236" t="s">
        <v>1276</v>
      </c>
      <c r="BG1173" s="221">
        <v>0</v>
      </c>
      <c r="BH1173" s="225">
        <v>0</v>
      </c>
      <c r="BI1173" s="221">
        <v>0</v>
      </c>
      <c r="BJ1173" s="221">
        <v>0</v>
      </c>
      <c r="BK1173" s="221">
        <v>0</v>
      </c>
      <c r="BL1173" s="221">
        <v>0</v>
      </c>
      <c r="BM1173" s="224">
        <v>0</v>
      </c>
      <c r="BN1173" s="227">
        <v>0</v>
      </c>
      <c r="BO1173" s="227">
        <v>0</v>
      </c>
      <c r="BP1173" s="227">
        <v>0</v>
      </c>
      <c r="BQ1173" s="227">
        <v>0</v>
      </c>
      <c r="BR1173" s="227">
        <v>0</v>
      </c>
      <c r="BS1173" s="227">
        <v>0</v>
      </c>
      <c r="BT1173" s="227">
        <v>0</v>
      </c>
      <c r="BU1173" s="227">
        <v>0</v>
      </c>
      <c r="BV1173" s="23"/>
      <c r="BW1173" s="23"/>
      <c r="BX1173" s="23"/>
      <c r="BY1173" s="23"/>
      <c r="BZ1173" s="23">
        <v>0</v>
      </c>
    </row>
    <row r="1174" spans="1:78" ht="20.100000000000001" customHeight="1">
      <c r="C1174" s="19">
        <v>65011101</v>
      </c>
      <c r="D1174" s="20" t="s">
        <v>1450</v>
      </c>
      <c r="E1174" s="20" t="s">
        <v>1451</v>
      </c>
      <c r="F1174" s="19">
        <v>0</v>
      </c>
      <c r="G1174" s="19">
        <v>65011101</v>
      </c>
      <c r="H1174" s="19">
        <v>65011102</v>
      </c>
      <c r="I1174" s="19">
        <v>0</v>
      </c>
      <c r="J1174" s="19">
        <v>1</v>
      </c>
      <c r="K1174" s="19">
        <v>5</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1718</v>
      </c>
      <c r="BB1174" s="19">
        <v>0</v>
      </c>
      <c r="BC1174" s="19">
        <v>0</v>
      </c>
      <c r="BD1174" s="19">
        <v>0</v>
      </c>
      <c r="BE1174" s="186" t="str">
        <f>"在目标区域召唤巨刃造成"&amp;X1174*100&amp;"%攻击伤害+"&amp;Z1174&amp;"点固定伤害,随后在技能范围中的敌人每秒受到120%攻击伤害+"&amp;BR1174&amp;"点伤害,并使目标置空1秒"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2483</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65011102</v>
      </c>
      <c r="D1175" s="20" t="s">
        <v>1450</v>
      </c>
      <c r="E1175" s="20" t="s">
        <v>1451</v>
      </c>
      <c r="F1175" s="19">
        <v>1</v>
      </c>
      <c r="G1175" s="19">
        <v>65011101</v>
      </c>
      <c r="H1175" s="19">
        <v>65011103</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2.5</v>
      </c>
      <c r="Y1175" s="19">
        <v>0</v>
      </c>
      <c r="Z1175" s="19">
        <v>1000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1718</v>
      </c>
      <c r="BB1175" s="19">
        <v>0</v>
      </c>
      <c r="BC1175" s="19">
        <v>0</v>
      </c>
      <c r="BD1175" s="19">
        <v>0</v>
      </c>
      <c r="BE1175" s="186" t="str">
        <f t="shared" ref="BE1175:BE1179" si="127">"在目标区域召唤巨刃造成"&amp;X1175*100&amp;"%攻击伤害+"&amp;Z1175&amp;"点固定伤害,随后在技能范围中的敌人每秒受到120%攻击伤害+"&amp;BR1175&amp;"点伤害,并使目标置空1秒"</f>
        <v>在目标区域召唤巨刃造成250%攻击伤害+1000点固定伤害,随后在技能范围中的敌人每秒受到120%攻击伤害+500点伤害,并使目标置空1秒</v>
      </c>
      <c r="BF1175" s="186" t="s">
        <v>2483</v>
      </c>
      <c r="BG1175" s="19">
        <v>0</v>
      </c>
      <c r="BH1175" s="19">
        <v>0</v>
      </c>
      <c r="BI1175" s="19">
        <v>0</v>
      </c>
      <c r="BJ1175" s="19">
        <v>0</v>
      </c>
      <c r="BK1175" s="19">
        <v>0</v>
      </c>
      <c r="BL1175" s="19">
        <v>0</v>
      </c>
      <c r="BM1175" s="187">
        <v>0</v>
      </c>
      <c r="BN1175" s="19">
        <v>0</v>
      </c>
      <c r="BO1175" s="19">
        <v>0</v>
      </c>
      <c r="BP1175" s="19">
        <v>1000</v>
      </c>
      <c r="BQ1175" s="19">
        <v>1.2</v>
      </c>
      <c r="BR1175" s="19">
        <v>500</v>
      </c>
      <c r="BS1175" s="19">
        <v>0</v>
      </c>
      <c r="BT1175" s="19">
        <v>0</v>
      </c>
      <c r="BU1175" s="23">
        <v>0</v>
      </c>
      <c r="BV1175" s="23"/>
      <c r="BW1175" s="23"/>
      <c r="BX1175" s="23"/>
      <c r="BY1175" s="23"/>
      <c r="BZ1175" s="23"/>
    </row>
    <row r="1176" spans="1:78" ht="20.100000000000001" customHeight="1">
      <c r="C1176" s="19">
        <v>65011103</v>
      </c>
      <c r="D1176" s="20" t="s">
        <v>1450</v>
      </c>
      <c r="E1176" s="20" t="s">
        <v>1451</v>
      </c>
      <c r="F1176" s="19">
        <v>2</v>
      </c>
      <c r="G1176" s="19">
        <v>65011101</v>
      </c>
      <c r="H1176" s="19">
        <v>65011104</v>
      </c>
      <c r="I1176" s="19">
        <v>0</v>
      </c>
      <c r="J1176" s="19">
        <v>1</v>
      </c>
      <c r="K1176" s="19">
        <v>2</v>
      </c>
      <c r="L1176" s="19">
        <v>0</v>
      </c>
      <c r="M1176" s="19">
        <v>0</v>
      </c>
      <c r="N1176" s="19">
        <v>0</v>
      </c>
      <c r="O1176" s="19">
        <v>1</v>
      </c>
      <c r="P1176" s="19">
        <v>0</v>
      </c>
      <c r="Q1176" s="19">
        <v>0</v>
      </c>
      <c r="R1176" s="19">
        <v>0</v>
      </c>
      <c r="S1176" s="19">
        <v>0</v>
      </c>
      <c r="T1176" s="19">
        <v>0</v>
      </c>
      <c r="U1176" s="19">
        <v>1</v>
      </c>
      <c r="V1176" s="19">
        <v>2</v>
      </c>
      <c r="W1176" s="19">
        <v>0</v>
      </c>
      <c r="X1176" s="19">
        <v>2.75</v>
      </c>
      <c r="Y1176" s="19">
        <v>0</v>
      </c>
      <c r="Z1176" s="19">
        <v>1500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1718</v>
      </c>
      <c r="BB1176" s="19">
        <v>0</v>
      </c>
      <c r="BC1176" s="19">
        <v>0</v>
      </c>
      <c r="BD1176" s="19">
        <v>0</v>
      </c>
      <c r="BE1176" s="186" t="str">
        <f t="shared" si="127"/>
        <v>在目标区域召唤巨刃造成275%攻击伤害+1500点固定伤害,随后在技能范围中的敌人每秒受到120%攻击伤害+1000点伤害,并使目标置空1秒</v>
      </c>
      <c r="BF1176" s="186" t="s">
        <v>2484</v>
      </c>
      <c r="BG1176" s="19">
        <v>0</v>
      </c>
      <c r="BH1176" s="19">
        <v>0</v>
      </c>
      <c r="BI1176" s="19">
        <v>0</v>
      </c>
      <c r="BJ1176" s="19">
        <v>0</v>
      </c>
      <c r="BK1176" s="19">
        <v>0</v>
      </c>
      <c r="BL1176" s="19">
        <v>0</v>
      </c>
      <c r="BM1176" s="187">
        <v>0</v>
      </c>
      <c r="BN1176" s="19">
        <v>0</v>
      </c>
      <c r="BO1176" s="19">
        <v>0</v>
      </c>
      <c r="BP1176" s="19">
        <v>1000</v>
      </c>
      <c r="BQ1176" s="19">
        <v>1.4</v>
      </c>
      <c r="BR1176" s="19">
        <v>1000</v>
      </c>
      <c r="BS1176" s="19">
        <v>0</v>
      </c>
      <c r="BT1176" s="19">
        <v>0</v>
      </c>
      <c r="BU1176" s="23">
        <v>0</v>
      </c>
      <c r="BV1176" s="23"/>
      <c r="BW1176" s="23"/>
      <c r="BX1176" s="23"/>
      <c r="BY1176" s="23"/>
      <c r="BZ1176" s="23"/>
    </row>
    <row r="1177" spans="1:78" ht="20.100000000000001" customHeight="1">
      <c r="C1177" s="19">
        <v>65011104</v>
      </c>
      <c r="D1177" s="20" t="s">
        <v>1450</v>
      </c>
      <c r="E1177" s="20" t="s">
        <v>1451</v>
      </c>
      <c r="F1177" s="19">
        <v>3</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v>
      </c>
      <c r="Y1177" s="19">
        <v>0</v>
      </c>
      <c r="Z1177" s="19">
        <v>2000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1718</v>
      </c>
      <c r="BB1177" s="19">
        <v>0</v>
      </c>
      <c r="BC1177" s="19">
        <v>0</v>
      </c>
      <c r="BD1177" s="19">
        <v>0</v>
      </c>
      <c r="BE1177" s="186" t="str">
        <f t="shared" si="127"/>
        <v>在目标区域召唤巨刃造成300%攻击伤害+2000点固定伤害,随后在技能范围中的敌人每秒受到120%攻击伤害+1500点伤害,并使目标置空1秒</v>
      </c>
      <c r="BF1177" s="186" t="s">
        <v>5688</v>
      </c>
      <c r="BG1177" s="19">
        <v>0</v>
      </c>
      <c r="BH1177" s="19">
        <v>0</v>
      </c>
      <c r="BI1177" s="19">
        <v>0</v>
      </c>
      <c r="BJ1177" s="19">
        <v>0</v>
      </c>
      <c r="BK1177" s="19">
        <v>0</v>
      </c>
      <c r="BL1177" s="19">
        <v>0</v>
      </c>
      <c r="BM1177" s="187">
        <v>0</v>
      </c>
      <c r="BN1177" s="19">
        <v>0</v>
      </c>
      <c r="BO1177" s="19">
        <v>0</v>
      </c>
      <c r="BP1177" s="19">
        <v>1000</v>
      </c>
      <c r="BQ1177" s="19">
        <v>1.6</v>
      </c>
      <c r="BR1177" s="19">
        <v>1500</v>
      </c>
      <c r="BS1177" s="19">
        <v>0</v>
      </c>
      <c r="BT1177" s="19">
        <v>0</v>
      </c>
      <c r="BU1177" s="23">
        <v>0</v>
      </c>
      <c r="BV1177" s="23"/>
      <c r="BW1177" s="23"/>
      <c r="BX1177" s="23"/>
      <c r="BY1177" s="23"/>
      <c r="BZ1177" s="23"/>
    </row>
    <row r="1178" spans="1:78" ht="20.100000000000001" customHeight="1">
      <c r="C1178" s="19">
        <v>65011105</v>
      </c>
      <c r="D1178" s="20" t="s">
        <v>1450</v>
      </c>
      <c r="E1178" s="20" t="s">
        <v>1451</v>
      </c>
      <c r="F1178" s="19">
        <v>4</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3.25</v>
      </c>
      <c r="Y1178" s="19">
        <v>0</v>
      </c>
      <c r="Z1178" s="19">
        <v>2750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1718</v>
      </c>
      <c r="BB1178" s="19">
        <v>0</v>
      </c>
      <c r="BC1178" s="19">
        <v>0</v>
      </c>
      <c r="BD1178" s="19">
        <v>0</v>
      </c>
      <c r="BE1178" s="186" t="str">
        <f t="shared" si="127"/>
        <v>在目标区域召唤巨刃造成325%攻击伤害+2750点固定伤害,随后在技能范围中的敌人每秒受到120%攻击伤害+2000点伤害,并使目标置空1秒</v>
      </c>
      <c r="BF1178" s="186" t="s">
        <v>5689</v>
      </c>
      <c r="BG1178" s="19">
        <v>0</v>
      </c>
      <c r="BH1178" s="19">
        <v>0</v>
      </c>
      <c r="BI1178" s="19">
        <v>0</v>
      </c>
      <c r="BJ1178" s="19">
        <v>0</v>
      </c>
      <c r="BK1178" s="19">
        <v>0</v>
      </c>
      <c r="BL1178" s="19">
        <v>0</v>
      </c>
      <c r="BM1178" s="187">
        <v>0</v>
      </c>
      <c r="BN1178" s="19">
        <v>0</v>
      </c>
      <c r="BO1178" s="19">
        <v>0</v>
      </c>
      <c r="BP1178" s="19">
        <v>1000</v>
      </c>
      <c r="BQ1178" s="19">
        <v>1.8</v>
      </c>
      <c r="BR1178" s="19">
        <v>2000</v>
      </c>
      <c r="BS1178" s="19">
        <v>0</v>
      </c>
      <c r="BT1178" s="19">
        <v>0</v>
      </c>
      <c r="BU1178" s="23">
        <v>0</v>
      </c>
      <c r="BV1178" s="23"/>
      <c r="BW1178" s="23"/>
      <c r="BX1178" s="23"/>
      <c r="BY1178" s="23"/>
      <c r="BZ1178" s="23"/>
    </row>
    <row r="1179" spans="1:78" ht="20.100000000000001" customHeight="1">
      <c r="C1179" s="19">
        <v>65011106</v>
      </c>
      <c r="D1179" s="20" t="s">
        <v>1450</v>
      </c>
      <c r="E1179" s="20" t="s">
        <v>1451</v>
      </c>
      <c r="F1179" s="19">
        <v>5</v>
      </c>
      <c r="G1179" s="19">
        <v>65011101</v>
      </c>
      <c r="H1179" s="19">
        <v>0</v>
      </c>
      <c r="I1179" s="19">
        <v>0</v>
      </c>
      <c r="J1179" s="19">
        <v>1</v>
      </c>
      <c r="K1179" s="19">
        <v>0</v>
      </c>
      <c r="L1179" s="19">
        <v>0</v>
      </c>
      <c r="M1179" s="19">
        <v>0</v>
      </c>
      <c r="N1179" s="19">
        <v>0</v>
      </c>
      <c r="O1179" s="19">
        <v>1</v>
      </c>
      <c r="P1179" s="19">
        <v>0</v>
      </c>
      <c r="Q1179" s="19">
        <v>0</v>
      </c>
      <c r="R1179" s="19">
        <v>0</v>
      </c>
      <c r="S1179" s="19">
        <v>0</v>
      </c>
      <c r="T1179" s="19">
        <v>0</v>
      </c>
      <c r="U1179" s="19">
        <v>1</v>
      </c>
      <c r="V1179" s="19">
        <v>2</v>
      </c>
      <c r="W1179" s="19">
        <v>0</v>
      </c>
      <c r="X1179" s="19">
        <v>3.5</v>
      </c>
      <c r="Y1179" s="19">
        <v>0</v>
      </c>
      <c r="Z1179" s="19">
        <v>3500</v>
      </c>
      <c r="AA1179" s="19">
        <v>1</v>
      </c>
      <c r="AB1179" s="19">
        <v>15</v>
      </c>
      <c r="AC1179" s="19">
        <v>0</v>
      </c>
      <c r="AD1179" s="19">
        <v>0</v>
      </c>
      <c r="AE1179" s="19">
        <v>0</v>
      </c>
      <c r="AF1179" s="19">
        <v>9</v>
      </c>
      <c r="AG1179" s="19">
        <v>1</v>
      </c>
      <c r="AH1179" s="73">
        <v>4</v>
      </c>
      <c r="AI1179" s="19">
        <v>2</v>
      </c>
      <c r="AJ1179" s="19">
        <v>1</v>
      </c>
      <c r="AK1179" s="19">
        <v>0</v>
      </c>
      <c r="AL1179" s="19">
        <v>7</v>
      </c>
      <c r="AM1179" s="19">
        <v>0</v>
      </c>
      <c r="AN1179" s="19">
        <v>0</v>
      </c>
      <c r="AO1179" s="19">
        <v>0</v>
      </c>
      <c r="AP1179" s="19">
        <v>0.5</v>
      </c>
      <c r="AQ1179" s="19">
        <v>6000</v>
      </c>
      <c r="AR1179" s="19">
        <v>0.5</v>
      </c>
      <c r="AS1179" s="19">
        <v>0</v>
      </c>
      <c r="AT1179" s="19">
        <v>0</v>
      </c>
      <c r="AU1179" s="19">
        <v>92040010</v>
      </c>
      <c r="AV1179" s="19"/>
      <c r="AW1179" s="20" t="s">
        <v>623</v>
      </c>
      <c r="AX1179" s="19" t="s">
        <v>1047</v>
      </c>
      <c r="AY1179" s="19">
        <v>10000007</v>
      </c>
      <c r="AZ1179" s="19">
        <v>21400010</v>
      </c>
      <c r="BA1179" s="20" t="s">
        <v>1718</v>
      </c>
      <c r="BB1179" s="19">
        <v>0</v>
      </c>
      <c r="BC1179" s="19">
        <v>0</v>
      </c>
      <c r="BD1179" s="19">
        <v>0</v>
      </c>
      <c r="BE1179" s="186" t="str">
        <f t="shared" si="127"/>
        <v>在目标区域召唤巨刃造成350%攻击伤害+3500点固定伤害,随后在技能范围中的敌人每秒受到120%攻击伤害+2500点伤害,并使目标置空1秒</v>
      </c>
      <c r="BF1179" s="186" t="s">
        <v>5690</v>
      </c>
      <c r="BG1179" s="19">
        <v>0</v>
      </c>
      <c r="BH1179" s="19">
        <v>0</v>
      </c>
      <c r="BI1179" s="19">
        <v>0</v>
      </c>
      <c r="BJ1179" s="19">
        <v>0</v>
      </c>
      <c r="BK1179" s="19">
        <v>0</v>
      </c>
      <c r="BL1179" s="19">
        <v>0</v>
      </c>
      <c r="BM1179" s="187">
        <v>0</v>
      </c>
      <c r="BN1179" s="19">
        <v>0</v>
      </c>
      <c r="BO1179" s="19">
        <v>0</v>
      </c>
      <c r="BP1179" s="19">
        <v>1000</v>
      </c>
      <c r="BQ1179" s="19">
        <v>2</v>
      </c>
      <c r="BR1179" s="19">
        <v>2500</v>
      </c>
      <c r="BS1179" s="19">
        <v>0</v>
      </c>
      <c r="BT1179" s="19">
        <v>0</v>
      </c>
      <c r="BU1179" s="23">
        <v>0</v>
      </c>
      <c r="BV1179" s="23"/>
      <c r="BW1179" s="23"/>
      <c r="BX1179" s="23"/>
      <c r="BY1179" s="23"/>
      <c r="BZ1179" s="23"/>
    </row>
    <row r="1180" spans="1:78" ht="20.100000000000001" customHeight="1">
      <c r="C1180" s="32">
        <v>65011201</v>
      </c>
      <c r="D1180" s="35" t="s">
        <v>1457</v>
      </c>
      <c r="E1180" s="35" t="s">
        <v>1458</v>
      </c>
      <c r="F1180" s="21">
        <v>0</v>
      </c>
      <c r="G1180" s="32">
        <v>65011201</v>
      </c>
      <c r="H1180" s="32">
        <v>65011202</v>
      </c>
      <c r="I1180" s="31">
        <v>0</v>
      </c>
      <c r="J1180" s="21">
        <v>3</v>
      </c>
      <c r="K1180" s="21">
        <v>5</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4.5</v>
      </c>
      <c r="AI1180" s="19">
        <v>0</v>
      </c>
      <c r="AJ1180" s="19">
        <v>0</v>
      </c>
      <c r="AK1180" s="19">
        <v>0</v>
      </c>
      <c r="AL1180" s="19">
        <v>4.5</v>
      </c>
      <c r="AM1180" s="32">
        <v>0</v>
      </c>
      <c r="AN1180" s="32">
        <v>0</v>
      </c>
      <c r="AO1180" s="32">
        <v>0</v>
      </c>
      <c r="AP1180" s="32">
        <v>0.3</v>
      </c>
      <c r="AQ1180" s="32">
        <v>2000</v>
      </c>
      <c r="AR1180" s="32">
        <v>0.5</v>
      </c>
      <c r="AS1180" s="32">
        <v>0</v>
      </c>
      <c r="AT1180" s="19">
        <v>0</v>
      </c>
      <c r="AU1180" s="32">
        <v>92040020</v>
      </c>
      <c r="AV1180" s="32"/>
      <c r="AW1180" s="35" t="s">
        <v>1700</v>
      </c>
      <c r="AX1180" s="32" t="s">
        <v>540</v>
      </c>
      <c r="AY1180" s="32">
        <v>10000009</v>
      </c>
      <c r="AZ1180" s="32">
        <v>21400020</v>
      </c>
      <c r="BA1180" s="30" t="s">
        <v>206</v>
      </c>
      <c r="BB1180" s="35">
        <v>0</v>
      </c>
      <c r="BC1180" s="31">
        <v>0</v>
      </c>
      <c r="BD1180" s="31">
        <v>0</v>
      </c>
      <c r="BE1180" s="185" t="str">
        <f>"立即对附近敌方单位造成"&amp;X1180*100&amp;"%攻击伤害+"&amp;Z1180&amp;"点固定伤害,并使其造成伤害降低20%,持续3秒"</f>
        <v>立即对附近敌方单位造成250%攻击伤害+900点固定伤害,并使其造成伤害降低20%,持续3秒</v>
      </c>
      <c r="BF1180" s="185" t="s">
        <v>2485</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65011202</v>
      </c>
      <c r="D1181" s="35" t="s">
        <v>1457</v>
      </c>
      <c r="E1181" s="35" t="s">
        <v>1458</v>
      </c>
      <c r="F1181" s="21">
        <v>1</v>
      </c>
      <c r="G1181" s="32">
        <v>65011201</v>
      </c>
      <c r="H1181" s="32">
        <v>65011203</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2.5</v>
      </c>
      <c r="Y1181" s="19">
        <v>0</v>
      </c>
      <c r="Z1181" s="32">
        <v>900</v>
      </c>
      <c r="AA1181" s="32">
        <v>1</v>
      </c>
      <c r="AB1181" s="32">
        <v>15</v>
      </c>
      <c r="AC1181" s="32">
        <v>0</v>
      </c>
      <c r="AD1181" s="32">
        <v>0</v>
      </c>
      <c r="AE1181" s="32">
        <v>0</v>
      </c>
      <c r="AF1181" s="32">
        <v>9</v>
      </c>
      <c r="AG1181" s="32">
        <v>1</v>
      </c>
      <c r="AH1181" s="32">
        <v>4.5</v>
      </c>
      <c r="AI1181" s="19">
        <v>0</v>
      </c>
      <c r="AJ1181" s="19">
        <v>0</v>
      </c>
      <c r="AK1181" s="19">
        <v>0</v>
      </c>
      <c r="AL1181" s="19">
        <v>4.5</v>
      </c>
      <c r="AM1181" s="32">
        <v>0</v>
      </c>
      <c r="AN1181" s="32">
        <v>0</v>
      </c>
      <c r="AO1181" s="32">
        <v>0</v>
      </c>
      <c r="AP1181" s="32">
        <v>0.3</v>
      </c>
      <c r="AQ1181" s="32">
        <v>2000</v>
      </c>
      <c r="AR1181" s="32">
        <v>0.5</v>
      </c>
      <c r="AS1181" s="32">
        <v>0</v>
      </c>
      <c r="AT1181" s="19">
        <v>0</v>
      </c>
      <c r="AU1181" s="32">
        <v>92040020</v>
      </c>
      <c r="AV1181" s="32"/>
      <c r="AW1181" s="35" t="s">
        <v>1700</v>
      </c>
      <c r="AX1181" s="32" t="s">
        <v>540</v>
      </c>
      <c r="AY1181" s="32">
        <v>10000009</v>
      </c>
      <c r="AZ1181" s="32">
        <v>21400020</v>
      </c>
      <c r="BA1181" s="30" t="s">
        <v>206</v>
      </c>
      <c r="BB1181" s="35">
        <v>0</v>
      </c>
      <c r="BC1181" s="31">
        <v>0</v>
      </c>
      <c r="BD1181" s="31">
        <v>0</v>
      </c>
      <c r="BE1181" s="185" t="str">
        <f t="shared" ref="BE1181:BE1185" si="128">"立即对附近敌方单位造成"&amp;X1181*100&amp;"%攻击伤害+"&amp;Z1181&amp;"点固定伤害,并使其造成伤害降低20%,持续3秒"</f>
        <v>立即对附近敌方单位造成250%攻击伤害+900点固定伤害,并使其造成伤害降低20%,持续3秒</v>
      </c>
      <c r="BF1181" s="185" t="s">
        <v>2485</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65011203</v>
      </c>
      <c r="D1182" s="35" t="s">
        <v>1457</v>
      </c>
      <c r="E1182" s="35" t="s">
        <v>1458</v>
      </c>
      <c r="F1182" s="21">
        <v>2</v>
      </c>
      <c r="G1182" s="32">
        <v>65011201</v>
      </c>
      <c r="H1182" s="32">
        <v>65011204</v>
      </c>
      <c r="I1182" s="31">
        <v>0</v>
      </c>
      <c r="J1182" s="21">
        <v>3</v>
      </c>
      <c r="K1182" s="21">
        <v>2</v>
      </c>
      <c r="L1182" s="21">
        <v>0</v>
      </c>
      <c r="M1182" s="32">
        <v>0</v>
      </c>
      <c r="N1182" s="32">
        <v>0</v>
      </c>
      <c r="O1182" s="32">
        <v>1</v>
      </c>
      <c r="P1182" s="32">
        <v>0</v>
      </c>
      <c r="Q1182" s="32">
        <v>0</v>
      </c>
      <c r="R1182" s="32">
        <v>0</v>
      </c>
      <c r="S1182" s="19">
        <v>0</v>
      </c>
      <c r="T1182" s="31">
        <v>0</v>
      </c>
      <c r="U1182" s="21">
        <v>1</v>
      </c>
      <c r="V1182" s="32">
        <v>2</v>
      </c>
      <c r="W1182" s="32">
        <v>0</v>
      </c>
      <c r="X1182" s="32">
        <v>2.75</v>
      </c>
      <c r="Y1182" s="19">
        <v>0</v>
      </c>
      <c r="Z1182" s="32">
        <v>1800</v>
      </c>
      <c r="AA1182" s="32">
        <v>1</v>
      </c>
      <c r="AB1182" s="32">
        <v>15</v>
      </c>
      <c r="AC1182" s="32">
        <v>0</v>
      </c>
      <c r="AD1182" s="32">
        <v>0</v>
      </c>
      <c r="AE1182" s="32">
        <v>0</v>
      </c>
      <c r="AF1182" s="32">
        <v>9</v>
      </c>
      <c r="AG1182" s="32">
        <v>1</v>
      </c>
      <c r="AH1182" s="32">
        <v>4.5</v>
      </c>
      <c r="AI1182" s="19">
        <v>0</v>
      </c>
      <c r="AJ1182" s="19">
        <v>0</v>
      </c>
      <c r="AK1182" s="19">
        <v>0</v>
      </c>
      <c r="AL1182" s="19">
        <v>4.5</v>
      </c>
      <c r="AM1182" s="32">
        <v>0</v>
      </c>
      <c r="AN1182" s="32">
        <v>0</v>
      </c>
      <c r="AO1182" s="32">
        <v>0</v>
      </c>
      <c r="AP1182" s="32">
        <v>0.3</v>
      </c>
      <c r="AQ1182" s="32">
        <v>2000</v>
      </c>
      <c r="AR1182" s="32">
        <v>0.5</v>
      </c>
      <c r="AS1182" s="32">
        <v>0</v>
      </c>
      <c r="AT1182" s="19">
        <v>0</v>
      </c>
      <c r="AU1182" s="32">
        <v>92040020</v>
      </c>
      <c r="AV1182" s="32"/>
      <c r="AW1182" s="35" t="s">
        <v>1700</v>
      </c>
      <c r="AX1182" s="32" t="s">
        <v>540</v>
      </c>
      <c r="AY1182" s="32">
        <v>10000009</v>
      </c>
      <c r="AZ1182" s="32">
        <v>21400020</v>
      </c>
      <c r="BA1182" s="30" t="s">
        <v>206</v>
      </c>
      <c r="BB1182" s="35">
        <v>0</v>
      </c>
      <c r="BC1182" s="31">
        <v>0</v>
      </c>
      <c r="BD1182" s="31">
        <v>0</v>
      </c>
      <c r="BE1182" s="185" t="str">
        <f t="shared" si="128"/>
        <v>立即对附近敌方单位造成275%攻击伤害+1800点固定伤害,并使其造成伤害降低20%,持续3秒</v>
      </c>
      <c r="BF1182" s="185" t="s">
        <v>2486</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65011204</v>
      </c>
      <c r="D1183" s="35" t="s">
        <v>1457</v>
      </c>
      <c r="E1183" s="35" t="s">
        <v>1458</v>
      </c>
      <c r="F1183" s="21">
        <v>3</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v>
      </c>
      <c r="Y1183" s="19">
        <v>0</v>
      </c>
      <c r="Z1183" s="32">
        <v>2800</v>
      </c>
      <c r="AA1183" s="32">
        <v>1</v>
      </c>
      <c r="AB1183" s="32">
        <v>15</v>
      </c>
      <c r="AC1183" s="32">
        <v>0</v>
      </c>
      <c r="AD1183" s="32">
        <v>0</v>
      </c>
      <c r="AE1183" s="32">
        <v>0</v>
      </c>
      <c r="AF1183" s="32">
        <v>9</v>
      </c>
      <c r="AG1183" s="32">
        <v>1</v>
      </c>
      <c r="AH1183" s="32">
        <v>4.5</v>
      </c>
      <c r="AI1183" s="19">
        <v>0</v>
      </c>
      <c r="AJ1183" s="19">
        <v>0</v>
      </c>
      <c r="AK1183" s="19">
        <v>0</v>
      </c>
      <c r="AL1183" s="19">
        <v>4.5</v>
      </c>
      <c r="AM1183" s="32">
        <v>0</v>
      </c>
      <c r="AN1183" s="32">
        <v>0</v>
      </c>
      <c r="AO1183" s="32">
        <v>0</v>
      </c>
      <c r="AP1183" s="32">
        <v>0.3</v>
      </c>
      <c r="AQ1183" s="32">
        <v>2000</v>
      </c>
      <c r="AR1183" s="32">
        <v>0.5</v>
      </c>
      <c r="AS1183" s="32">
        <v>0</v>
      </c>
      <c r="AT1183" s="19">
        <v>0</v>
      </c>
      <c r="AU1183" s="32">
        <v>92040020</v>
      </c>
      <c r="AV1183" s="32"/>
      <c r="AW1183" s="35" t="s">
        <v>1700</v>
      </c>
      <c r="AX1183" s="32" t="s">
        <v>540</v>
      </c>
      <c r="AY1183" s="32">
        <v>10000009</v>
      </c>
      <c r="AZ1183" s="32">
        <v>21400020</v>
      </c>
      <c r="BA1183" s="30" t="s">
        <v>206</v>
      </c>
      <c r="BB1183" s="35">
        <v>0</v>
      </c>
      <c r="BC1183" s="31">
        <v>0</v>
      </c>
      <c r="BD1183" s="31">
        <v>0</v>
      </c>
      <c r="BE1183" s="185" t="str">
        <f t="shared" si="128"/>
        <v>立即对附近敌方单位造成300%攻击伤害+2800点固定伤害,并使其造成伤害降低20%,持续3秒</v>
      </c>
      <c r="BF1183" s="185" t="s">
        <v>2487</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65011205</v>
      </c>
      <c r="D1184" s="35" t="s">
        <v>1457</v>
      </c>
      <c r="E1184" s="35" t="s">
        <v>1458</v>
      </c>
      <c r="F1184" s="21">
        <v>4</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3.25</v>
      </c>
      <c r="Y1184" s="19">
        <v>0</v>
      </c>
      <c r="Z1184" s="32">
        <v>4000</v>
      </c>
      <c r="AA1184" s="32">
        <v>1</v>
      </c>
      <c r="AB1184" s="32">
        <v>15</v>
      </c>
      <c r="AC1184" s="32">
        <v>0</v>
      </c>
      <c r="AD1184" s="32">
        <v>0</v>
      </c>
      <c r="AE1184" s="32">
        <v>0</v>
      </c>
      <c r="AF1184" s="32">
        <v>9</v>
      </c>
      <c r="AG1184" s="32">
        <v>1</v>
      </c>
      <c r="AH1184" s="32">
        <v>4.5</v>
      </c>
      <c r="AI1184" s="19">
        <v>0</v>
      </c>
      <c r="AJ1184" s="19">
        <v>0</v>
      </c>
      <c r="AK1184" s="19">
        <v>0</v>
      </c>
      <c r="AL1184" s="19">
        <v>4.5</v>
      </c>
      <c r="AM1184" s="32">
        <v>0</v>
      </c>
      <c r="AN1184" s="32">
        <v>0</v>
      </c>
      <c r="AO1184" s="32">
        <v>0</v>
      </c>
      <c r="AP1184" s="32">
        <v>0.3</v>
      </c>
      <c r="AQ1184" s="32">
        <v>2000</v>
      </c>
      <c r="AR1184" s="32">
        <v>0.5</v>
      </c>
      <c r="AS1184" s="32">
        <v>0</v>
      </c>
      <c r="AT1184" s="19">
        <v>0</v>
      </c>
      <c r="AU1184" s="32">
        <v>92040020</v>
      </c>
      <c r="AV1184" s="32"/>
      <c r="AW1184" s="35" t="s">
        <v>1700</v>
      </c>
      <c r="AX1184" s="32" t="s">
        <v>540</v>
      </c>
      <c r="AY1184" s="32">
        <v>10000009</v>
      </c>
      <c r="AZ1184" s="32">
        <v>21400020</v>
      </c>
      <c r="BA1184" s="30" t="s">
        <v>206</v>
      </c>
      <c r="BB1184" s="35">
        <v>0</v>
      </c>
      <c r="BC1184" s="31">
        <v>0</v>
      </c>
      <c r="BD1184" s="31">
        <v>0</v>
      </c>
      <c r="BE1184" s="185" t="str">
        <f t="shared" si="128"/>
        <v>立即对附近敌方单位造成325%攻击伤害+4000点固定伤害,并使其造成伤害降低20%,持续3秒</v>
      </c>
      <c r="BF1184" s="185" t="s">
        <v>2488</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65011206</v>
      </c>
      <c r="D1185" s="35" t="s">
        <v>1457</v>
      </c>
      <c r="E1185" s="35" t="s">
        <v>1458</v>
      </c>
      <c r="F1185" s="21">
        <v>5</v>
      </c>
      <c r="G1185" s="32">
        <v>65011201</v>
      </c>
      <c r="H1185" s="21">
        <v>0</v>
      </c>
      <c r="I1185" s="31">
        <v>0</v>
      </c>
      <c r="J1185" s="21">
        <v>3</v>
      </c>
      <c r="K1185" s="21">
        <v>0</v>
      </c>
      <c r="L1185" s="21">
        <v>0</v>
      </c>
      <c r="M1185" s="32">
        <v>0</v>
      </c>
      <c r="N1185" s="32">
        <v>0</v>
      </c>
      <c r="O1185" s="32">
        <v>1</v>
      </c>
      <c r="P1185" s="32">
        <v>0</v>
      </c>
      <c r="Q1185" s="32">
        <v>0</v>
      </c>
      <c r="R1185" s="32">
        <v>0</v>
      </c>
      <c r="S1185" s="19">
        <v>0</v>
      </c>
      <c r="T1185" s="31">
        <v>0</v>
      </c>
      <c r="U1185" s="21">
        <v>1</v>
      </c>
      <c r="V1185" s="32">
        <v>2</v>
      </c>
      <c r="W1185" s="32">
        <v>0</v>
      </c>
      <c r="X1185" s="32">
        <v>3.5</v>
      </c>
      <c r="Y1185" s="19">
        <v>0</v>
      </c>
      <c r="Z1185" s="32">
        <v>5200</v>
      </c>
      <c r="AA1185" s="32">
        <v>1</v>
      </c>
      <c r="AB1185" s="32">
        <v>15</v>
      </c>
      <c r="AC1185" s="32">
        <v>0</v>
      </c>
      <c r="AD1185" s="32">
        <v>0</v>
      </c>
      <c r="AE1185" s="32">
        <v>0</v>
      </c>
      <c r="AF1185" s="32">
        <v>9</v>
      </c>
      <c r="AG1185" s="32">
        <v>1</v>
      </c>
      <c r="AH1185" s="32">
        <v>4.5</v>
      </c>
      <c r="AI1185" s="19">
        <v>0</v>
      </c>
      <c r="AJ1185" s="19">
        <v>0</v>
      </c>
      <c r="AK1185" s="19">
        <v>0</v>
      </c>
      <c r="AL1185" s="19">
        <v>4.5</v>
      </c>
      <c r="AM1185" s="32">
        <v>0</v>
      </c>
      <c r="AN1185" s="32">
        <v>0</v>
      </c>
      <c r="AO1185" s="32">
        <v>0</v>
      </c>
      <c r="AP1185" s="32">
        <v>0.3</v>
      </c>
      <c r="AQ1185" s="32">
        <v>2000</v>
      </c>
      <c r="AR1185" s="32">
        <v>0.5</v>
      </c>
      <c r="AS1185" s="32">
        <v>0</v>
      </c>
      <c r="AT1185" s="19">
        <v>0</v>
      </c>
      <c r="AU1185" s="32">
        <v>92040020</v>
      </c>
      <c r="AV1185" s="32"/>
      <c r="AW1185" s="35" t="s">
        <v>1700</v>
      </c>
      <c r="AX1185" s="32" t="s">
        <v>540</v>
      </c>
      <c r="AY1185" s="32">
        <v>10000009</v>
      </c>
      <c r="AZ1185" s="32">
        <v>21400020</v>
      </c>
      <c r="BA1185" s="30" t="s">
        <v>206</v>
      </c>
      <c r="BB1185" s="35">
        <v>0</v>
      </c>
      <c r="BC1185" s="31">
        <v>0</v>
      </c>
      <c r="BD1185" s="31">
        <v>0</v>
      </c>
      <c r="BE1185" s="185" t="str">
        <f t="shared" si="128"/>
        <v>立即对附近敌方单位造成350%攻击伤害+5200点固定伤害,并使其造成伤害降低20%,持续3秒</v>
      </c>
      <c r="BF1185" s="185" t="s">
        <v>2489</v>
      </c>
      <c r="BG1185" s="32">
        <v>0</v>
      </c>
      <c r="BH1185" s="21">
        <v>0</v>
      </c>
      <c r="BI1185" s="32">
        <v>0</v>
      </c>
      <c r="BJ1185" s="32">
        <v>0</v>
      </c>
      <c r="BK1185" s="32">
        <v>0</v>
      </c>
      <c r="BL1185" s="32">
        <v>0</v>
      </c>
      <c r="BM1185" s="25">
        <v>0</v>
      </c>
      <c r="BN1185" s="19">
        <v>1</v>
      </c>
      <c r="BO1185" s="19">
        <v>0</v>
      </c>
      <c r="BP1185" s="19">
        <v>0</v>
      </c>
      <c r="BQ1185" s="19">
        <v>0</v>
      </c>
      <c r="BR1185" s="19">
        <v>0</v>
      </c>
      <c r="BS1185" s="19">
        <v>0</v>
      </c>
      <c r="BT1185" s="19">
        <v>0</v>
      </c>
      <c r="BU1185" s="23">
        <v>0</v>
      </c>
      <c r="BV1185" s="23"/>
      <c r="BW1185" s="23"/>
      <c r="BX1185" s="23"/>
      <c r="BY1185" s="23"/>
      <c r="BZ1185" s="23"/>
    </row>
    <row r="1186" spans="3:78" ht="20.100000000000001" customHeight="1">
      <c r="C1186" s="32">
        <v>65011301</v>
      </c>
      <c r="D1186" s="30" t="s">
        <v>1464</v>
      </c>
      <c r="E1186" s="30" t="s">
        <v>1465</v>
      </c>
      <c r="F1186" s="21">
        <v>0</v>
      </c>
      <c r="G1186" s="32">
        <v>65011301</v>
      </c>
      <c r="H1186" s="32">
        <v>65011302</v>
      </c>
      <c r="I1186" s="31">
        <v>1</v>
      </c>
      <c r="J1186" s="21">
        <v>5</v>
      </c>
      <c r="K1186" s="21">
        <v>5</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37" t="s">
        <v>5704</v>
      </c>
      <c r="AV1186" s="21"/>
      <c r="AW1186" s="30" t="s">
        <v>768</v>
      </c>
      <c r="AX1186" s="21" t="s">
        <v>1647</v>
      </c>
      <c r="AY1186" s="32">
        <v>10000015</v>
      </c>
      <c r="AZ1186" s="32">
        <v>21400030</v>
      </c>
      <c r="BA1186" s="30" t="s">
        <v>1378</v>
      </c>
      <c r="BB1186" s="21">
        <v>0</v>
      </c>
      <c r="BC1186" s="31">
        <v>0</v>
      </c>
      <c r="BD1186" s="31">
        <v>0</v>
      </c>
      <c r="BE1186" s="171" t="str">
        <f>"立即跳跃至目标区域并对其怪物造成"&amp;X1186*100&amp;"%攻击伤害+"&amp;Z1186&amp;"点固定伤害,并使目标置空1秒，目标将额外受到20%伤害，持续3秒"</f>
        <v>立即跳跃至目标区域并对其怪物造成200%攻击伤害+750点固定伤害,并使目标置空1秒，目标将额外受到20%伤害，持续3秒</v>
      </c>
      <c r="BF1186" s="171" t="s">
        <v>2490</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v>0</v>
      </c>
    </row>
    <row r="1187" spans="3:78" ht="20.100000000000001" customHeight="1">
      <c r="C1187" s="32">
        <v>65011302</v>
      </c>
      <c r="D1187" s="30" t="s">
        <v>1464</v>
      </c>
      <c r="E1187" s="30" t="s">
        <v>1465</v>
      </c>
      <c r="F1187" s="21">
        <v>1</v>
      </c>
      <c r="G1187" s="32">
        <v>65011301</v>
      </c>
      <c r="H1187" s="32">
        <v>65011303</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v>
      </c>
      <c r="Y1187" s="19">
        <v>0</v>
      </c>
      <c r="Z1187" s="32">
        <v>750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37" t="s">
        <v>5704</v>
      </c>
      <c r="AV1187" s="21"/>
      <c r="AW1187" s="30" t="s">
        <v>768</v>
      </c>
      <c r="AX1187" s="21" t="s">
        <v>1647</v>
      </c>
      <c r="AY1187" s="32">
        <v>10000015</v>
      </c>
      <c r="AZ1187" s="32">
        <v>21400030</v>
      </c>
      <c r="BA1187" s="30" t="s">
        <v>1378</v>
      </c>
      <c r="BB1187" s="21">
        <v>0</v>
      </c>
      <c r="BC1187" s="31">
        <v>0</v>
      </c>
      <c r="BD1187" s="31">
        <v>0</v>
      </c>
      <c r="BE1187" s="171" t="str">
        <f t="shared" ref="BE1187:BE1191" si="129">"立即跳跃至目标区域并对其怪物造成"&amp;X1187*100&amp;"%攻击伤害+"&amp;Z1187&amp;"点固定伤害,并使目标置空1秒，目标将额外受到20%伤害，持续3秒"</f>
        <v>立即跳跃至目标区域并对其怪物造成200%攻击伤害+750点固定伤害,并使目标置空1秒，目标将额外受到20%伤害，持续3秒</v>
      </c>
      <c r="BF1187" s="171" t="s">
        <v>2490</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65011303</v>
      </c>
      <c r="D1188" s="30" t="s">
        <v>1464</v>
      </c>
      <c r="E1188" s="30" t="s">
        <v>1465</v>
      </c>
      <c r="F1188" s="21">
        <v>2</v>
      </c>
      <c r="G1188" s="32">
        <v>65011301</v>
      </c>
      <c r="H1188" s="32">
        <v>65011304</v>
      </c>
      <c r="I1188" s="31">
        <v>1</v>
      </c>
      <c r="J1188" s="21">
        <v>5</v>
      </c>
      <c r="K1188" s="21">
        <v>2</v>
      </c>
      <c r="L1188" s="21">
        <v>0</v>
      </c>
      <c r="M1188" s="21">
        <v>0</v>
      </c>
      <c r="N1188" s="21">
        <v>0</v>
      </c>
      <c r="O1188" s="21">
        <v>1</v>
      </c>
      <c r="P1188" s="21">
        <v>0</v>
      </c>
      <c r="Q1188" s="21">
        <v>0</v>
      </c>
      <c r="R1188" s="21">
        <v>0</v>
      </c>
      <c r="S1188" s="19">
        <v>0</v>
      </c>
      <c r="T1188" s="21">
        <v>0</v>
      </c>
      <c r="U1188" s="21">
        <v>1</v>
      </c>
      <c r="V1188" s="21">
        <v>2</v>
      </c>
      <c r="W1188" s="21">
        <v>0</v>
      </c>
      <c r="X1188" s="21">
        <v>2.25</v>
      </c>
      <c r="Y1188" s="19">
        <v>0</v>
      </c>
      <c r="Z1188" s="32">
        <v>1500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37" t="s">
        <v>5704</v>
      </c>
      <c r="AV1188" s="21"/>
      <c r="AW1188" s="30" t="s">
        <v>768</v>
      </c>
      <c r="AX1188" s="21" t="s">
        <v>1647</v>
      </c>
      <c r="AY1188" s="32">
        <v>10000015</v>
      </c>
      <c r="AZ1188" s="32">
        <v>21400030</v>
      </c>
      <c r="BA1188" s="30" t="s">
        <v>1378</v>
      </c>
      <c r="BB1188" s="21">
        <v>0</v>
      </c>
      <c r="BC1188" s="31">
        <v>0</v>
      </c>
      <c r="BD1188" s="31">
        <v>0</v>
      </c>
      <c r="BE1188" s="171" t="str">
        <f t="shared" si="129"/>
        <v>立即跳跃至目标区域并对其怪物造成225%攻击伤害+1500点固定伤害,并使目标置空1秒，目标将额外受到20%伤害，持续3秒</v>
      </c>
      <c r="BF1188" s="171" t="s">
        <v>2491</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65011304</v>
      </c>
      <c r="D1189" s="30" t="s">
        <v>1464</v>
      </c>
      <c r="E1189" s="30" t="s">
        <v>1465</v>
      </c>
      <c r="F1189" s="21">
        <v>3</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2.5</v>
      </c>
      <c r="Y1189" s="19">
        <v>0</v>
      </c>
      <c r="Z1189" s="32">
        <v>2250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37" t="s">
        <v>5704</v>
      </c>
      <c r="AV1189" s="21"/>
      <c r="AW1189" s="30" t="s">
        <v>768</v>
      </c>
      <c r="AX1189" s="21" t="s">
        <v>1647</v>
      </c>
      <c r="AY1189" s="32">
        <v>10000015</v>
      </c>
      <c r="AZ1189" s="32">
        <v>21400030</v>
      </c>
      <c r="BA1189" s="30" t="s">
        <v>1378</v>
      </c>
      <c r="BB1189" s="21">
        <v>0</v>
      </c>
      <c r="BC1189" s="31">
        <v>0</v>
      </c>
      <c r="BD1189" s="31">
        <v>0</v>
      </c>
      <c r="BE1189" s="171" t="str">
        <f t="shared" si="129"/>
        <v>立即跳跃至目标区域并对其怪物造成250%攻击伤害+2250点固定伤害,并使目标置空1秒，目标将额外受到20%伤害，持续3秒</v>
      </c>
      <c r="BF1189" s="171" t="s">
        <v>2492</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65011305</v>
      </c>
      <c r="D1190" s="30" t="s">
        <v>1464</v>
      </c>
      <c r="E1190" s="30" t="s">
        <v>1465</v>
      </c>
      <c r="F1190" s="21">
        <v>4</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2.75</v>
      </c>
      <c r="Y1190" s="19">
        <v>0</v>
      </c>
      <c r="Z1190" s="32">
        <v>3250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37" t="s">
        <v>5704</v>
      </c>
      <c r="AV1190" s="21"/>
      <c r="AW1190" s="30" t="s">
        <v>768</v>
      </c>
      <c r="AX1190" s="21" t="s">
        <v>1647</v>
      </c>
      <c r="AY1190" s="32">
        <v>10000015</v>
      </c>
      <c r="AZ1190" s="32">
        <v>21400030</v>
      </c>
      <c r="BA1190" s="30" t="s">
        <v>1378</v>
      </c>
      <c r="BB1190" s="21">
        <v>0</v>
      </c>
      <c r="BC1190" s="31">
        <v>0</v>
      </c>
      <c r="BD1190" s="31">
        <v>0</v>
      </c>
      <c r="BE1190" s="171" t="str">
        <f t="shared" si="129"/>
        <v>立即跳跃至目标区域并对其怪物造成275%攻击伤害+3250点固定伤害,并使目标置空1秒，目标将额外受到20%伤害，持续3秒</v>
      </c>
      <c r="BF1190" s="171" t="s">
        <v>5686</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32">
        <v>65011306</v>
      </c>
      <c r="D1191" s="30" t="s">
        <v>1464</v>
      </c>
      <c r="E1191" s="30" t="s">
        <v>1465</v>
      </c>
      <c r="F1191" s="21">
        <v>5</v>
      </c>
      <c r="G1191" s="32">
        <v>65011301</v>
      </c>
      <c r="H1191" s="21">
        <v>0</v>
      </c>
      <c r="I1191" s="31">
        <v>1</v>
      </c>
      <c r="J1191" s="21">
        <v>5</v>
      </c>
      <c r="K1191" s="21">
        <v>0</v>
      </c>
      <c r="L1191" s="21">
        <v>0</v>
      </c>
      <c r="M1191" s="21">
        <v>0</v>
      </c>
      <c r="N1191" s="21">
        <v>0</v>
      </c>
      <c r="O1191" s="21">
        <v>1</v>
      </c>
      <c r="P1191" s="21">
        <v>0</v>
      </c>
      <c r="Q1191" s="21">
        <v>0</v>
      </c>
      <c r="R1191" s="21">
        <v>0</v>
      </c>
      <c r="S1191" s="19">
        <v>0</v>
      </c>
      <c r="T1191" s="21">
        <v>0</v>
      </c>
      <c r="U1191" s="21">
        <v>1</v>
      </c>
      <c r="V1191" s="21">
        <v>2</v>
      </c>
      <c r="W1191" s="21">
        <v>0</v>
      </c>
      <c r="X1191" s="21">
        <v>3</v>
      </c>
      <c r="Y1191" s="19">
        <v>0</v>
      </c>
      <c r="Z1191" s="32">
        <v>4250</v>
      </c>
      <c r="AA1191" s="21">
        <v>1</v>
      </c>
      <c r="AB1191" s="21">
        <v>20</v>
      </c>
      <c r="AC1191" s="21">
        <v>0</v>
      </c>
      <c r="AD1191" s="21">
        <v>0</v>
      </c>
      <c r="AE1191" s="21">
        <v>0</v>
      </c>
      <c r="AF1191" s="21">
        <v>12</v>
      </c>
      <c r="AG1191" s="21">
        <v>1</v>
      </c>
      <c r="AH1191" s="21" t="s">
        <v>867</v>
      </c>
      <c r="AI1191" s="19">
        <v>2</v>
      </c>
      <c r="AJ1191" s="19">
        <v>1</v>
      </c>
      <c r="AK1191" s="19">
        <v>0</v>
      </c>
      <c r="AL1191" s="19">
        <v>6</v>
      </c>
      <c r="AM1191" s="21">
        <v>0</v>
      </c>
      <c r="AN1191" s="21">
        <v>0</v>
      </c>
      <c r="AO1191" s="21">
        <v>0</v>
      </c>
      <c r="AP1191" s="21">
        <v>0.5</v>
      </c>
      <c r="AQ1191" s="21">
        <v>2000</v>
      </c>
      <c r="AR1191" s="21">
        <v>0.4</v>
      </c>
      <c r="AS1191" s="21">
        <v>0</v>
      </c>
      <c r="AT1191" s="19">
        <v>0</v>
      </c>
      <c r="AU1191" s="337" t="s">
        <v>5704</v>
      </c>
      <c r="AV1191" s="21"/>
      <c r="AW1191" s="30" t="s">
        <v>768</v>
      </c>
      <c r="AX1191" s="21" t="s">
        <v>1647</v>
      </c>
      <c r="AY1191" s="32">
        <v>10000015</v>
      </c>
      <c r="AZ1191" s="32">
        <v>21400030</v>
      </c>
      <c r="BA1191" s="30" t="s">
        <v>1378</v>
      </c>
      <c r="BB1191" s="21">
        <v>0</v>
      </c>
      <c r="BC1191" s="31">
        <v>0</v>
      </c>
      <c r="BD1191" s="31">
        <v>0</v>
      </c>
      <c r="BE1191" s="171" t="str">
        <f t="shared" si="129"/>
        <v>立即跳跃至目标区域并对其怪物造成300%攻击伤害+4250点固定伤害,并使目标置空1秒，目标将额外受到20%伤害，持续3秒</v>
      </c>
      <c r="BF1191" s="171" t="s">
        <v>5687</v>
      </c>
      <c r="BG1191" s="21">
        <v>0</v>
      </c>
      <c r="BH1191" s="21">
        <v>0</v>
      </c>
      <c r="BI1191" s="21">
        <v>0</v>
      </c>
      <c r="BJ1191" s="21">
        <v>0</v>
      </c>
      <c r="BK1191" s="21">
        <v>0</v>
      </c>
      <c r="BL1191" s="21">
        <v>0</v>
      </c>
      <c r="BM1191" s="25">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65012101</v>
      </c>
      <c r="D1192" s="20" t="s">
        <v>2493</v>
      </c>
      <c r="E1192" s="20" t="s">
        <v>2494</v>
      </c>
      <c r="F1192" s="19">
        <v>0</v>
      </c>
      <c r="G1192" s="19">
        <v>65012101</v>
      </c>
      <c r="H1192" s="19">
        <v>65012102</v>
      </c>
      <c r="I1192" s="19">
        <v>0</v>
      </c>
      <c r="J1192" s="19">
        <v>1</v>
      </c>
      <c r="K1192" s="19">
        <v>5</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1407</v>
      </c>
      <c r="AY1192" s="19">
        <v>10003002</v>
      </c>
      <c r="AZ1192" s="19">
        <v>21400040</v>
      </c>
      <c r="BA1192" s="20" t="s">
        <v>592</v>
      </c>
      <c r="BB1192" s="19">
        <v>0</v>
      </c>
      <c r="BC1192" s="19">
        <v>0</v>
      </c>
      <c r="BD1192" s="19">
        <v>0</v>
      </c>
      <c r="BE1192" s="186" t="str">
        <f>"立即对前方区域范围内的怪物造成"&amp;X1192*100&amp;"%攻击伤害+"&amp;Z1192&amp;"点固定伤害"</f>
        <v>立即对前方区域范围内的怪物造成300%攻击伤害+1800点固定伤害</v>
      </c>
      <c r="BF1192" s="186" t="s">
        <v>2495</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65012102</v>
      </c>
      <c r="D1193" s="20" t="s">
        <v>2493</v>
      </c>
      <c r="E1193" s="20" t="s">
        <v>2494</v>
      </c>
      <c r="F1193" s="19">
        <v>1</v>
      </c>
      <c r="G1193" s="19">
        <v>65012101</v>
      </c>
      <c r="H1193" s="19">
        <v>65012103</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v>
      </c>
      <c r="Y1193" s="19">
        <v>0</v>
      </c>
      <c r="Z1193" s="19">
        <v>1800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1407</v>
      </c>
      <c r="AY1193" s="19">
        <v>10003002</v>
      </c>
      <c r="AZ1193" s="19">
        <v>21400040</v>
      </c>
      <c r="BA1193" s="20" t="s">
        <v>592</v>
      </c>
      <c r="BB1193" s="19">
        <v>0</v>
      </c>
      <c r="BC1193" s="19">
        <v>0</v>
      </c>
      <c r="BD1193" s="19">
        <v>0</v>
      </c>
      <c r="BE1193" s="186" t="str">
        <f t="shared" ref="BE1193:BE1197" si="130">"立即对前方区域范围内的怪物造成"&amp;X1193*100&amp;"%攻击伤害+"&amp;Z1193&amp;"点固定伤害"</f>
        <v>立即对前方区域范围内的怪物造成300%攻击伤害+1800点固定伤害</v>
      </c>
      <c r="BF1193" s="186" t="s">
        <v>2495</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65012103</v>
      </c>
      <c r="D1194" s="20" t="s">
        <v>2493</v>
      </c>
      <c r="E1194" s="20" t="s">
        <v>2494</v>
      </c>
      <c r="F1194" s="19">
        <v>2</v>
      </c>
      <c r="G1194" s="19">
        <v>65012101</v>
      </c>
      <c r="H1194" s="19">
        <v>65012104</v>
      </c>
      <c r="I1194" s="19">
        <v>0</v>
      </c>
      <c r="J1194" s="19">
        <v>1</v>
      </c>
      <c r="K1194" s="19">
        <v>2</v>
      </c>
      <c r="L1194" s="19">
        <v>0</v>
      </c>
      <c r="M1194" s="19">
        <v>0</v>
      </c>
      <c r="N1194" s="19">
        <v>0</v>
      </c>
      <c r="O1194" s="19">
        <v>1</v>
      </c>
      <c r="P1194" s="19">
        <v>0</v>
      </c>
      <c r="Q1194" s="19">
        <v>0</v>
      </c>
      <c r="R1194" s="19">
        <v>0</v>
      </c>
      <c r="S1194" s="19">
        <v>0</v>
      </c>
      <c r="T1194" s="19">
        <v>0</v>
      </c>
      <c r="U1194" s="19">
        <v>1</v>
      </c>
      <c r="V1194" s="19">
        <v>2</v>
      </c>
      <c r="W1194" s="19">
        <v>0</v>
      </c>
      <c r="X1194" s="19">
        <v>3.5</v>
      </c>
      <c r="Y1194" s="19">
        <v>0</v>
      </c>
      <c r="Z1194" s="19">
        <v>3600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1407</v>
      </c>
      <c r="AY1194" s="19">
        <v>10003002</v>
      </c>
      <c r="AZ1194" s="19">
        <v>21400040</v>
      </c>
      <c r="BA1194" s="20" t="s">
        <v>592</v>
      </c>
      <c r="BB1194" s="19">
        <v>0</v>
      </c>
      <c r="BC1194" s="19">
        <v>0</v>
      </c>
      <c r="BD1194" s="19">
        <v>0</v>
      </c>
      <c r="BE1194" s="186" t="str">
        <f t="shared" si="130"/>
        <v>立即对前方区域范围内的怪物造成350%攻击伤害+3600点固定伤害</v>
      </c>
      <c r="BF1194" s="186" t="s">
        <v>2496</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65012104</v>
      </c>
      <c r="D1195" s="20" t="s">
        <v>2493</v>
      </c>
      <c r="E1195" s="20" t="s">
        <v>2494</v>
      </c>
      <c r="F1195" s="19">
        <v>3</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v>
      </c>
      <c r="Y1195" s="19">
        <v>0</v>
      </c>
      <c r="Z1195" s="19">
        <v>5600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1407</v>
      </c>
      <c r="AY1195" s="19">
        <v>10003002</v>
      </c>
      <c r="AZ1195" s="19">
        <v>21400040</v>
      </c>
      <c r="BA1195" s="20" t="s">
        <v>592</v>
      </c>
      <c r="BB1195" s="19">
        <v>0</v>
      </c>
      <c r="BC1195" s="19">
        <v>0</v>
      </c>
      <c r="BD1195" s="19">
        <v>0</v>
      </c>
      <c r="BE1195" s="186" t="str">
        <f t="shared" si="130"/>
        <v>立即对前方区域范围内的怪物造成400%攻击伤害+5600点固定伤害</v>
      </c>
      <c r="BF1195" s="186" t="s">
        <v>5683</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65012105</v>
      </c>
      <c r="D1196" s="20" t="s">
        <v>2493</v>
      </c>
      <c r="E1196" s="20" t="s">
        <v>2494</v>
      </c>
      <c r="F1196" s="19">
        <v>4</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4.5</v>
      </c>
      <c r="Y1196" s="19">
        <v>0</v>
      </c>
      <c r="Z1196" s="19">
        <v>8000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1407</v>
      </c>
      <c r="AY1196" s="19">
        <v>10003002</v>
      </c>
      <c r="AZ1196" s="19">
        <v>21400040</v>
      </c>
      <c r="BA1196" s="20" t="s">
        <v>592</v>
      </c>
      <c r="BB1196" s="19">
        <v>0</v>
      </c>
      <c r="BC1196" s="19">
        <v>0</v>
      </c>
      <c r="BD1196" s="19">
        <v>0</v>
      </c>
      <c r="BE1196" s="186" t="str">
        <f t="shared" si="130"/>
        <v>立即对前方区域范围内的怪物造成450%攻击伤害+8000点固定伤害</v>
      </c>
      <c r="BF1196" s="186" t="s">
        <v>5684</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65012106</v>
      </c>
      <c r="D1197" s="20" t="s">
        <v>2493</v>
      </c>
      <c r="E1197" s="20" t="s">
        <v>2494</v>
      </c>
      <c r="F1197" s="19">
        <v>5</v>
      </c>
      <c r="G1197" s="19">
        <v>65012101</v>
      </c>
      <c r="H1197" s="19">
        <v>0</v>
      </c>
      <c r="I1197" s="19">
        <v>0</v>
      </c>
      <c r="J1197" s="19">
        <v>1</v>
      </c>
      <c r="K1197" s="19">
        <v>0</v>
      </c>
      <c r="L1197" s="19">
        <v>0</v>
      </c>
      <c r="M1197" s="19">
        <v>0</v>
      </c>
      <c r="N1197" s="19">
        <v>0</v>
      </c>
      <c r="O1197" s="19">
        <v>1</v>
      </c>
      <c r="P1197" s="19">
        <v>0</v>
      </c>
      <c r="Q1197" s="19">
        <v>0</v>
      </c>
      <c r="R1197" s="19">
        <v>0</v>
      </c>
      <c r="S1197" s="19">
        <v>0</v>
      </c>
      <c r="T1197" s="19">
        <v>0</v>
      </c>
      <c r="U1197" s="19">
        <v>1</v>
      </c>
      <c r="V1197" s="19">
        <v>2</v>
      </c>
      <c r="W1197" s="19">
        <v>0</v>
      </c>
      <c r="X1197" s="19">
        <v>5</v>
      </c>
      <c r="Y1197" s="19">
        <v>0</v>
      </c>
      <c r="Z1197" s="19">
        <v>10400</v>
      </c>
      <c r="AA1197" s="19">
        <v>0</v>
      </c>
      <c r="AB1197" s="19">
        <v>15</v>
      </c>
      <c r="AC1197" s="19">
        <v>0</v>
      </c>
      <c r="AD1197" s="19">
        <v>0</v>
      </c>
      <c r="AE1197" s="19">
        <v>0</v>
      </c>
      <c r="AF1197" s="19">
        <v>9</v>
      </c>
      <c r="AG1197" s="19">
        <v>1</v>
      </c>
      <c r="AH1197" s="73">
        <v>1.5</v>
      </c>
      <c r="AI1197" s="19">
        <v>2</v>
      </c>
      <c r="AJ1197" s="19">
        <v>2</v>
      </c>
      <c r="AK1197" s="19">
        <v>0</v>
      </c>
      <c r="AL1197" s="19">
        <v>2.5</v>
      </c>
      <c r="AM1197" s="19">
        <v>0</v>
      </c>
      <c r="AN1197" s="19">
        <v>0</v>
      </c>
      <c r="AO1197" s="19">
        <v>0</v>
      </c>
      <c r="AP1197" s="19">
        <v>0.25</v>
      </c>
      <c r="AQ1197" s="19">
        <v>1500</v>
      </c>
      <c r="AR1197" s="19">
        <v>0.25</v>
      </c>
      <c r="AS1197" s="19">
        <v>15</v>
      </c>
      <c r="AT1197" s="19">
        <v>0</v>
      </c>
      <c r="AU1197" s="19">
        <v>92002001</v>
      </c>
      <c r="AV1197" s="19"/>
      <c r="AW1197" s="20" t="s">
        <v>205</v>
      </c>
      <c r="AX1197" s="19" t="s">
        <v>1407</v>
      </c>
      <c r="AY1197" s="19">
        <v>10003002</v>
      </c>
      <c r="AZ1197" s="19">
        <v>21400040</v>
      </c>
      <c r="BA1197" s="20" t="s">
        <v>592</v>
      </c>
      <c r="BB1197" s="19">
        <v>0</v>
      </c>
      <c r="BC1197" s="19">
        <v>0</v>
      </c>
      <c r="BD1197" s="19">
        <v>0</v>
      </c>
      <c r="BE1197" s="186" t="str">
        <f t="shared" si="130"/>
        <v>立即对前方区域范围内的怪物造成500%攻击伤害+10400点固定伤害</v>
      </c>
      <c r="BF1197" s="186" t="s">
        <v>5685</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65012201</v>
      </c>
      <c r="D1198" s="20" t="s">
        <v>2497</v>
      </c>
      <c r="E1198" s="20" t="s">
        <v>2498</v>
      </c>
      <c r="F1198" s="19">
        <v>0</v>
      </c>
      <c r="G1198" s="19">
        <v>65012201</v>
      </c>
      <c r="H1198" s="19">
        <v>65012202</v>
      </c>
      <c r="I1198" s="19">
        <v>0</v>
      </c>
      <c r="J1198" s="21">
        <v>3</v>
      </c>
      <c r="K1198" s="21">
        <v>5</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1700</v>
      </c>
      <c r="AX1198" s="19" t="s">
        <v>1802</v>
      </c>
      <c r="AY1198" s="19">
        <v>21203020</v>
      </c>
      <c r="AZ1198" s="19">
        <v>21400050</v>
      </c>
      <c r="BA1198" s="20" t="s">
        <v>206</v>
      </c>
      <c r="BB1198" s="19">
        <v>0</v>
      </c>
      <c r="BC1198" s="19">
        <v>0</v>
      </c>
      <c r="BD1198" s="19">
        <v>0</v>
      </c>
      <c r="BE1198" s="186" t="str">
        <f>"立即对目标区域的怪物造成"&amp;X1198*100&amp;"%攻击伤害+"&amp;Z1198&amp;"点固定伤害,并让其附带一个疾风标记,使其受到伤害额外提升20%,持续7秒"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2499</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65012202</v>
      </c>
      <c r="D1199" s="20" t="s">
        <v>2497</v>
      </c>
      <c r="E1199" s="20" t="s">
        <v>2498</v>
      </c>
      <c r="F1199" s="19">
        <v>1</v>
      </c>
      <c r="G1199" s="19">
        <v>65012201</v>
      </c>
      <c r="H1199" s="19">
        <v>65012203</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v>
      </c>
      <c r="Y1199" s="19">
        <v>0</v>
      </c>
      <c r="Z1199" s="19">
        <v>900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1700</v>
      </c>
      <c r="AX1199" s="19" t="s">
        <v>1802</v>
      </c>
      <c r="AY1199" s="19">
        <v>21203020</v>
      </c>
      <c r="AZ1199" s="19">
        <v>21400050</v>
      </c>
      <c r="BA1199" s="20" t="s">
        <v>206</v>
      </c>
      <c r="BB1199" s="19">
        <v>0</v>
      </c>
      <c r="BC1199" s="19">
        <v>0</v>
      </c>
      <c r="BD1199" s="19">
        <v>0</v>
      </c>
      <c r="BE1199" s="186" t="str">
        <f t="shared" ref="BE1199:BE1203" si="131">"立即对目标区域的怪物造成"&amp;X1199*100&amp;"%攻击伤害+"&amp;Z1199&amp;"点固定伤害,并让其附带一个疾风标记,使其受到伤害额外提升20%,持续7秒"</f>
        <v>立即对目标区域的怪物造成200%攻击伤害+900点固定伤害,并让其附带一个疾风标记,使其受到伤害额外提升20%,持续7秒</v>
      </c>
      <c r="BF1199" s="186" t="s">
        <v>2499</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65012203</v>
      </c>
      <c r="D1200" s="20" t="s">
        <v>2497</v>
      </c>
      <c r="E1200" s="20" t="s">
        <v>2498</v>
      </c>
      <c r="F1200" s="19">
        <v>2</v>
      </c>
      <c r="G1200" s="19">
        <v>65012201</v>
      </c>
      <c r="H1200" s="19">
        <v>65012204</v>
      </c>
      <c r="I1200" s="19">
        <v>0</v>
      </c>
      <c r="J1200" s="21">
        <v>3</v>
      </c>
      <c r="K1200" s="21">
        <v>2</v>
      </c>
      <c r="L1200" s="19">
        <v>0</v>
      </c>
      <c r="M1200" s="19">
        <v>0</v>
      </c>
      <c r="N1200" s="19">
        <v>0</v>
      </c>
      <c r="O1200" s="19">
        <v>1</v>
      </c>
      <c r="P1200" s="19">
        <v>0</v>
      </c>
      <c r="Q1200" s="19">
        <v>0</v>
      </c>
      <c r="R1200" s="19">
        <v>0</v>
      </c>
      <c r="S1200" s="19">
        <v>0</v>
      </c>
      <c r="T1200" s="19">
        <v>0</v>
      </c>
      <c r="U1200" s="19">
        <v>1</v>
      </c>
      <c r="V1200" s="19">
        <v>2</v>
      </c>
      <c r="W1200" s="19">
        <v>0</v>
      </c>
      <c r="X1200" s="19">
        <v>2.25</v>
      </c>
      <c r="Y1200" s="19">
        <v>0</v>
      </c>
      <c r="Z1200" s="19">
        <v>1800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1700</v>
      </c>
      <c r="AX1200" s="19" t="s">
        <v>1802</v>
      </c>
      <c r="AY1200" s="19">
        <v>21203020</v>
      </c>
      <c r="AZ1200" s="19">
        <v>21400050</v>
      </c>
      <c r="BA1200" s="20" t="s">
        <v>206</v>
      </c>
      <c r="BB1200" s="19">
        <v>0</v>
      </c>
      <c r="BC1200" s="19">
        <v>0</v>
      </c>
      <c r="BD1200" s="19">
        <v>0</v>
      </c>
      <c r="BE1200" s="186" t="str">
        <f t="shared" si="131"/>
        <v>立即对目标区域的怪物造成225%攻击伤害+1800点固定伤害,并让其附带一个疾风标记,使其受到伤害额外提升20%,持续7秒</v>
      </c>
      <c r="BF1200" s="186" t="s">
        <v>2500</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65012204</v>
      </c>
      <c r="D1201" s="20" t="s">
        <v>2497</v>
      </c>
      <c r="E1201" s="20" t="s">
        <v>2498</v>
      </c>
      <c r="F1201" s="19">
        <v>3</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2.5</v>
      </c>
      <c r="Y1201" s="19">
        <v>0</v>
      </c>
      <c r="Z1201" s="19">
        <v>2800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1700</v>
      </c>
      <c r="AX1201" s="19" t="s">
        <v>1802</v>
      </c>
      <c r="AY1201" s="19">
        <v>21203020</v>
      </c>
      <c r="AZ1201" s="19">
        <v>21400050</v>
      </c>
      <c r="BA1201" s="20" t="s">
        <v>206</v>
      </c>
      <c r="BB1201" s="19">
        <v>0</v>
      </c>
      <c r="BC1201" s="19">
        <v>0</v>
      </c>
      <c r="BD1201" s="19">
        <v>0</v>
      </c>
      <c r="BE1201" s="186" t="str">
        <f t="shared" si="131"/>
        <v>立即对目标区域的怪物造成250%攻击伤害+2800点固定伤害,并让其附带一个疾风标记,使其受到伤害额外提升20%,持续7秒</v>
      </c>
      <c r="BF1201" s="186" t="s">
        <v>2501</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65012205</v>
      </c>
      <c r="D1202" s="20" t="s">
        <v>2497</v>
      </c>
      <c r="E1202" s="20" t="s">
        <v>2498</v>
      </c>
      <c r="F1202" s="19">
        <v>4</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2.75</v>
      </c>
      <c r="Y1202" s="19">
        <v>0</v>
      </c>
      <c r="Z1202" s="19">
        <v>4000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1700</v>
      </c>
      <c r="AX1202" s="19" t="s">
        <v>1802</v>
      </c>
      <c r="AY1202" s="19">
        <v>21203020</v>
      </c>
      <c r="AZ1202" s="19">
        <v>21400050</v>
      </c>
      <c r="BA1202" s="20" t="s">
        <v>206</v>
      </c>
      <c r="BB1202" s="19">
        <v>0</v>
      </c>
      <c r="BC1202" s="19">
        <v>0</v>
      </c>
      <c r="BD1202" s="19">
        <v>0</v>
      </c>
      <c r="BE1202" s="186" t="str">
        <f t="shared" si="131"/>
        <v>立即对目标区域的怪物造成275%攻击伤害+4000点固定伤害,并让其附带一个疾风标记,使其受到伤害额外提升20%,持续7秒</v>
      </c>
      <c r="BF1202" s="186" t="s">
        <v>2502</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65012206</v>
      </c>
      <c r="D1203" s="20" t="s">
        <v>2497</v>
      </c>
      <c r="E1203" s="20" t="s">
        <v>2498</v>
      </c>
      <c r="F1203" s="19">
        <v>5</v>
      </c>
      <c r="G1203" s="19">
        <v>65012201</v>
      </c>
      <c r="H1203" s="19">
        <v>0</v>
      </c>
      <c r="I1203" s="19">
        <v>0</v>
      </c>
      <c r="J1203" s="21">
        <v>3</v>
      </c>
      <c r="K1203" s="21">
        <v>0</v>
      </c>
      <c r="L1203" s="19">
        <v>0</v>
      </c>
      <c r="M1203" s="19">
        <v>0</v>
      </c>
      <c r="N1203" s="19">
        <v>0</v>
      </c>
      <c r="O1203" s="19">
        <v>1</v>
      </c>
      <c r="P1203" s="19">
        <v>0</v>
      </c>
      <c r="Q1203" s="19">
        <v>0</v>
      </c>
      <c r="R1203" s="19">
        <v>0</v>
      </c>
      <c r="S1203" s="19">
        <v>0</v>
      </c>
      <c r="T1203" s="19">
        <v>0</v>
      </c>
      <c r="U1203" s="19">
        <v>1</v>
      </c>
      <c r="V1203" s="19">
        <v>2</v>
      </c>
      <c r="W1203" s="19">
        <v>0</v>
      </c>
      <c r="X1203" s="19">
        <v>3</v>
      </c>
      <c r="Y1203" s="19">
        <v>0</v>
      </c>
      <c r="Z1203" s="19">
        <v>5200</v>
      </c>
      <c r="AA1203" s="19">
        <v>0</v>
      </c>
      <c r="AB1203" s="32">
        <v>15</v>
      </c>
      <c r="AC1203" s="19">
        <v>0</v>
      </c>
      <c r="AD1203" s="19">
        <v>0</v>
      </c>
      <c r="AE1203" s="19">
        <v>0</v>
      </c>
      <c r="AF1203" s="19">
        <v>15</v>
      </c>
      <c r="AG1203" s="19">
        <v>0</v>
      </c>
      <c r="AH1203" s="73">
        <v>4</v>
      </c>
      <c r="AI1203" s="19">
        <v>2</v>
      </c>
      <c r="AJ1203" s="19">
        <v>1</v>
      </c>
      <c r="AK1203" s="19">
        <v>0</v>
      </c>
      <c r="AL1203" s="19">
        <v>8</v>
      </c>
      <c r="AM1203" s="19">
        <v>0</v>
      </c>
      <c r="AN1203" s="19">
        <v>0</v>
      </c>
      <c r="AO1203" s="19">
        <v>0</v>
      </c>
      <c r="AP1203" s="19">
        <v>0.25</v>
      </c>
      <c r="AQ1203" s="19">
        <v>1000</v>
      </c>
      <c r="AR1203" s="19">
        <v>0</v>
      </c>
      <c r="AS1203" s="19">
        <v>0</v>
      </c>
      <c r="AT1203" s="19">
        <v>0</v>
      </c>
      <c r="AU1203" s="19">
        <v>92040040</v>
      </c>
      <c r="AV1203" s="19"/>
      <c r="AW1203" s="20" t="s">
        <v>1700</v>
      </c>
      <c r="AX1203" s="19" t="s">
        <v>1802</v>
      </c>
      <c r="AY1203" s="19">
        <v>21203020</v>
      </c>
      <c r="AZ1203" s="19">
        <v>21400050</v>
      </c>
      <c r="BA1203" s="20" t="s">
        <v>206</v>
      </c>
      <c r="BB1203" s="19">
        <v>0</v>
      </c>
      <c r="BC1203" s="19">
        <v>0</v>
      </c>
      <c r="BD1203" s="19">
        <v>0</v>
      </c>
      <c r="BE1203" s="186" t="str">
        <f t="shared" si="131"/>
        <v>立即对目标区域的怪物造成300%攻击伤害+5200点固定伤害,并让其附带一个疾风标记,使其受到伤害额外提升20%,持续7秒</v>
      </c>
      <c r="BF1203" s="186" t="s">
        <v>5682</v>
      </c>
      <c r="BG1203" s="19">
        <v>0</v>
      </c>
      <c r="BH1203" s="19">
        <v>0</v>
      </c>
      <c r="BI1203" s="19">
        <v>0</v>
      </c>
      <c r="BJ1203" s="19">
        <v>0</v>
      </c>
      <c r="BK1203" s="19">
        <v>0</v>
      </c>
      <c r="BL1203" s="19">
        <v>0</v>
      </c>
      <c r="BM1203" s="187">
        <v>0</v>
      </c>
      <c r="BN1203" s="19">
        <v>0</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65012301</v>
      </c>
      <c r="D1204" s="20" t="s">
        <v>2503</v>
      </c>
      <c r="E1204" s="20" t="s">
        <v>2504</v>
      </c>
      <c r="F1204" s="19">
        <v>0</v>
      </c>
      <c r="G1204" s="19">
        <v>65012301</v>
      </c>
      <c r="H1204" s="19">
        <v>65012302</v>
      </c>
      <c r="I1204" s="19">
        <v>0</v>
      </c>
      <c r="J1204" s="21">
        <v>5</v>
      </c>
      <c r="K1204" s="21">
        <v>5</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29" t="s">
        <v>2505</v>
      </c>
      <c r="AU1204" s="19" t="s">
        <v>204</v>
      </c>
      <c r="AV1204" s="19"/>
      <c r="AW1204" s="20" t="s">
        <v>205</v>
      </c>
      <c r="AX1204" s="19" t="s">
        <v>1582</v>
      </c>
      <c r="AY1204" s="19">
        <v>0</v>
      </c>
      <c r="AZ1204" s="19">
        <v>21400060</v>
      </c>
      <c r="BA1204" s="20" t="s">
        <v>206</v>
      </c>
      <c r="BB1204" s="19" t="s">
        <v>204</v>
      </c>
      <c r="BC1204" s="19">
        <v>0</v>
      </c>
      <c r="BD1204" s="19">
        <v>1</v>
      </c>
      <c r="BE1204" s="186" t="s">
        <v>2506</v>
      </c>
      <c r="BF1204" s="186" t="s">
        <v>2507</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65012302</v>
      </c>
      <c r="D1205" s="20" t="s">
        <v>2503</v>
      </c>
      <c r="E1205" s="20" t="s">
        <v>2504</v>
      </c>
      <c r="F1205" s="19">
        <v>1</v>
      </c>
      <c r="G1205" s="19">
        <v>65012301</v>
      </c>
      <c r="H1205" s="19">
        <v>65012303</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29" t="s">
        <v>2505</v>
      </c>
      <c r="AU1205" s="19" t="s">
        <v>204</v>
      </c>
      <c r="AV1205" s="19"/>
      <c r="AW1205" s="20" t="s">
        <v>205</v>
      </c>
      <c r="AX1205" s="19" t="s">
        <v>1582</v>
      </c>
      <c r="AY1205" s="19">
        <v>0</v>
      </c>
      <c r="AZ1205" s="19">
        <v>21400060</v>
      </c>
      <c r="BA1205" s="20" t="s">
        <v>206</v>
      </c>
      <c r="BB1205" s="19" t="s">
        <v>204</v>
      </c>
      <c r="BC1205" s="19">
        <v>0</v>
      </c>
      <c r="BD1205" s="19">
        <v>1</v>
      </c>
      <c r="BE1205" s="186" t="s">
        <v>2506</v>
      </c>
      <c r="BF1205" s="186" t="s">
        <v>2507</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65012303</v>
      </c>
      <c r="D1206" s="20" t="s">
        <v>2503</v>
      </c>
      <c r="E1206" s="20" t="s">
        <v>2504</v>
      </c>
      <c r="F1206" s="19">
        <v>2</v>
      </c>
      <c r="G1206" s="19">
        <v>65012301</v>
      </c>
      <c r="H1206" s="19">
        <v>65012304</v>
      </c>
      <c r="I1206" s="19">
        <v>0</v>
      </c>
      <c r="J1206" s="21">
        <v>5</v>
      </c>
      <c r="K1206" s="21">
        <v>2</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29" t="s">
        <v>2505</v>
      </c>
      <c r="AU1206" s="19" t="s">
        <v>204</v>
      </c>
      <c r="AV1206" s="19"/>
      <c r="AW1206" s="20" t="s">
        <v>205</v>
      </c>
      <c r="AX1206" s="19" t="s">
        <v>1582</v>
      </c>
      <c r="AY1206" s="19">
        <v>0</v>
      </c>
      <c r="AZ1206" s="19">
        <v>21400060</v>
      </c>
      <c r="BA1206" s="20" t="s">
        <v>206</v>
      </c>
      <c r="BB1206" s="19" t="s">
        <v>204</v>
      </c>
      <c r="BC1206" s="19">
        <v>0</v>
      </c>
      <c r="BD1206" s="19">
        <v>1</v>
      </c>
      <c r="BE1206" s="186" t="s">
        <v>2506</v>
      </c>
      <c r="BF1206" s="186" t="s">
        <v>2507</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65012304</v>
      </c>
      <c r="D1207" s="20" t="s">
        <v>2503</v>
      </c>
      <c r="E1207" s="20" t="s">
        <v>2504</v>
      </c>
      <c r="F1207" s="19">
        <v>3</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29" t="s">
        <v>2505</v>
      </c>
      <c r="AU1207" s="19" t="s">
        <v>204</v>
      </c>
      <c r="AV1207" s="19"/>
      <c r="AW1207" s="20" t="s">
        <v>205</v>
      </c>
      <c r="AX1207" s="19" t="s">
        <v>1582</v>
      </c>
      <c r="AY1207" s="19">
        <v>0</v>
      </c>
      <c r="AZ1207" s="19">
        <v>21400060</v>
      </c>
      <c r="BA1207" s="20" t="s">
        <v>206</v>
      </c>
      <c r="BB1207" s="19" t="s">
        <v>204</v>
      </c>
      <c r="BC1207" s="19">
        <v>0</v>
      </c>
      <c r="BD1207" s="19">
        <v>1</v>
      </c>
      <c r="BE1207" s="186" t="s">
        <v>2506</v>
      </c>
      <c r="BF1207" s="186" t="s">
        <v>2507</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65012305</v>
      </c>
      <c r="D1208" s="20" t="s">
        <v>2503</v>
      </c>
      <c r="E1208" s="20" t="s">
        <v>2504</v>
      </c>
      <c r="F1208" s="19">
        <v>4</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29" t="s">
        <v>2505</v>
      </c>
      <c r="AU1208" s="19" t="s">
        <v>204</v>
      </c>
      <c r="AV1208" s="19"/>
      <c r="AW1208" s="20" t="s">
        <v>205</v>
      </c>
      <c r="AX1208" s="19" t="s">
        <v>1582</v>
      </c>
      <c r="AY1208" s="19">
        <v>0</v>
      </c>
      <c r="AZ1208" s="19">
        <v>21400060</v>
      </c>
      <c r="BA1208" s="20" t="s">
        <v>206</v>
      </c>
      <c r="BB1208" s="19" t="s">
        <v>204</v>
      </c>
      <c r="BC1208" s="19">
        <v>0</v>
      </c>
      <c r="BD1208" s="19">
        <v>1</v>
      </c>
      <c r="BE1208" s="186" t="s">
        <v>2506</v>
      </c>
      <c r="BF1208" s="186" t="s">
        <v>2507</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20.100000000000001" customHeight="1">
      <c r="C1209" s="19">
        <v>65012306</v>
      </c>
      <c r="D1209" s="20" t="s">
        <v>2503</v>
      </c>
      <c r="E1209" s="20" t="s">
        <v>2504</v>
      </c>
      <c r="F1209" s="19">
        <v>5</v>
      </c>
      <c r="G1209" s="19">
        <v>65012301</v>
      </c>
      <c r="H1209" s="19">
        <v>0</v>
      </c>
      <c r="I1209" s="19">
        <v>0</v>
      </c>
      <c r="J1209" s="21">
        <v>5</v>
      </c>
      <c r="K1209" s="21">
        <v>0</v>
      </c>
      <c r="L1209" s="19">
        <v>0</v>
      </c>
      <c r="M1209" s="19">
        <v>0</v>
      </c>
      <c r="N1209" s="19">
        <v>0</v>
      </c>
      <c r="O1209" s="19">
        <v>2</v>
      </c>
      <c r="P1209" s="19">
        <v>15</v>
      </c>
      <c r="Q1209" s="19">
        <v>1</v>
      </c>
      <c r="R1209" s="19">
        <v>0</v>
      </c>
      <c r="S1209" s="19">
        <v>0</v>
      </c>
      <c r="T1209" s="19">
        <v>0</v>
      </c>
      <c r="U1209" s="19">
        <v>1</v>
      </c>
      <c r="V1209" s="19">
        <v>2</v>
      </c>
      <c r="W1209" s="19">
        <v>0</v>
      </c>
      <c r="X1209" s="19">
        <v>0</v>
      </c>
      <c r="Y1209" s="19">
        <v>0</v>
      </c>
      <c r="Z1209" s="19">
        <v>0</v>
      </c>
      <c r="AA1209" s="19">
        <v>0</v>
      </c>
      <c r="AB1209" s="21">
        <v>20</v>
      </c>
      <c r="AC1209" s="19">
        <v>0</v>
      </c>
      <c r="AD1209" s="19">
        <v>0</v>
      </c>
      <c r="AE1209" s="19">
        <v>0</v>
      </c>
      <c r="AF1209" s="19">
        <v>12</v>
      </c>
      <c r="AG1209" s="19">
        <v>0</v>
      </c>
      <c r="AH1209" s="73">
        <v>0</v>
      </c>
      <c r="AI1209" s="19">
        <v>2</v>
      </c>
      <c r="AJ1209" s="19">
        <v>1</v>
      </c>
      <c r="AK1209" s="19">
        <v>0</v>
      </c>
      <c r="AL1209" s="19">
        <v>0</v>
      </c>
      <c r="AM1209" s="19">
        <v>0</v>
      </c>
      <c r="AN1209" s="19">
        <v>0</v>
      </c>
      <c r="AO1209" s="19">
        <v>0</v>
      </c>
      <c r="AP1209" s="19">
        <v>0</v>
      </c>
      <c r="AQ1209" s="19">
        <v>1000</v>
      </c>
      <c r="AR1209" s="19">
        <v>0</v>
      </c>
      <c r="AS1209" s="19">
        <v>0</v>
      </c>
      <c r="AT1209" s="329" t="s">
        <v>2505</v>
      </c>
      <c r="AU1209" s="19" t="s">
        <v>204</v>
      </c>
      <c r="AV1209" s="19"/>
      <c r="AW1209" s="20" t="s">
        <v>205</v>
      </c>
      <c r="AX1209" s="19" t="s">
        <v>1582</v>
      </c>
      <c r="AY1209" s="19">
        <v>0</v>
      </c>
      <c r="AZ1209" s="19">
        <v>21400060</v>
      </c>
      <c r="BA1209" s="20" t="s">
        <v>206</v>
      </c>
      <c r="BB1209" s="19" t="s">
        <v>204</v>
      </c>
      <c r="BC1209" s="19">
        <v>0</v>
      </c>
      <c r="BD1209" s="19">
        <v>1</v>
      </c>
      <c r="BE1209" s="186" t="s">
        <v>2506</v>
      </c>
      <c r="BF1209" s="186" t="s">
        <v>2507</v>
      </c>
      <c r="BG1209" s="19">
        <v>0</v>
      </c>
      <c r="BH1209" s="19">
        <v>0</v>
      </c>
      <c r="BI1209" s="19">
        <v>0</v>
      </c>
      <c r="BJ1209" s="19">
        <v>0</v>
      </c>
      <c r="BK1209" s="19">
        <v>0</v>
      </c>
      <c r="BL1209" s="19">
        <v>0</v>
      </c>
      <c r="BM1209" s="187">
        <v>0</v>
      </c>
      <c r="BN1209" s="19">
        <v>1</v>
      </c>
      <c r="BO1209" s="19">
        <v>0</v>
      </c>
      <c r="BP1209" s="19">
        <v>0</v>
      </c>
      <c r="BQ1209" s="19">
        <v>0</v>
      </c>
      <c r="BR1209" s="19">
        <v>0</v>
      </c>
      <c r="BS1209" s="19">
        <v>0</v>
      </c>
      <c r="BT1209" s="19">
        <v>0</v>
      </c>
      <c r="BU1209" s="23">
        <v>0</v>
      </c>
      <c r="BV1209" s="23"/>
      <c r="BW1209" s="23"/>
      <c r="BX1209" s="23"/>
      <c r="BY1209" s="23"/>
      <c r="BZ1209" s="23"/>
    </row>
    <row r="1210" spans="3:78" ht="19.5" customHeight="1">
      <c r="C1210" s="172">
        <v>65021101</v>
      </c>
      <c r="D1210" s="35" t="s">
        <v>2508</v>
      </c>
      <c r="E1210" s="35" t="s">
        <v>2509</v>
      </c>
      <c r="F1210" s="21">
        <v>0</v>
      </c>
      <c r="G1210" s="19">
        <v>65021101</v>
      </c>
      <c r="H1210" s="172">
        <v>65021102</v>
      </c>
      <c r="I1210" s="31">
        <v>0</v>
      </c>
      <c r="J1210" s="21">
        <v>18</v>
      </c>
      <c r="K1210" s="21">
        <v>5</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39" t="s">
        <v>2510</v>
      </c>
      <c r="AV1210" s="32"/>
      <c r="AW1210" s="35" t="s">
        <v>262</v>
      </c>
      <c r="AX1210" s="32" t="s">
        <v>551</v>
      </c>
      <c r="AY1210" s="32">
        <v>10001007</v>
      </c>
      <c r="AZ1210" s="32">
        <v>21401010</v>
      </c>
      <c r="BA1210" s="35" t="s">
        <v>206</v>
      </c>
      <c r="BB1210" s="35">
        <v>0</v>
      </c>
      <c r="BC1210" s="31">
        <v>0</v>
      </c>
      <c r="BD1210" s="31">
        <v>0</v>
      </c>
      <c r="BE1210" s="185" t="str">
        <f>"立即对前方范围内的敌人造成"&amp;X1210*100&amp;"%攻击伤害+"&amp;Z1210&amp;"点固定伤害,并将其置空1秒"</f>
        <v>立即对前方范围内的敌人造成275%攻击伤害+1000点固定伤害,并将其置空1秒</v>
      </c>
      <c r="BF1210" s="185" t="s">
        <v>2511</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65021102</v>
      </c>
      <c r="D1211" s="35" t="s">
        <v>2508</v>
      </c>
      <c r="E1211" s="35" t="s">
        <v>2509</v>
      </c>
      <c r="F1211" s="21">
        <v>1</v>
      </c>
      <c r="G1211" s="19">
        <v>65021101</v>
      </c>
      <c r="H1211" s="172">
        <v>65021103</v>
      </c>
      <c r="I1211" s="31">
        <v>0</v>
      </c>
      <c r="J1211" s="21">
        <v>27</v>
      </c>
      <c r="K1211" s="21">
        <v>2</v>
      </c>
      <c r="L1211" s="21">
        <v>0</v>
      </c>
      <c r="M1211" s="32">
        <v>0</v>
      </c>
      <c r="N1211" s="32">
        <v>0</v>
      </c>
      <c r="O1211" s="32">
        <v>1</v>
      </c>
      <c r="P1211" s="32">
        <v>0</v>
      </c>
      <c r="Q1211" s="32">
        <v>0</v>
      </c>
      <c r="R1211" s="32">
        <v>0</v>
      </c>
      <c r="S1211" s="19">
        <v>0</v>
      </c>
      <c r="T1211" s="31">
        <v>0</v>
      </c>
      <c r="U1211" s="21">
        <v>1</v>
      </c>
      <c r="V1211" s="32">
        <v>2</v>
      </c>
      <c r="W1211" s="32">
        <v>0</v>
      </c>
      <c r="X1211" s="32">
        <v>2.75</v>
      </c>
      <c r="Y1211" s="19">
        <v>0</v>
      </c>
      <c r="Z1211" s="32">
        <v>1000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39" t="s">
        <v>2510</v>
      </c>
      <c r="AV1211" s="32"/>
      <c r="AW1211" s="35" t="s">
        <v>262</v>
      </c>
      <c r="AX1211" s="32" t="s">
        <v>551</v>
      </c>
      <c r="AY1211" s="32">
        <v>10001007</v>
      </c>
      <c r="AZ1211" s="32">
        <v>21401010</v>
      </c>
      <c r="BA1211" s="35" t="s">
        <v>206</v>
      </c>
      <c r="BB1211" s="35">
        <v>0</v>
      </c>
      <c r="BC1211" s="31">
        <v>0</v>
      </c>
      <c r="BD1211" s="31">
        <v>0</v>
      </c>
      <c r="BE1211" s="185" t="str">
        <f t="shared" ref="BE1211:BE1215" si="132">"立即对前方范围内的敌人造成"&amp;X1211*100&amp;"%攻击伤害+"&amp;Z1211&amp;"点固定伤害,并将其置空1秒"</f>
        <v>立即对前方范围内的敌人造成275%攻击伤害+1000点固定伤害,并将其置空1秒</v>
      </c>
      <c r="BF1211" s="185" t="s">
        <v>2511</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65021103</v>
      </c>
      <c r="D1212" s="35" t="s">
        <v>2508</v>
      </c>
      <c r="E1212" s="35" t="s">
        <v>2509</v>
      </c>
      <c r="F1212" s="21">
        <v>2</v>
      </c>
      <c r="G1212" s="19">
        <v>65021101</v>
      </c>
      <c r="H1212" s="172">
        <v>65021104</v>
      </c>
      <c r="I1212" s="31">
        <v>0</v>
      </c>
      <c r="J1212" s="21">
        <v>32</v>
      </c>
      <c r="K1212" s="21">
        <v>2</v>
      </c>
      <c r="L1212" s="21">
        <v>0</v>
      </c>
      <c r="M1212" s="32">
        <v>0</v>
      </c>
      <c r="N1212" s="32">
        <v>0</v>
      </c>
      <c r="O1212" s="32">
        <v>1</v>
      </c>
      <c r="P1212" s="32">
        <v>0</v>
      </c>
      <c r="Q1212" s="32">
        <v>0</v>
      </c>
      <c r="R1212" s="32">
        <v>0</v>
      </c>
      <c r="S1212" s="19">
        <v>0</v>
      </c>
      <c r="T1212" s="31">
        <v>0</v>
      </c>
      <c r="U1212" s="21">
        <v>1</v>
      </c>
      <c r="V1212" s="32">
        <v>2</v>
      </c>
      <c r="W1212" s="32">
        <v>0</v>
      </c>
      <c r="X1212" s="32">
        <v>3</v>
      </c>
      <c r="Y1212" s="19">
        <v>0</v>
      </c>
      <c r="Z1212" s="32">
        <v>1500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39" t="s">
        <v>2510</v>
      </c>
      <c r="AV1212" s="32"/>
      <c r="AW1212" s="35" t="s">
        <v>262</v>
      </c>
      <c r="AX1212" s="32" t="s">
        <v>551</v>
      </c>
      <c r="AY1212" s="32">
        <v>10001007</v>
      </c>
      <c r="AZ1212" s="32">
        <v>21401010</v>
      </c>
      <c r="BA1212" s="35" t="s">
        <v>206</v>
      </c>
      <c r="BB1212" s="35">
        <v>0</v>
      </c>
      <c r="BC1212" s="31">
        <v>0</v>
      </c>
      <c r="BD1212" s="31">
        <v>0</v>
      </c>
      <c r="BE1212" s="185" t="str">
        <f t="shared" si="132"/>
        <v>立即对前方范围内的敌人造成300%攻击伤害+1500点固定伤害,并将其置空1秒</v>
      </c>
      <c r="BF1212" s="185" t="s">
        <v>2512</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65021104</v>
      </c>
      <c r="D1213" s="35" t="s">
        <v>2508</v>
      </c>
      <c r="E1213" s="35" t="s">
        <v>2509</v>
      </c>
      <c r="F1213" s="21">
        <v>3</v>
      </c>
      <c r="G1213" s="19">
        <v>65021101</v>
      </c>
      <c r="H1213" s="21">
        <v>0</v>
      </c>
      <c r="I1213" s="31">
        <v>0</v>
      </c>
      <c r="J1213" s="21">
        <v>0</v>
      </c>
      <c r="K1213" s="182">
        <v>0</v>
      </c>
      <c r="L1213" s="21">
        <v>0</v>
      </c>
      <c r="M1213" s="32">
        <v>0</v>
      </c>
      <c r="N1213" s="32">
        <v>0</v>
      </c>
      <c r="O1213" s="32">
        <v>1</v>
      </c>
      <c r="P1213" s="32">
        <v>0</v>
      </c>
      <c r="Q1213" s="32">
        <v>0</v>
      </c>
      <c r="R1213" s="32">
        <v>0</v>
      </c>
      <c r="S1213" s="19">
        <v>0</v>
      </c>
      <c r="T1213" s="31">
        <v>0</v>
      </c>
      <c r="U1213" s="21">
        <v>1</v>
      </c>
      <c r="V1213" s="32">
        <v>2</v>
      </c>
      <c r="W1213" s="32">
        <v>0</v>
      </c>
      <c r="X1213" s="32">
        <v>3.3</v>
      </c>
      <c r="Y1213" s="19">
        <v>0</v>
      </c>
      <c r="Z1213" s="32">
        <v>2000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39" t="s">
        <v>2510</v>
      </c>
      <c r="AV1213" s="32"/>
      <c r="AW1213" s="35" t="s">
        <v>262</v>
      </c>
      <c r="AX1213" s="32" t="s">
        <v>551</v>
      </c>
      <c r="AY1213" s="32">
        <v>10001007</v>
      </c>
      <c r="AZ1213" s="32">
        <v>21401010</v>
      </c>
      <c r="BA1213" s="35" t="s">
        <v>206</v>
      </c>
      <c r="BB1213" s="35">
        <v>0</v>
      </c>
      <c r="BC1213" s="31">
        <v>0</v>
      </c>
      <c r="BD1213" s="31">
        <v>0</v>
      </c>
      <c r="BE1213" s="185" t="str">
        <f t="shared" si="132"/>
        <v>立即对前方范围内的敌人造成330%攻击伤害+2000点固定伤害,并将其置空1秒</v>
      </c>
      <c r="BF1213" s="185" t="s">
        <v>2513</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65021105</v>
      </c>
      <c r="D1214" s="35" t="s">
        <v>2508</v>
      </c>
      <c r="E1214" s="35" t="s">
        <v>2509</v>
      </c>
      <c r="F1214" s="21">
        <v>4</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3.6</v>
      </c>
      <c r="Y1214" s="19">
        <v>0</v>
      </c>
      <c r="Z1214" s="32">
        <v>2750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39" t="s">
        <v>2510</v>
      </c>
      <c r="AV1214" s="32"/>
      <c r="AW1214" s="35" t="s">
        <v>262</v>
      </c>
      <c r="AX1214" s="32" t="s">
        <v>551</v>
      </c>
      <c r="AY1214" s="32">
        <v>10001007</v>
      </c>
      <c r="AZ1214" s="32">
        <v>21401010</v>
      </c>
      <c r="BA1214" s="35" t="s">
        <v>206</v>
      </c>
      <c r="BB1214" s="35">
        <v>0</v>
      </c>
      <c r="BC1214" s="31">
        <v>0</v>
      </c>
      <c r="BD1214" s="31">
        <v>0</v>
      </c>
      <c r="BE1214" s="185" t="str">
        <f t="shared" si="132"/>
        <v>立即对前方范围内的敌人造成360%攻击伤害+2750点固定伤害,并将其置空1秒</v>
      </c>
      <c r="BF1214" s="185" t="s">
        <v>2514</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19.5" customHeight="1">
      <c r="C1215" s="172">
        <v>65021106</v>
      </c>
      <c r="D1215" s="35" t="s">
        <v>2508</v>
      </c>
      <c r="E1215" s="35" t="s">
        <v>2509</v>
      </c>
      <c r="F1215" s="21">
        <v>5</v>
      </c>
      <c r="G1215" s="19">
        <v>65021101</v>
      </c>
      <c r="H1215" s="21">
        <v>0</v>
      </c>
      <c r="I1215" s="31">
        <v>0</v>
      </c>
      <c r="J1215" s="21">
        <v>0</v>
      </c>
      <c r="K1215" s="21">
        <v>0</v>
      </c>
      <c r="L1215" s="21">
        <v>0</v>
      </c>
      <c r="M1215" s="32">
        <v>0</v>
      </c>
      <c r="N1215" s="32">
        <v>0</v>
      </c>
      <c r="O1215" s="32">
        <v>1</v>
      </c>
      <c r="P1215" s="32">
        <v>0</v>
      </c>
      <c r="Q1215" s="32">
        <v>0</v>
      </c>
      <c r="R1215" s="32">
        <v>0</v>
      </c>
      <c r="S1215" s="19">
        <v>0</v>
      </c>
      <c r="T1215" s="31">
        <v>0</v>
      </c>
      <c r="U1215" s="21">
        <v>1</v>
      </c>
      <c r="V1215" s="32">
        <v>2</v>
      </c>
      <c r="W1215" s="32">
        <v>0</v>
      </c>
      <c r="X1215" s="32">
        <v>4</v>
      </c>
      <c r="Y1215" s="19">
        <v>0</v>
      </c>
      <c r="Z1215" s="32">
        <v>3500</v>
      </c>
      <c r="AA1215" s="32">
        <v>0</v>
      </c>
      <c r="AB1215" s="32">
        <v>15</v>
      </c>
      <c r="AC1215" s="32">
        <v>0</v>
      </c>
      <c r="AD1215" s="32">
        <v>0</v>
      </c>
      <c r="AE1215" s="32">
        <v>0</v>
      </c>
      <c r="AF1215" s="32">
        <v>9</v>
      </c>
      <c r="AG1215" s="32">
        <v>2</v>
      </c>
      <c r="AH1215" s="32" t="s">
        <v>807</v>
      </c>
      <c r="AI1215" s="19">
        <v>2</v>
      </c>
      <c r="AJ1215" s="19">
        <v>3</v>
      </c>
      <c r="AK1215" s="19">
        <v>0</v>
      </c>
      <c r="AL1215" s="19">
        <v>2</v>
      </c>
      <c r="AM1215" s="32">
        <v>0</v>
      </c>
      <c r="AN1215" s="32">
        <v>0</v>
      </c>
      <c r="AO1215" s="32">
        <v>0</v>
      </c>
      <c r="AP1215" s="32">
        <v>0.25</v>
      </c>
      <c r="AQ1215" s="32">
        <v>3000</v>
      </c>
      <c r="AR1215" s="32">
        <v>0.1</v>
      </c>
      <c r="AS1215" s="32">
        <v>0</v>
      </c>
      <c r="AT1215" s="19">
        <v>0</v>
      </c>
      <c r="AU1215" s="339" t="s">
        <v>2510</v>
      </c>
      <c r="AV1215" s="32"/>
      <c r="AW1215" s="35" t="s">
        <v>262</v>
      </c>
      <c r="AX1215" s="32" t="s">
        <v>551</v>
      </c>
      <c r="AY1215" s="32">
        <v>10001007</v>
      </c>
      <c r="AZ1215" s="32">
        <v>21401010</v>
      </c>
      <c r="BA1215" s="35" t="s">
        <v>206</v>
      </c>
      <c r="BB1215" s="35">
        <v>0</v>
      </c>
      <c r="BC1215" s="31">
        <v>0</v>
      </c>
      <c r="BD1215" s="31">
        <v>0</v>
      </c>
      <c r="BE1215" s="185" t="str">
        <f t="shared" si="132"/>
        <v>立即对前方范围内的敌人造成400%攻击伤害+3500点固定伤害,并将其置空1秒</v>
      </c>
      <c r="BF1215" s="185" t="s">
        <v>2515</v>
      </c>
      <c r="BG1215" s="32">
        <v>0</v>
      </c>
      <c r="BH1215" s="21">
        <v>0</v>
      </c>
      <c r="BI1215" s="32">
        <v>0</v>
      </c>
      <c r="BJ1215" s="32">
        <v>0</v>
      </c>
      <c r="BK1215" s="32">
        <v>0</v>
      </c>
      <c r="BL1215" s="32">
        <v>0</v>
      </c>
      <c r="BM1215" s="25">
        <v>0</v>
      </c>
      <c r="BN1215" s="19">
        <v>0</v>
      </c>
      <c r="BO1215" s="19">
        <v>0</v>
      </c>
      <c r="BP1215" s="19">
        <v>0</v>
      </c>
      <c r="BQ1215" s="19">
        <v>0</v>
      </c>
      <c r="BR1215" s="19">
        <v>0</v>
      </c>
      <c r="BS1215" s="19">
        <v>0</v>
      </c>
      <c r="BT1215" s="19">
        <v>0</v>
      </c>
      <c r="BU1215" s="23">
        <v>0</v>
      </c>
      <c r="BV1215" s="23"/>
      <c r="BW1215" s="23"/>
      <c r="BX1215" s="23"/>
      <c r="BY1215" s="23"/>
      <c r="BZ1215" s="23"/>
    </row>
    <row r="1216" spans="3:78" ht="20.100000000000001" customHeight="1">
      <c r="C1216" s="172">
        <v>65021201</v>
      </c>
      <c r="D1216" s="71" t="s">
        <v>2516</v>
      </c>
      <c r="E1216" s="71" t="s">
        <v>2517</v>
      </c>
      <c r="F1216" s="21">
        <v>1</v>
      </c>
      <c r="G1216" s="19">
        <v>65021201</v>
      </c>
      <c r="H1216" s="172">
        <v>65021202</v>
      </c>
      <c r="I1216" s="31">
        <v>0</v>
      </c>
      <c r="J1216" s="21">
        <v>25</v>
      </c>
      <c r="K1216" s="21">
        <v>5</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2518</v>
      </c>
      <c r="AX1216" s="32" t="s">
        <v>1415</v>
      </c>
      <c r="AY1216" s="74">
        <v>0</v>
      </c>
      <c r="AZ1216" s="32">
        <v>21401020</v>
      </c>
      <c r="BA1216" s="71" t="s">
        <v>2519</v>
      </c>
      <c r="BB1216" s="72">
        <v>60</v>
      </c>
      <c r="BC1216" s="75">
        <v>0</v>
      </c>
      <c r="BD1216" s="75">
        <v>0</v>
      </c>
      <c r="BE1216" s="185" t="str">
        <f>"自身变成无敌状态且向前方发射一个能量光柱对前方敌方目标造持续造成"&amp;X1216*100&amp;"%攻击伤害+"&amp;Z1216&amp;"点固定伤害,持续3秒，可以操控转移方向。"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2520</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65021202</v>
      </c>
      <c r="D1217" s="71" t="s">
        <v>2516</v>
      </c>
      <c r="E1217" s="71" t="s">
        <v>2517</v>
      </c>
      <c r="F1217" s="21">
        <v>1</v>
      </c>
      <c r="G1217" s="19">
        <v>65021201</v>
      </c>
      <c r="H1217" s="172">
        <v>65021203</v>
      </c>
      <c r="I1217" s="31">
        <v>0</v>
      </c>
      <c r="J1217" s="21">
        <v>32</v>
      </c>
      <c r="K1217" s="21">
        <v>2</v>
      </c>
      <c r="L1217" s="32">
        <v>0</v>
      </c>
      <c r="M1217" s="72">
        <v>0</v>
      </c>
      <c r="N1217" s="72">
        <v>0</v>
      </c>
      <c r="O1217" s="72">
        <v>1</v>
      </c>
      <c r="P1217" s="72">
        <v>0</v>
      </c>
      <c r="Q1217" s="72">
        <v>0</v>
      </c>
      <c r="R1217" s="72">
        <v>0</v>
      </c>
      <c r="S1217" s="19">
        <v>0</v>
      </c>
      <c r="T1217" s="72">
        <v>0</v>
      </c>
      <c r="U1217" s="21">
        <v>1</v>
      </c>
      <c r="V1217" s="72">
        <v>1</v>
      </c>
      <c r="W1217" s="72">
        <v>0</v>
      </c>
      <c r="X1217" s="72">
        <v>1.5</v>
      </c>
      <c r="Y1217" s="19">
        <v>0</v>
      </c>
      <c r="Z1217" s="72">
        <v>500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2518</v>
      </c>
      <c r="AX1217" s="32" t="s">
        <v>1415</v>
      </c>
      <c r="AY1217" s="74">
        <v>0</v>
      </c>
      <c r="AZ1217" s="32">
        <v>21401020</v>
      </c>
      <c r="BA1217" s="71" t="s">
        <v>2519</v>
      </c>
      <c r="BB1217" s="72">
        <v>60</v>
      </c>
      <c r="BC1217" s="75">
        <v>0</v>
      </c>
      <c r="BD1217" s="75">
        <v>0</v>
      </c>
      <c r="BE1217" s="185" t="str">
        <f t="shared" ref="BE1217:BE1221" si="133">"自身变成无敌状态且向前方发射一个能量光柱对前方敌方目标造持续造成"&amp;X1217*100&amp;"%攻击伤害+"&amp;Z1217&amp;"点固定伤害,持续3秒，可以操控转移方向。"</f>
        <v>自身变成无敌状态且向前方发射一个能量光柱对前方敌方目标造持续造成150%攻击伤害+500点固定伤害,持续3秒，可以操控转移方向。</v>
      </c>
      <c r="BF1217" s="76" t="s">
        <v>2520</v>
      </c>
      <c r="BG1217" s="72">
        <v>0</v>
      </c>
      <c r="BH1217" s="21">
        <v>0</v>
      </c>
      <c r="BI1217" s="72">
        <v>0</v>
      </c>
      <c r="BJ1217" s="72">
        <v>0</v>
      </c>
      <c r="BK1217" s="72">
        <v>0</v>
      </c>
      <c r="BL1217" s="72">
        <v>0</v>
      </c>
      <c r="BM1217" s="21">
        <v>0</v>
      </c>
      <c r="BN1217" s="19">
        <v>0</v>
      </c>
      <c r="BO1217" s="19">
        <v>0</v>
      </c>
      <c r="BP1217" s="19">
        <v>500</v>
      </c>
      <c r="BQ1217" s="19">
        <v>1.5</v>
      </c>
      <c r="BR1217" s="19">
        <v>500</v>
      </c>
      <c r="BS1217" s="19">
        <v>0</v>
      </c>
      <c r="BT1217" s="19">
        <v>0</v>
      </c>
      <c r="BU1217" s="23">
        <v>0</v>
      </c>
      <c r="BV1217" s="23"/>
      <c r="BW1217" s="23"/>
      <c r="BX1217" s="23"/>
      <c r="BY1217" s="23"/>
      <c r="BZ1217" s="23"/>
    </row>
    <row r="1218" spans="3:78" ht="20.100000000000001" customHeight="1">
      <c r="C1218" s="172">
        <v>65021203</v>
      </c>
      <c r="D1218" s="71" t="s">
        <v>2516</v>
      </c>
      <c r="E1218" s="71" t="s">
        <v>2517</v>
      </c>
      <c r="F1218" s="21">
        <v>1</v>
      </c>
      <c r="G1218" s="19">
        <v>65021201</v>
      </c>
      <c r="H1218" s="172">
        <v>65021204</v>
      </c>
      <c r="I1218" s="31">
        <v>0</v>
      </c>
      <c r="J1218" s="21">
        <v>37</v>
      </c>
      <c r="K1218" s="21">
        <v>2</v>
      </c>
      <c r="L1218" s="32">
        <v>0</v>
      </c>
      <c r="M1218" s="72">
        <v>0</v>
      </c>
      <c r="N1218" s="72">
        <v>0</v>
      </c>
      <c r="O1218" s="72">
        <v>1</v>
      </c>
      <c r="P1218" s="72">
        <v>0</v>
      </c>
      <c r="Q1218" s="72">
        <v>0</v>
      </c>
      <c r="R1218" s="72">
        <v>0</v>
      </c>
      <c r="S1218" s="19">
        <v>0</v>
      </c>
      <c r="T1218" s="72">
        <v>0</v>
      </c>
      <c r="U1218" s="21">
        <v>1</v>
      </c>
      <c r="V1218" s="72">
        <v>1</v>
      </c>
      <c r="W1218" s="72">
        <v>0</v>
      </c>
      <c r="X1218" s="72">
        <v>1.65</v>
      </c>
      <c r="Y1218" s="19">
        <v>0</v>
      </c>
      <c r="Z1218" s="72">
        <v>750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2518</v>
      </c>
      <c r="AX1218" s="32" t="s">
        <v>1415</v>
      </c>
      <c r="AY1218" s="74">
        <v>0</v>
      </c>
      <c r="AZ1218" s="32">
        <v>21401020</v>
      </c>
      <c r="BA1218" s="71" t="s">
        <v>2519</v>
      </c>
      <c r="BB1218" s="72">
        <v>60</v>
      </c>
      <c r="BC1218" s="75">
        <v>0</v>
      </c>
      <c r="BD1218" s="75">
        <v>0</v>
      </c>
      <c r="BE1218" s="185" t="str">
        <f t="shared" si="133"/>
        <v>自身变成无敌状态且向前方发射一个能量光柱对前方敌方目标造持续造成165%攻击伤害+750点固定伤害,持续3秒，可以操控转移方向。</v>
      </c>
      <c r="BF1218" s="76" t="s">
        <v>2521</v>
      </c>
      <c r="BG1218" s="72">
        <v>0</v>
      </c>
      <c r="BH1218" s="21">
        <v>0</v>
      </c>
      <c r="BI1218" s="72">
        <v>0</v>
      </c>
      <c r="BJ1218" s="72">
        <v>0</v>
      </c>
      <c r="BK1218" s="72">
        <v>0</v>
      </c>
      <c r="BL1218" s="72">
        <v>0</v>
      </c>
      <c r="BM1218" s="21">
        <v>0</v>
      </c>
      <c r="BN1218" s="19">
        <v>0</v>
      </c>
      <c r="BO1218" s="19">
        <v>0</v>
      </c>
      <c r="BP1218" s="19">
        <v>500</v>
      </c>
      <c r="BQ1218" s="19">
        <v>1.65</v>
      </c>
      <c r="BR1218" s="19">
        <v>750</v>
      </c>
      <c r="BS1218" s="19">
        <v>0</v>
      </c>
      <c r="BT1218" s="19">
        <v>0</v>
      </c>
      <c r="BU1218" s="23">
        <v>0</v>
      </c>
      <c r="BV1218" s="23"/>
      <c r="BW1218" s="23"/>
      <c r="BX1218" s="23"/>
      <c r="BY1218" s="23"/>
      <c r="BZ1218" s="23"/>
    </row>
    <row r="1219" spans="3:78" ht="20.100000000000001" customHeight="1">
      <c r="C1219" s="172">
        <v>65021204</v>
      </c>
      <c r="D1219" s="71" t="s">
        <v>2516</v>
      </c>
      <c r="E1219" s="71" t="s">
        <v>2517</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1.8</v>
      </c>
      <c r="Y1219" s="19">
        <v>0</v>
      </c>
      <c r="Z1219" s="72">
        <v>1000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2518</v>
      </c>
      <c r="AX1219" s="32" t="s">
        <v>1415</v>
      </c>
      <c r="AY1219" s="74">
        <v>0</v>
      </c>
      <c r="AZ1219" s="32">
        <v>21401020</v>
      </c>
      <c r="BA1219" s="71" t="s">
        <v>2519</v>
      </c>
      <c r="BB1219" s="72">
        <v>60</v>
      </c>
      <c r="BC1219" s="75">
        <v>0</v>
      </c>
      <c r="BD1219" s="75">
        <v>0</v>
      </c>
      <c r="BE1219" s="185" t="str">
        <f t="shared" si="133"/>
        <v>自身变成无敌状态且向前方发射一个能量光柱对前方敌方目标造持续造成180%攻击伤害+1000点固定伤害,持续3秒，可以操控转移方向。</v>
      </c>
      <c r="BF1219" s="76" t="s">
        <v>2522</v>
      </c>
      <c r="BG1219" s="72">
        <v>0</v>
      </c>
      <c r="BH1219" s="21">
        <v>0</v>
      </c>
      <c r="BI1219" s="72">
        <v>0</v>
      </c>
      <c r="BJ1219" s="72">
        <v>0</v>
      </c>
      <c r="BK1219" s="72">
        <v>0</v>
      </c>
      <c r="BL1219" s="72">
        <v>0</v>
      </c>
      <c r="BM1219" s="21">
        <v>0</v>
      </c>
      <c r="BN1219" s="19">
        <v>0</v>
      </c>
      <c r="BO1219" s="19">
        <v>0</v>
      </c>
      <c r="BP1219" s="19">
        <v>500</v>
      </c>
      <c r="BQ1219" s="19">
        <v>1.8</v>
      </c>
      <c r="BR1219" s="19">
        <v>1000</v>
      </c>
      <c r="BS1219" s="19">
        <v>0</v>
      </c>
      <c r="BT1219" s="19">
        <v>0</v>
      </c>
      <c r="BU1219" s="23">
        <v>0</v>
      </c>
      <c r="BV1219" s="23"/>
      <c r="BW1219" s="23"/>
      <c r="BX1219" s="23"/>
      <c r="BY1219" s="23"/>
      <c r="BZ1219" s="23"/>
    </row>
    <row r="1220" spans="3:78" ht="20.100000000000001" customHeight="1">
      <c r="C1220" s="172">
        <v>65021205</v>
      </c>
      <c r="D1220" s="71" t="s">
        <v>2516</v>
      </c>
      <c r="E1220" s="71" t="s">
        <v>2517</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v>
      </c>
      <c r="Y1220" s="19">
        <v>0</v>
      </c>
      <c r="Z1220" s="72">
        <v>1250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2518</v>
      </c>
      <c r="AX1220" s="32" t="s">
        <v>1415</v>
      </c>
      <c r="AY1220" s="74">
        <v>0</v>
      </c>
      <c r="AZ1220" s="32">
        <v>21401020</v>
      </c>
      <c r="BA1220" s="71" t="s">
        <v>2519</v>
      </c>
      <c r="BB1220" s="72">
        <v>60</v>
      </c>
      <c r="BC1220" s="75">
        <v>0</v>
      </c>
      <c r="BD1220" s="75">
        <v>0</v>
      </c>
      <c r="BE1220" s="185" t="str">
        <f t="shared" si="133"/>
        <v>自身变成无敌状态且向前方发射一个能量光柱对前方敌方目标造持续造成200%攻击伤害+1250点固定伤害,持续3秒，可以操控转移方向。</v>
      </c>
      <c r="BF1220" s="76" t="s">
        <v>5680</v>
      </c>
      <c r="BG1220" s="72">
        <v>0</v>
      </c>
      <c r="BH1220" s="21">
        <v>0</v>
      </c>
      <c r="BI1220" s="72">
        <v>0</v>
      </c>
      <c r="BJ1220" s="72">
        <v>0</v>
      </c>
      <c r="BK1220" s="72">
        <v>0</v>
      </c>
      <c r="BL1220" s="72">
        <v>0</v>
      </c>
      <c r="BM1220" s="21">
        <v>0</v>
      </c>
      <c r="BN1220" s="19">
        <v>0</v>
      </c>
      <c r="BO1220" s="19">
        <v>0</v>
      </c>
      <c r="BP1220" s="19">
        <v>500</v>
      </c>
      <c r="BQ1220" s="19">
        <v>2</v>
      </c>
      <c r="BR1220" s="19">
        <v>1250</v>
      </c>
      <c r="BS1220" s="19">
        <v>0</v>
      </c>
      <c r="BT1220" s="19">
        <v>0</v>
      </c>
      <c r="BU1220" s="23">
        <v>0</v>
      </c>
      <c r="BV1220" s="23"/>
      <c r="BW1220" s="23"/>
      <c r="BX1220" s="23"/>
      <c r="BY1220" s="23"/>
      <c r="BZ1220" s="23"/>
    </row>
    <row r="1221" spans="3:78" ht="20.100000000000001" customHeight="1">
      <c r="C1221" s="172">
        <v>65021206</v>
      </c>
      <c r="D1221" s="71" t="s">
        <v>2516</v>
      </c>
      <c r="E1221" s="71" t="s">
        <v>2517</v>
      </c>
      <c r="F1221" s="21">
        <v>1</v>
      </c>
      <c r="G1221" s="19">
        <v>65021201</v>
      </c>
      <c r="H1221" s="72">
        <v>0</v>
      </c>
      <c r="I1221" s="31">
        <v>0</v>
      </c>
      <c r="J1221" s="21">
        <v>0</v>
      </c>
      <c r="K1221" s="21">
        <v>0</v>
      </c>
      <c r="L1221" s="32">
        <v>0</v>
      </c>
      <c r="M1221" s="72">
        <v>0</v>
      </c>
      <c r="N1221" s="72">
        <v>0</v>
      </c>
      <c r="O1221" s="72">
        <v>1</v>
      </c>
      <c r="P1221" s="72">
        <v>0</v>
      </c>
      <c r="Q1221" s="72">
        <v>0</v>
      </c>
      <c r="R1221" s="72">
        <v>0</v>
      </c>
      <c r="S1221" s="19">
        <v>0</v>
      </c>
      <c r="T1221" s="72">
        <v>0</v>
      </c>
      <c r="U1221" s="21">
        <v>1</v>
      </c>
      <c r="V1221" s="72">
        <v>1</v>
      </c>
      <c r="W1221" s="72">
        <v>0</v>
      </c>
      <c r="X1221" s="72">
        <v>2.25</v>
      </c>
      <c r="Y1221" s="19">
        <v>0</v>
      </c>
      <c r="Z1221" s="72">
        <v>1500</v>
      </c>
      <c r="AA1221" s="72">
        <v>0</v>
      </c>
      <c r="AB1221" s="72">
        <v>20</v>
      </c>
      <c r="AC1221" s="72">
        <v>0</v>
      </c>
      <c r="AD1221" s="72">
        <v>0</v>
      </c>
      <c r="AE1221" s="72">
        <v>0</v>
      </c>
      <c r="AF1221" s="72">
        <v>15</v>
      </c>
      <c r="AG1221" s="72">
        <v>2</v>
      </c>
      <c r="AH1221" s="72" t="s">
        <v>633</v>
      </c>
      <c r="AI1221" s="19">
        <v>0</v>
      </c>
      <c r="AJ1221" s="19">
        <v>2</v>
      </c>
      <c r="AK1221" s="19">
        <v>0</v>
      </c>
      <c r="AL1221" s="73">
        <v>2</v>
      </c>
      <c r="AM1221" s="72">
        <v>0</v>
      </c>
      <c r="AN1221" s="72">
        <v>0</v>
      </c>
      <c r="AO1221" s="72">
        <v>3</v>
      </c>
      <c r="AP1221" s="72">
        <v>3.1</v>
      </c>
      <c r="AQ1221" s="72">
        <v>3000</v>
      </c>
      <c r="AR1221" s="72">
        <v>0.5</v>
      </c>
      <c r="AS1221" s="72">
        <v>0</v>
      </c>
      <c r="AT1221" s="19">
        <v>92041026</v>
      </c>
      <c r="AU1221" s="72">
        <v>0</v>
      </c>
      <c r="AV1221" s="72"/>
      <c r="AW1221" s="71" t="s">
        <v>2518</v>
      </c>
      <c r="AX1221" s="32" t="s">
        <v>1415</v>
      </c>
      <c r="AY1221" s="74">
        <v>0</v>
      </c>
      <c r="AZ1221" s="32">
        <v>21401020</v>
      </c>
      <c r="BA1221" s="71" t="s">
        <v>2519</v>
      </c>
      <c r="BB1221" s="72">
        <v>60</v>
      </c>
      <c r="BC1221" s="75">
        <v>0</v>
      </c>
      <c r="BD1221" s="75">
        <v>0</v>
      </c>
      <c r="BE1221" s="185" t="str">
        <f t="shared" si="133"/>
        <v>自身变成无敌状态且向前方发射一个能量光柱对前方敌方目标造持续造成225%攻击伤害+1500点固定伤害,持续3秒，可以操控转移方向。</v>
      </c>
      <c r="BF1221" s="76" t="s">
        <v>5681</v>
      </c>
      <c r="BG1221" s="72">
        <v>0</v>
      </c>
      <c r="BH1221" s="21">
        <v>0</v>
      </c>
      <c r="BI1221" s="72">
        <v>0</v>
      </c>
      <c r="BJ1221" s="72">
        <v>0</v>
      </c>
      <c r="BK1221" s="72">
        <v>0</v>
      </c>
      <c r="BL1221" s="72">
        <v>0</v>
      </c>
      <c r="BM1221" s="21">
        <v>0</v>
      </c>
      <c r="BN1221" s="19">
        <v>0</v>
      </c>
      <c r="BO1221" s="19">
        <v>0</v>
      </c>
      <c r="BP1221" s="19">
        <v>500</v>
      </c>
      <c r="BQ1221" s="19">
        <v>2.25</v>
      </c>
      <c r="BR1221" s="19">
        <v>1500</v>
      </c>
      <c r="BS1221" s="19">
        <v>0</v>
      </c>
      <c r="BT1221" s="19">
        <v>0</v>
      </c>
      <c r="BU1221" s="23">
        <v>0</v>
      </c>
      <c r="BV1221" s="23"/>
      <c r="BW1221" s="23"/>
      <c r="BX1221" s="23"/>
      <c r="BY1221" s="23"/>
      <c r="BZ1221" s="23"/>
    </row>
    <row r="1222" spans="3:78" ht="20.100000000000001" customHeight="1">
      <c r="C1222" s="172">
        <v>65021301</v>
      </c>
      <c r="D1222" s="20" t="s">
        <v>2523</v>
      </c>
      <c r="E1222" s="20" t="s">
        <v>2524</v>
      </c>
      <c r="F1222" s="19">
        <v>0</v>
      </c>
      <c r="G1222" s="19">
        <v>65021301</v>
      </c>
      <c r="H1222" s="172">
        <v>65021302</v>
      </c>
      <c r="I1222" s="19">
        <v>0</v>
      </c>
      <c r="J1222" s="21">
        <v>30</v>
      </c>
      <c r="K1222" s="32">
        <v>5</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15</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29" t="s">
        <v>2525</v>
      </c>
      <c r="AU1222" s="32">
        <v>0</v>
      </c>
      <c r="AV1222" s="32"/>
      <c r="AW1222" s="35" t="s">
        <v>1705</v>
      </c>
      <c r="AX1222" s="32" t="s">
        <v>1415</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2526</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65021302</v>
      </c>
      <c r="D1223" s="20" t="s">
        <v>2523</v>
      </c>
      <c r="E1223" s="20" t="s">
        <v>2524</v>
      </c>
      <c r="F1223" s="19">
        <v>1</v>
      </c>
      <c r="G1223" s="19">
        <v>65021301</v>
      </c>
      <c r="H1223" s="172">
        <v>65021303</v>
      </c>
      <c r="I1223" s="19">
        <v>0</v>
      </c>
      <c r="J1223" s="21">
        <v>37</v>
      </c>
      <c r="K1223" s="32">
        <v>2</v>
      </c>
      <c r="L1223" s="19">
        <v>0</v>
      </c>
      <c r="M1223" s="19">
        <v>0</v>
      </c>
      <c r="N1223" s="32">
        <v>0</v>
      </c>
      <c r="O1223" s="32">
        <v>1</v>
      </c>
      <c r="P1223" s="32">
        <v>0</v>
      </c>
      <c r="Q1223" s="32">
        <v>0</v>
      </c>
      <c r="R1223" s="32">
        <v>0</v>
      </c>
      <c r="S1223" s="19">
        <v>0</v>
      </c>
      <c r="T1223" s="31">
        <v>0</v>
      </c>
      <c r="U1223" s="21">
        <v>1</v>
      </c>
      <c r="V1223" s="32">
        <v>2</v>
      </c>
      <c r="W1223" s="32">
        <v>0</v>
      </c>
      <c r="X1223" s="32">
        <v>1</v>
      </c>
      <c r="Y1223" s="19">
        <v>0</v>
      </c>
      <c r="Z1223" s="32">
        <v>500</v>
      </c>
      <c r="AA1223" s="32">
        <v>0</v>
      </c>
      <c r="AB1223" s="32">
        <v>25</v>
      </c>
      <c r="AC1223" s="32">
        <v>0</v>
      </c>
      <c r="AD1223" s="32">
        <v>0</v>
      </c>
      <c r="AE1223" s="32">
        <v>0</v>
      </c>
      <c r="AF1223" s="32">
        <v>15</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29" t="s">
        <v>2525</v>
      </c>
      <c r="AU1223" s="32">
        <v>0</v>
      </c>
      <c r="AV1223" s="32"/>
      <c r="AW1223" s="35" t="s">
        <v>1705</v>
      </c>
      <c r="AX1223" s="32" t="s">
        <v>1415</v>
      </c>
      <c r="AY1223" s="32">
        <v>10002001</v>
      </c>
      <c r="AZ1223" s="32">
        <v>21401030</v>
      </c>
      <c r="BA1223" s="35" t="s">
        <v>321</v>
      </c>
      <c r="BB1223" s="32">
        <v>1</v>
      </c>
      <c r="BC1223" s="31">
        <v>0</v>
      </c>
      <c r="BD1223" s="31">
        <v>0</v>
      </c>
      <c r="BE1223" s="185" t="str">
        <f>"给自己附加巨剑之力，自身变大且攻击提升20%，且附近单位每秒造成"&amp;X1223*100&amp;"%攻击伤害+"&amp;Z1223&amp;"点固定伤害,并且攻击的时候有概率附带巨力震击技能,持续5秒。"</f>
        <v>给自己附加巨剑之力，自身变大且攻击提升20%，且附近单位每秒造成100%攻击伤害+500点固定伤害,并且攻击的时候有概率附带巨力震击技能,持续5秒。</v>
      </c>
      <c r="BF1223" s="185" t="s">
        <v>5675</v>
      </c>
      <c r="BG1223" s="32">
        <v>0</v>
      </c>
      <c r="BH1223" s="21">
        <v>61023501</v>
      </c>
      <c r="BI1223" s="32">
        <v>0</v>
      </c>
      <c r="BJ1223" s="32">
        <v>0</v>
      </c>
      <c r="BK1223" s="32">
        <v>0</v>
      </c>
      <c r="BL1223" s="32">
        <v>0</v>
      </c>
      <c r="BM1223" s="25">
        <v>0</v>
      </c>
      <c r="BN1223" s="19">
        <v>0</v>
      </c>
      <c r="BO1223" s="19">
        <v>0</v>
      </c>
      <c r="BP1223" s="19">
        <v>1000</v>
      </c>
      <c r="BQ1223" s="19">
        <v>1</v>
      </c>
      <c r="BR1223" s="19">
        <v>500</v>
      </c>
      <c r="BS1223" s="19">
        <v>0</v>
      </c>
      <c r="BT1223" s="19">
        <v>0</v>
      </c>
      <c r="BU1223" s="23">
        <v>0</v>
      </c>
      <c r="BV1223" s="23"/>
      <c r="BW1223" s="23"/>
      <c r="BX1223" s="23"/>
      <c r="BY1223" s="23"/>
      <c r="BZ1223" s="23"/>
    </row>
    <row r="1224" spans="3:78" ht="20.100000000000001" customHeight="1">
      <c r="C1224" s="172">
        <v>65021303</v>
      </c>
      <c r="D1224" s="20" t="s">
        <v>2523</v>
      </c>
      <c r="E1224" s="20" t="s">
        <v>2524</v>
      </c>
      <c r="F1224" s="19">
        <v>2</v>
      </c>
      <c r="G1224" s="19">
        <v>65021301</v>
      </c>
      <c r="H1224" s="172">
        <v>65021304</v>
      </c>
      <c r="I1224" s="19">
        <v>0</v>
      </c>
      <c r="J1224" s="21">
        <v>42</v>
      </c>
      <c r="K1224" s="32">
        <v>2</v>
      </c>
      <c r="L1224" s="19">
        <v>0</v>
      </c>
      <c r="M1224" s="19">
        <v>0</v>
      </c>
      <c r="N1224" s="32">
        <v>0</v>
      </c>
      <c r="O1224" s="32">
        <v>1</v>
      </c>
      <c r="P1224" s="32">
        <v>0</v>
      </c>
      <c r="Q1224" s="32">
        <v>0</v>
      </c>
      <c r="R1224" s="32">
        <v>0</v>
      </c>
      <c r="S1224" s="19">
        <v>0</v>
      </c>
      <c r="T1224" s="31">
        <v>0</v>
      </c>
      <c r="U1224" s="21">
        <v>1</v>
      </c>
      <c r="V1224" s="32">
        <v>2</v>
      </c>
      <c r="W1224" s="32">
        <v>0</v>
      </c>
      <c r="X1224" s="32">
        <v>1.2</v>
      </c>
      <c r="Y1224" s="19">
        <v>0</v>
      </c>
      <c r="Z1224" s="32">
        <v>800</v>
      </c>
      <c r="AA1224" s="32">
        <v>0</v>
      </c>
      <c r="AB1224" s="32">
        <v>25</v>
      </c>
      <c r="AC1224" s="32">
        <v>0</v>
      </c>
      <c r="AD1224" s="32">
        <v>0</v>
      </c>
      <c r="AE1224" s="32">
        <v>0</v>
      </c>
      <c r="AF1224" s="32">
        <v>15</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29" t="s">
        <v>2527</v>
      </c>
      <c r="AU1224" s="32">
        <v>0</v>
      </c>
      <c r="AV1224" s="32"/>
      <c r="AW1224" s="35" t="s">
        <v>1705</v>
      </c>
      <c r="AX1224" s="32" t="s">
        <v>1415</v>
      </c>
      <c r="AY1224" s="32">
        <v>10002001</v>
      </c>
      <c r="AZ1224" s="32">
        <v>21401030</v>
      </c>
      <c r="BA1224" s="35" t="s">
        <v>321</v>
      </c>
      <c r="BB1224" s="32">
        <v>1</v>
      </c>
      <c r="BC1224" s="31">
        <v>0</v>
      </c>
      <c r="BD1224" s="31">
        <v>0</v>
      </c>
      <c r="BE1224" s="185" t="str">
        <f>"给自己附加巨剑之力，自身变大且攻击提升25%，且附近单位每秒造成"&amp;X1224*100&amp;"%攻击伤害+"&amp;Z1224&amp;"点固定伤害,并且攻击的时候有概率附带巨力震击技能,持续5秒。"</f>
        <v>给自己附加巨剑之力，自身变大且攻击提升25%，且附近单位每秒造成120%攻击伤害+800点固定伤害,并且攻击的时候有概率附带巨力震击技能,持续5秒。</v>
      </c>
      <c r="BF1224" s="185" t="s">
        <v>5676</v>
      </c>
      <c r="BG1224" s="32">
        <v>0</v>
      </c>
      <c r="BH1224" s="21">
        <v>61023501</v>
      </c>
      <c r="BI1224" s="32">
        <v>0</v>
      </c>
      <c r="BJ1224" s="32">
        <v>0</v>
      </c>
      <c r="BK1224" s="32">
        <v>0</v>
      </c>
      <c r="BL1224" s="32">
        <v>0</v>
      </c>
      <c r="BM1224" s="25">
        <v>0</v>
      </c>
      <c r="BN1224" s="19">
        <v>0</v>
      </c>
      <c r="BO1224" s="19">
        <v>0</v>
      </c>
      <c r="BP1224" s="19">
        <v>1000</v>
      </c>
      <c r="BQ1224" s="19">
        <v>1.2</v>
      </c>
      <c r="BR1224" s="19">
        <v>800</v>
      </c>
      <c r="BS1224" s="19">
        <v>0</v>
      </c>
      <c r="BT1224" s="19">
        <v>0</v>
      </c>
      <c r="BU1224" s="23">
        <v>0</v>
      </c>
      <c r="BV1224" s="23"/>
      <c r="BW1224" s="23"/>
      <c r="BX1224" s="23"/>
      <c r="BY1224" s="23"/>
      <c r="BZ1224" s="23"/>
    </row>
    <row r="1225" spans="3:78" ht="20.100000000000001" customHeight="1">
      <c r="C1225" s="172">
        <v>65021304</v>
      </c>
      <c r="D1225" s="20" t="s">
        <v>2523</v>
      </c>
      <c r="E1225" s="20" t="s">
        <v>2524</v>
      </c>
      <c r="F1225" s="19">
        <v>3</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1.4</v>
      </c>
      <c r="Y1225" s="19">
        <v>0</v>
      </c>
      <c r="Z1225" s="32">
        <v>1150</v>
      </c>
      <c r="AA1225" s="32">
        <v>0</v>
      </c>
      <c r="AB1225" s="32">
        <v>25</v>
      </c>
      <c r="AC1225" s="32">
        <v>0</v>
      </c>
      <c r="AD1225" s="32">
        <v>0</v>
      </c>
      <c r="AE1225" s="32">
        <v>0</v>
      </c>
      <c r="AF1225" s="32">
        <v>15</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29" t="s">
        <v>2528</v>
      </c>
      <c r="AU1225" s="32">
        <v>0</v>
      </c>
      <c r="AV1225" s="32"/>
      <c r="AW1225" s="35" t="s">
        <v>1705</v>
      </c>
      <c r="AX1225" s="32" t="s">
        <v>1415</v>
      </c>
      <c r="AY1225" s="32">
        <v>10002001</v>
      </c>
      <c r="AZ1225" s="32">
        <v>21401030</v>
      </c>
      <c r="BA1225" s="35" t="s">
        <v>321</v>
      </c>
      <c r="BB1225" s="32">
        <v>1</v>
      </c>
      <c r="BC1225" s="31">
        <v>0</v>
      </c>
      <c r="BD1225" s="31">
        <v>0</v>
      </c>
      <c r="BE1225" s="185" t="str">
        <f>"给自己附加巨剑之力，自身变大且攻击提升30%，且附近单位每秒造成"&amp;X1225*100&amp;"%攻击伤害+"&amp;Z1225&amp;"点固定伤害,并且攻击的时候有概率附带巨力震击技能,持续5秒。"</f>
        <v>给自己附加巨剑之力，自身变大且攻击提升30%，且附近单位每秒造成140%攻击伤害+1150点固定伤害,并且攻击的时候有概率附带巨力震击技能,持续5秒。</v>
      </c>
      <c r="BF1225" s="185" t="s">
        <v>5677</v>
      </c>
      <c r="BG1225" s="32">
        <v>0</v>
      </c>
      <c r="BH1225" s="21">
        <v>61023501</v>
      </c>
      <c r="BI1225" s="32">
        <v>0</v>
      </c>
      <c r="BJ1225" s="32">
        <v>0</v>
      </c>
      <c r="BK1225" s="32">
        <v>0</v>
      </c>
      <c r="BL1225" s="32">
        <v>0</v>
      </c>
      <c r="BM1225" s="25">
        <v>0</v>
      </c>
      <c r="BN1225" s="19">
        <v>0</v>
      </c>
      <c r="BO1225" s="19">
        <v>0</v>
      </c>
      <c r="BP1225" s="19">
        <v>1000</v>
      </c>
      <c r="BQ1225" s="19">
        <v>1.4</v>
      </c>
      <c r="BR1225" s="19">
        <v>1150</v>
      </c>
      <c r="BS1225" s="19">
        <v>0</v>
      </c>
      <c r="BT1225" s="19">
        <v>0</v>
      </c>
      <c r="BU1225" s="23">
        <v>0</v>
      </c>
      <c r="BV1225" s="23"/>
      <c r="BW1225" s="23"/>
      <c r="BX1225" s="23"/>
      <c r="BY1225" s="23"/>
      <c r="BZ1225" s="23"/>
    </row>
    <row r="1226" spans="3:78" ht="20.100000000000001" customHeight="1">
      <c r="C1226" s="172">
        <v>65021305</v>
      </c>
      <c r="D1226" s="20" t="s">
        <v>2523</v>
      </c>
      <c r="E1226" s="20" t="s">
        <v>2524</v>
      </c>
      <c r="F1226" s="19">
        <v>4</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1.6</v>
      </c>
      <c r="Y1226" s="19">
        <v>0</v>
      </c>
      <c r="Z1226" s="32">
        <v>1550</v>
      </c>
      <c r="AA1226" s="32">
        <v>0</v>
      </c>
      <c r="AB1226" s="32">
        <v>25</v>
      </c>
      <c r="AC1226" s="32">
        <v>0</v>
      </c>
      <c r="AD1226" s="32">
        <v>0</v>
      </c>
      <c r="AE1226" s="32">
        <v>0</v>
      </c>
      <c r="AF1226" s="32">
        <v>15</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29" t="s">
        <v>2529</v>
      </c>
      <c r="AU1226" s="32">
        <v>0</v>
      </c>
      <c r="AV1226" s="32"/>
      <c r="AW1226" s="35" t="s">
        <v>1705</v>
      </c>
      <c r="AX1226" s="32" t="s">
        <v>1415</v>
      </c>
      <c r="AY1226" s="32">
        <v>10002001</v>
      </c>
      <c r="AZ1226" s="32">
        <v>21401030</v>
      </c>
      <c r="BA1226" s="35" t="s">
        <v>321</v>
      </c>
      <c r="BB1226" s="32">
        <v>1</v>
      </c>
      <c r="BC1226" s="31">
        <v>0</v>
      </c>
      <c r="BD1226" s="31">
        <v>0</v>
      </c>
      <c r="BE1226" s="185" t="str">
        <f>"给自己附加巨剑之力，自身变大且攻击提升35%，且附近单位每秒造成"&amp;X1226*100&amp;"%攻击伤害+"&amp;Z1226&amp;"点固定伤害,并且攻击的时候有概率附带巨力震击技能,持续5秒。"</f>
        <v>给自己附加巨剑之力，自身变大且攻击提升35%，且附近单位每秒造成160%攻击伤害+1550点固定伤害,并且攻击的时候有概率附带巨力震击技能,持续5秒。</v>
      </c>
      <c r="BF1226" s="185" t="s">
        <v>5678</v>
      </c>
      <c r="BG1226" s="32">
        <v>0</v>
      </c>
      <c r="BH1226" s="21">
        <v>61023501</v>
      </c>
      <c r="BI1226" s="32">
        <v>0</v>
      </c>
      <c r="BJ1226" s="32">
        <v>0</v>
      </c>
      <c r="BK1226" s="32">
        <v>0</v>
      </c>
      <c r="BL1226" s="32">
        <v>0</v>
      </c>
      <c r="BM1226" s="25">
        <v>0</v>
      </c>
      <c r="BN1226" s="19">
        <v>0</v>
      </c>
      <c r="BO1226" s="19">
        <v>0</v>
      </c>
      <c r="BP1226" s="19">
        <v>1000</v>
      </c>
      <c r="BQ1226" s="19">
        <v>1.6</v>
      </c>
      <c r="BR1226" s="19">
        <v>1550</v>
      </c>
      <c r="BS1226" s="19">
        <v>0</v>
      </c>
      <c r="BT1226" s="19">
        <v>0</v>
      </c>
      <c r="BU1226" s="23">
        <v>0</v>
      </c>
      <c r="BV1226" s="23"/>
      <c r="BW1226" s="23"/>
      <c r="BX1226" s="23"/>
      <c r="BY1226" s="23"/>
      <c r="BZ1226" s="23"/>
    </row>
    <row r="1227" spans="3:78" ht="20.100000000000001" customHeight="1">
      <c r="C1227" s="172">
        <v>65021306</v>
      </c>
      <c r="D1227" s="20" t="s">
        <v>2523</v>
      </c>
      <c r="E1227" s="20" t="s">
        <v>2524</v>
      </c>
      <c r="F1227" s="19">
        <v>5</v>
      </c>
      <c r="G1227" s="19">
        <v>65021301</v>
      </c>
      <c r="H1227" s="19">
        <v>0</v>
      </c>
      <c r="I1227" s="19">
        <v>0</v>
      </c>
      <c r="J1227" s="32">
        <v>0</v>
      </c>
      <c r="K1227" s="32">
        <v>0</v>
      </c>
      <c r="L1227" s="19">
        <v>0</v>
      </c>
      <c r="M1227" s="19">
        <v>0</v>
      </c>
      <c r="N1227" s="32">
        <v>0</v>
      </c>
      <c r="O1227" s="32">
        <v>1</v>
      </c>
      <c r="P1227" s="32">
        <v>0</v>
      </c>
      <c r="Q1227" s="32">
        <v>0</v>
      </c>
      <c r="R1227" s="32">
        <v>0</v>
      </c>
      <c r="S1227" s="19">
        <v>0</v>
      </c>
      <c r="T1227" s="31">
        <v>0</v>
      </c>
      <c r="U1227" s="21">
        <v>1</v>
      </c>
      <c r="V1227" s="32">
        <v>2</v>
      </c>
      <c r="W1227" s="32">
        <v>0</v>
      </c>
      <c r="X1227" s="32">
        <v>1.8</v>
      </c>
      <c r="Y1227" s="19">
        <v>0</v>
      </c>
      <c r="Z1227" s="32">
        <v>2050</v>
      </c>
      <c r="AA1227" s="32">
        <v>0</v>
      </c>
      <c r="AB1227" s="32">
        <v>25</v>
      </c>
      <c r="AC1227" s="32">
        <v>0</v>
      </c>
      <c r="AD1227" s="32">
        <v>0</v>
      </c>
      <c r="AE1227" s="32">
        <v>0</v>
      </c>
      <c r="AF1227" s="32">
        <v>15</v>
      </c>
      <c r="AG1227" s="32">
        <v>1</v>
      </c>
      <c r="AH1227" s="32">
        <v>2.5</v>
      </c>
      <c r="AI1227" s="19">
        <v>9</v>
      </c>
      <c r="AJ1227" s="19">
        <v>0</v>
      </c>
      <c r="AK1227" s="19">
        <v>0</v>
      </c>
      <c r="AL1227" s="19">
        <v>1.5</v>
      </c>
      <c r="AM1227" s="32">
        <v>0</v>
      </c>
      <c r="AN1227" s="32">
        <v>0</v>
      </c>
      <c r="AO1227" s="32">
        <v>0</v>
      </c>
      <c r="AP1227" s="32">
        <v>0.5</v>
      </c>
      <c r="AQ1227" s="32">
        <v>5000</v>
      </c>
      <c r="AR1227" s="32">
        <v>0.5</v>
      </c>
      <c r="AS1227" s="32">
        <v>0</v>
      </c>
      <c r="AT1227" s="329" t="s">
        <v>2530</v>
      </c>
      <c r="AU1227" s="32">
        <v>0</v>
      </c>
      <c r="AV1227" s="32"/>
      <c r="AW1227" s="35" t="s">
        <v>1705</v>
      </c>
      <c r="AX1227" s="32" t="s">
        <v>1415</v>
      </c>
      <c r="AY1227" s="32">
        <v>10002001</v>
      </c>
      <c r="AZ1227" s="32">
        <v>21401030</v>
      </c>
      <c r="BA1227" s="35" t="s">
        <v>321</v>
      </c>
      <c r="BB1227" s="32">
        <v>1</v>
      </c>
      <c r="BC1227" s="31">
        <v>0</v>
      </c>
      <c r="BD1227" s="31">
        <v>0</v>
      </c>
      <c r="BE1227" s="185" t="str">
        <f>"给自己附加巨剑之力，自身变大且攻击提升40%，且附近单位每秒造成"&amp;X1227*100&amp;"%攻击伤害+"&amp;Z1227&amp;"点固定伤害,并且攻击的时候有概率附带巨力震击技能,持续5秒。"</f>
        <v>给自己附加巨剑之力，自身变大且攻击提升40%，且附近单位每秒造成180%攻击伤害+2050点固定伤害,并且攻击的时候有概率附带巨力震击技能,持续5秒。</v>
      </c>
      <c r="BF1227" s="185" t="s">
        <v>5679</v>
      </c>
      <c r="BG1227" s="32">
        <v>0</v>
      </c>
      <c r="BH1227" s="21">
        <v>61023501</v>
      </c>
      <c r="BI1227" s="32">
        <v>0</v>
      </c>
      <c r="BJ1227" s="32">
        <v>0</v>
      </c>
      <c r="BK1227" s="32">
        <v>0</v>
      </c>
      <c r="BL1227" s="32">
        <v>0</v>
      </c>
      <c r="BM1227" s="25">
        <v>0</v>
      </c>
      <c r="BN1227" s="19">
        <v>0</v>
      </c>
      <c r="BO1227" s="19">
        <v>0</v>
      </c>
      <c r="BP1227" s="19">
        <v>1000</v>
      </c>
      <c r="BQ1227" s="19">
        <v>1.8</v>
      </c>
      <c r="BR1227" s="19">
        <v>2050</v>
      </c>
      <c r="BS1227" s="19">
        <v>0</v>
      </c>
      <c r="BT1227" s="19">
        <v>0</v>
      </c>
      <c r="BU1227" s="23">
        <v>0</v>
      </c>
      <c r="BV1227" s="23"/>
      <c r="BW1227" s="23"/>
      <c r="BX1227" s="23"/>
      <c r="BY1227" s="23"/>
      <c r="BZ1227" s="23"/>
    </row>
    <row r="1228" spans="3:78" ht="19.5" customHeight="1">
      <c r="C1228" s="172">
        <v>65021310</v>
      </c>
      <c r="D1228" s="35" t="s">
        <v>2531</v>
      </c>
      <c r="E1228" s="35" t="s">
        <v>2509</v>
      </c>
      <c r="F1228" s="21">
        <v>2</v>
      </c>
      <c r="G1228" s="19">
        <v>65021101</v>
      </c>
      <c r="H1228" s="172">
        <v>0</v>
      </c>
      <c r="I1228" s="31">
        <v>0</v>
      </c>
      <c r="J1228" s="21">
        <v>0</v>
      </c>
      <c r="K1228" s="21">
        <v>0</v>
      </c>
      <c r="L1228" s="21">
        <v>0</v>
      </c>
      <c r="M1228" s="32">
        <v>0</v>
      </c>
      <c r="N1228" s="32">
        <v>0</v>
      </c>
      <c r="O1228" s="32">
        <v>2</v>
      </c>
      <c r="P1228" s="32">
        <v>1</v>
      </c>
      <c r="Q1228" s="32">
        <v>0.15</v>
      </c>
      <c r="R1228" s="32">
        <v>0</v>
      </c>
      <c r="S1228" s="19">
        <v>0</v>
      </c>
      <c r="T1228" s="31">
        <v>0</v>
      </c>
      <c r="U1228" s="21">
        <v>1</v>
      </c>
      <c r="V1228" s="32">
        <v>2</v>
      </c>
      <c r="W1228" s="32">
        <v>0</v>
      </c>
      <c r="X1228" s="32">
        <v>3</v>
      </c>
      <c r="Y1228" s="19">
        <v>0</v>
      </c>
      <c r="Z1228" s="32">
        <v>1500</v>
      </c>
      <c r="AA1228" s="32">
        <v>0</v>
      </c>
      <c r="AB1228" s="32">
        <v>15</v>
      </c>
      <c r="AC1228" s="32">
        <v>0</v>
      </c>
      <c r="AD1228" s="32">
        <v>0</v>
      </c>
      <c r="AE1228" s="32">
        <v>0</v>
      </c>
      <c r="AF1228" s="32">
        <v>9</v>
      </c>
      <c r="AG1228" s="32">
        <v>2</v>
      </c>
      <c r="AH1228" s="32" t="s">
        <v>807</v>
      </c>
      <c r="AI1228" s="19">
        <v>2</v>
      </c>
      <c r="AJ1228" s="19">
        <v>3</v>
      </c>
      <c r="AK1228" s="19">
        <v>0</v>
      </c>
      <c r="AL1228" s="19">
        <v>2</v>
      </c>
      <c r="AM1228" s="32">
        <v>0</v>
      </c>
      <c r="AN1228" s="32">
        <v>0</v>
      </c>
      <c r="AO1228" s="32">
        <v>0</v>
      </c>
      <c r="AP1228" s="32">
        <v>0.25</v>
      </c>
      <c r="AQ1228" s="32">
        <v>3000</v>
      </c>
      <c r="AR1228" s="32">
        <v>0.1</v>
      </c>
      <c r="AS1228" s="32">
        <v>0</v>
      </c>
      <c r="AT1228" s="19">
        <v>0</v>
      </c>
      <c r="AU1228" s="339" t="s">
        <v>2510</v>
      </c>
      <c r="AV1228" s="32"/>
      <c r="AW1228" s="35" t="s">
        <v>262</v>
      </c>
      <c r="AX1228" s="32" t="s">
        <v>551</v>
      </c>
      <c r="AY1228" s="32">
        <v>10001007</v>
      </c>
      <c r="AZ1228" s="32">
        <v>21401010</v>
      </c>
      <c r="BA1228" s="35" t="s">
        <v>206</v>
      </c>
      <c r="BB1228" s="35">
        <v>0</v>
      </c>
      <c r="BC1228" s="31">
        <v>0</v>
      </c>
      <c r="BD1228" s="31">
        <v>0</v>
      </c>
      <c r="BE1228" s="185" t="str">
        <f t="shared" ref="BE1228" si="134">"立即对前方范围内的敌人造成"&amp;X1228*100&amp;"%攻击伤害+"&amp;Z1228&amp;"点固定伤害,并将其置空1秒"</f>
        <v>立即对前方范围内的敌人造成300%攻击伤害+1500点固定伤害,并将其置空1秒</v>
      </c>
      <c r="BF1228" s="185" t="s">
        <v>2512</v>
      </c>
      <c r="BG1228" s="32">
        <v>0</v>
      </c>
      <c r="BH1228" s="21">
        <v>0</v>
      </c>
      <c r="BI1228" s="32">
        <v>0</v>
      </c>
      <c r="BJ1228" s="32">
        <v>0</v>
      </c>
      <c r="BK1228" s="32">
        <v>0</v>
      </c>
      <c r="BL1228" s="32">
        <v>0</v>
      </c>
      <c r="BM1228" s="25">
        <v>0</v>
      </c>
      <c r="BN1228" s="19">
        <v>0</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65021401</v>
      </c>
      <c r="D1229" s="35" t="s">
        <v>2532</v>
      </c>
      <c r="E1229" s="35" t="s">
        <v>2533</v>
      </c>
      <c r="F1229" s="21">
        <v>0</v>
      </c>
      <c r="G1229" s="19">
        <v>65021401</v>
      </c>
      <c r="H1229" s="172">
        <v>65021402</v>
      </c>
      <c r="I1229" s="31">
        <v>0</v>
      </c>
      <c r="J1229" s="21">
        <v>35</v>
      </c>
      <c r="K1229" s="32">
        <v>5</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20</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39" t="s">
        <v>2534</v>
      </c>
      <c r="AV1229" s="32"/>
      <c r="AW1229" s="35" t="s">
        <v>1700</v>
      </c>
      <c r="AX1229" s="32" t="s">
        <v>540</v>
      </c>
      <c r="AY1229" s="32">
        <v>10000009</v>
      </c>
      <c r="AZ1229" s="32">
        <v>21401040</v>
      </c>
      <c r="BA1229" s="35" t="s">
        <v>206</v>
      </c>
      <c r="BB1229" s="35">
        <v>0</v>
      </c>
      <c r="BC1229" s="31">
        <v>0</v>
      </c>
      <c r="BD1229" s="31">
        <v>0</v>
      </c>
      <c r="BE1229" s="185" t="str">
        <f>"立即对自身周围的敌方单位造成"&amp;X1229*100&amp;"%攻击伤害+"&amp;Z1229&amp;"点固定伤害，并眩晕1秒，并对目标种下一个印记，印记在2.5秒后对范围内造成250%伤害和1秒眩晕。"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2535</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65021402</v>
      </c>
      <c r="D1230" s="35" t="s">
        <v>2532</v>
      </c>
      <c r="E1230" s="35" t="s">
        <v>2533</v>
      </c>
      <c r="F1230" s="21">
        <v>1</v>
      </c>
      <c r="G1230" s="19">
        <v>65021401</v>
      </c>
      <c r="H1230" s="172">
        <v>65021403</v>
      </c>
      <c r="I1230" s="31">
        <v>0</v>
      </c>
      <c r="J1230" s="21">
        <v>42</v>
      </c>
      <c r="K1230" s="32">
        <v>2</v>
      </c>
      <c r="L1230" s="21">
        <v>0</v>
      </c>
      <c r="M1230" s="32">
        <v>0</v>
      </c>
      <c r="N1230" s="32">
        <v>0</v>
      </c>
      <c r="O1230" s="32">
        <v>1</v>
      </c>
      <c r="P1230" s="32">
        <v>0</v>
      </c>
      <c r="Q1230" s="32">
        <v>0</v>
      </c>
      <c r="R1230" s="32">
        <v>0</v>
      </c>
      <c r="S1230" s="19">
        <v>0</v>
      </c>
      <c r="T1230" s="31">
        <v>0</v>
      </c>
      <c r="U1230" s="21">
        <v>1</v>
      </c>
      <c r="V1230" s="32">
        <v>2</v>
      </c>
      <c r="W1230" s="32">
        <v>0</v>
      </c>
      <c r="X1230" s="32">
        <v>3</v>
      </c>
      <c r="Y1230" s="19">
        <v>0</v>
      </c>
      <c r="Z1230" s="32">
        <v>900</v>
      </c>
      <c r="AA1230" s="32">
        <v>1</v>
      </c>
      <c r="AB1230" s="32">
        <v>30</v>
      </c>
      <c r="AC1230" s="32">
        <v>0</v>
      </c>
      <c r="AD1230" s="32">
        <v>0</v>
      </c>
      <c r="AE1230" s="32">
        <v>0</v>
      </c>
      <c r="AF1230" s="32">
        <v>20</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39" t="s">
        <v>2534</v>
      </c>
      <c r="AV1230" s="32"/>
      <c r="AW1230" s="35" t="s">
        <v>1700</v>
      </c>
      <c r="AX1230" s="32" t="s">
        <v>540</v>
      </c>
      <c r="AY1230" s="32">
        <v>10000009</v>
      </c>
      <c r="AZ1230" s="32">
        <v>21401040</v>
      </c>
      <c r="BA1230" s="35" t="s">
        <v>206</v>
      </c>
      <c r="BB1230" s="35">
        <v>0</v>
      </c>
      <c r="BC1230" s="31">
        <v>0</v>
      </c>
      <c r="BD1230" s="31">
        <v>0</v>
      </c>
      <c r="BE1230" s="185" t="str">
        <f t="shared" ref="BE1230:BE1234" si="135">"立即对自身周围的敌方单位造成"&amp;X1230*100&amp;"%攻击伤害+"&amp;Z1230&amp;"点固定伤害，并眩晕1秒，并对目标种下一个印记，印记在2.5秒后对范围内造成250%伤害和1秒眩晕。"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30" s="185" t="s">
        <v>2535</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65021403</v>
      </c>
      <c r="D1231" s="35" t="s">
        <v>2532</v>
      </c>
      <c r="E1231" s="35" t="s">
        <v>2533</v>
      </c>
      <c r="F1231" s="21">
        <v>2</v>
      </c>
      <c r="G1231" s="19">
        <v>65021401</v>
      </c>
      <c r="H1231" s="172">
        <v>65021404</v>
      </c>
      <c r="I1231" s="31">
        <v>0</v>
      </c>
      <c r="J1231" s="21">
        <v>47</v>
      </c>
      <c r="K1231" s="32">
        <v>2</v>
      </c>
      <c r="L1231" s="21">
        <v>0</v>
      </c>
      <c r="M1231" s="32">
        <v>0</v>
      </c>
      <c r="N1231" s="32">
        <v>0</v>
      </c>
      <c r="O1231" s="32">
        <v>1</v>
      </c>
      <c r="P1231" s="32">
        <v>0</v>
      </c>
      <c r="Q1231" s="32">
        <v>0</v>
      </c>
      <c r="R1231" s="32">
        <v>0</v>
      </c>
      <c r="S1231" s="19">
        <v>0</v>
      </c>
      <c r="T1231" s="31">
        <v>0</v>
      </c>
      <c r="U1231" s="21">
        <v>1</v>
      </c>
      <c r="V1231" s="32">
        <v>2</v>
      </c>
      <c r="W1231" s="32">
        <v>0</v>
      </c>
      <c r="X1231" s="32">
        <v>3.25</v>
      </c>
      <c r="Y1231" s="19">
        <v>0</v>
      </c>
      <c r="Z1231" s="32">
        <v>1800</v>
      </c>
      <c r="AA1231" s="32">
        <v>1</v>
      </c>
      <c r="AB1231" s="32">
        <v>30</v>
      </c>
      <c r="AC1231" s="32">
        <v>0</v>
      </c>
      <c r="AD1231" s="32">
        <v>0</v>
      </c>
      <c r="AE1231" s="32">
        <v>0</v>
      </c>
      <c r="AF1231" s="32">
        <v>20</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39" t="s">
        <v>2534</v>
      </c>
      <c r="AV1231" s="32"/>
      <c r="AW1231" s="35" t="s">
        <v>1700</v>
      </c>
      <c r="AX1231" s="32" t="s">
        <v>540</v>
      </c>
      <c r="AY1231" s="32">
        <v>10000009</v>
      </c>
      <c r="AZ1231" s="32">
        <v>21401040</v>
      </c>
      <c r="BA1231" s="35" t="s">
        <v>206</v>
      </c>
      <c r="BB1231" s="35">
        <v>0</v>
      </c>
      <c r="BC1231" s="31">
        <v>0</v>
      </c>
      <c r="BD1231" s="31">
        <v>0</v>
      </c>
      <c r="BE1231" s="185" t="str">
        <f t="shared" si="135"/>
        <v>立即对自身周围的敌方单位造成325%攻击伤害+1800点固定伤害，并眩晕1秒，并对目标种下一个印记，印记在2.5秒后对范围内造成250%伤害和1秒眩晕。</v>
      </c>
      <c r="BF1231" s="185" t="s">
        <v>2536</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65021404</v>
      </c>
      <c r="D1232" s="35" t="s">
        <v>2532</v>
      </c>
      <c r="E1232" s="35" t="s">
        <v>2533</v>
      </c>
      <c r="F1232" s="21">
        <v>3</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3.5</v>
      </c>
      <c r="Y1232" s="19">
        <v>0</v>
      </c>
      <c r="Z1232" s="32">
        <v>2800</v>
      </c>
      <c r="AA1232" s="32">
        <v>1</v>
      </c>
      <c r="AB1232" s="32">
        <v>30</v>
      </c>
      <c r="AC1232" s="32">
        <v>0</v>
      </c>
      <c r="AD1232" s="32">
        <v>0</v>
      </c>
      <c r="AE1232" s="32">
        <v>0</v>
      </c>
      <c r="AF1232" s="32">
        <v>20</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39" t="s">
        <v>2534</v>
      </c>
      <c r="AV1232" s="32"/>
      <c r="AW1232" s="35" t="s">
        <v>1700</v>
      </c>
      <c r="AX1232" s="32" t="s">
        <v>540</v>
      </c>
      <c r="AY1232" s="32">
        <v>10000009</v>
      </c>
      <c r="AZ1232" s="32">
        <v>21401040</v>
      </c>
      <c r="BA1232" s="35" t="s">
        <v>206</v>
      </c>
      <c r="BB1232" s="35">
        <v>0</v>
      </c>
      <c r="BC1232" s="31">
        <v>0</v>
      </c>
      <c r="BD1232" s="31">
        <v>0</v>
      </c>
      <c r="BE1232" s="185" t="str">
        <f t="shared" si="135"/>
        <v>立即对自身周围的敌方单位造成350%攻击伤害+2800点固定伤害，并眩晕1秒，并对目标种下一个印记，印记在2.5秒后对范围内造成250%伤害和1秒眩晕。</v>
      </c>
      <c r="BF1232" s="185" t="s">
        <v>2537</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65021405</v>
      </c>
      <c r="D1233" s="35" t="s">
        <v>2532</v>
      </c>
      <c r="E1233" s="35" t="s">
        <v>2533</v>
      </c>
      <c r="F1233" s="21">
        <v>4</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3.75</v>
      </c>
      <c r="Y1233" s="19">
        <v>0</v>
      </c>
      <c r="Z1233" s="32">
        <v>4000</v>
      </c>
      <c r="AA1233" s="32">
        <v>1</v>
      </c>
      <c r="AB1233" s="32">
        <v>30</v>
      </c>
      <c r="AC1233" s="32">
        <v>0</v>
      </c>
      <c r="AD1233" s="32">
        <v>0</v>
      </c>
      <c r="AE1233" s="32">
        <v>0</v>
      </c>
      <c r="AF1233" s="32">
        <v>20</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39" t="s">
        <v>2534</v>
      </c>
      <c r="AV1233" s="32"/>
      <c r="AW1233" s="35" t="s">
        <v>1700</v>
      </c>
      <c r="AX1233" s="32" t="s">
        <v>540</v>
      </c>
      <c r="AY1233" s="32">
        <v>10000009</v>
      </c>
      <c r="AZ1233" s="32">
        <v>21401040</v>
      </c>
      <c r="BA1233" s="35" t="s">
        <v>206</v>
      </c>
      <c r="BB1233" s="35">
        <v>0</v>
      </c>
      <c r="BC1233" s="31">
        <v>0</v>
      </c>
      <c r="BD1233" s="31">
        <v>0</v>
      </c>
      <c r="BE1233" s="185" t="str">
        <f t="shared" si="135"/>
        <v>立即对自身周围的敌方单位造成375%攻击伤害+4000点固定伤害，并眩晕1秒，并对目标种下一个印记，印记在2.5秒后对范围内造成250%伤害和1秒眩晕。</v>
      </c>
      <c r="BF1233" s="185" t="s">
        <v>2538</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20.100000000000001" customHeight="1">
      <c r="C1234" s="172">
        <v>65021406</v>
      </c>
      <c r="D1234" s="35" t="s">
        <v>2532</v>
      </c>
      <c r="E1234" s="35" t="s">
        <v>2533</v>
      </c>
      <c r="F1234" s="21">
        <v>5</v>
      </c>
      <c r="G1234" s="19">
        <v>65021401</v>
      </c>
      <c r="H1234" s="21">
        <v>0</v>
      </c>
      <c r="I1234" s="31">
        <v>0</v>
      </c>
      <c r="J1234" s="32">
        <v>0</v>
      </c>
      <c r="K1234" s="32">
        <v>0</v>
      </c>
      <c r="L1234" s="21">
        <v>0</v>
      </c>
      <c r="M1234" s="32">
        <v>0</v>
      </c>
      <c r="N1234" s="32">
        <v>0</v>
      </c>
      <c r="O1234" s="32">
        <v>1</v>
      </c>
      <c r="P1234" s="32">
        <v>0</v>
      </c>
      <c r="Q1234" s="32">
        <v>0</v>
      </c>
      <c r="R1234" s="32">
        <v>0</v>
      </c>
      <c r="S1234" s="19">
        <v>0</v>
      </c>
      <c r="T1234" s="31">
        <v>0</v>
      </c>
      <c r="U1234" s="21">
        <v>1</v>
      </c>
      <c r="V1234" s="32">
        <v>2</v>
      </c>
      <c r="W1234" s="32">
        <v>0</v>
      </c>
      <c r="X1234" s="32">
        <v>4</v>
      </c>
      <c r="Y1234" s="19">
        <v>0</v>
      </c>
      <c r="Z1234" s="32">
        <v>5200</v>
      </c>
      <c r="AA1234" s="32">
        <v>1</v>
      </c>
      <c r="AB1234" s="32">
        <v>30</v>
      </c>
      <c r="AC1234" s="32">
        <v>0</v>
      </c>
      <c r="AD1234" s="32">
        <v>0</v>
      </c>
      <c r="AE1234" s="32">
        <v>0</v>
      </c>
      <c r="AF1234" s="32">
        <v>20</v>
      </c>
      <c r="AG1234" s="32">
        <v>1</v>
      </c>
      <c r="AH1234" s="32">
        <v>5</v>
      </c>
      <c r="AI1234" s="19">
        <v>0</v>
      </c>
      <c r="AJ1234" s="19">
        <v>0</v>
      </c>
      <c r="AK1234" s="19">
        <v>0</v>
      </c>
      <c r="AL1234" s="19">
        <v>4</v>
      </c>
      <c r="AM1234" s="32">
        <v>0</v>
      </c>
      <c r="AN1234" s="32">
        <v>0</v>
      </c>
      <c r="AO1234" s="32">
        <v>0</v>
      </c>
      <c r="AP1234" s="32">
        <v>0.3</v>
      </c>
      <c r="AQ1234" s="32">
        <v>2000</v>
      </c>
      <c r="AR1234" s="32">
        <v>0.5</v>
      </c>
      <c r="AS1234" s="32">
        <v>0</v>
      </c>
      <c r="AT1234" s="19">
        <v>0</v>
      </c>
      <c r="AU1234" s="339" t="s">
        <v>2534</v>
      </c>
      <c r="AV1234" s="32"/>
      <c r="AW1234" s="35" t="s">
        <v>1700</v>
      </c>
      <c r="AX1234" s="32" t="s">
        <v>540</v>
      </c>
      <c r="AY1234" s="32">
        <v>10000009</v>
      </c>
      <c r="AZ1234" s="32">
        <v>21401040</v>
      </c>
      <c r="BA1234" s="35" t="s">
        <v>206</v>
      </c>
      <c r="BB1234" s="35">
        <v>0</v>
      </c>
      <c r="BC1234" s="31">
        <v>0</v>
      </c>
      <c r="BD1234" s="31">
        <v>0</v>
      </c>
      <c r="BE1234" s="185" t="str">
        <f t="shared" si="135"/>
        <v>立即对自身周围的敌方单位造成400%攻击伤害+5200点固定伤害，并眩晕1秒，并对目标种下一个印记，印记在2.5秒后对范围内造成250%伤害和1秒眩晕。</v>
      </c>
      <c r="BF1234" s="185" t="s">
        <v>2539</v>
      </c>
      <c r="BG1234" s="32">
        <v>0</v>
      </c>
      <c r="BH1234" s="21">
        <v>0</v>
      </c>
      <c r="BI1234" s="32">
        <v>0</v>
      </c>
      <c r="BJ1234" s="32">
        <v>0</v>
      </c>
      <c r="BK1234" s="32">
        <v>0</v>
      </c>
      <c r="BL1234" s="32">
        <v>0</v>
      </c>
      <c r="BM1234" s="25">
        <v>0</v>
      </c>
      <c r="BN1234" s="19">
        <v>1</v>
      </c>
      <c r="BO1234" s="19">
        <v>0</v>
      </c>
      <c r="BP1234" s="19">
        <v>0</v>
      </c>
      <c r="BQ1234" s="19">
        <v>0</v>
      </c>
      <c r="BR1234" s="19">
        <v>0</v>
      </c>
      <c r="BS1234" s="19">
        <v>0</v>
      </c>
      <c r="BT1234" s="19">
        <v>0</v>
      </c>
      <c r="BU1234" s="23">
        <v>0</v>
      </c>
      <c r="BV1234" s="23"/>
      <c r="BW1234" s="23"/>
      <c r="BX1234" s="23"/>
      <c r="BY1234" s="23"/>
      <c r="BZ1234" s="23"/>
    </row>
    <row r="1235" spans="1:78" ht="19.5" customHeight="1">
      <c r="C1235" s="180">
        <v>65021411</v>
      </c>
      <c r="D1235" s="179" t="s">
        <v>2540</v>
      </c>
      <c r="E1235" s="179" t="s">
        <v>2541</v>
      </c>
      <c r="F1235" s="32">
        <v>1</v>
      </c>
      <c r="G1235" s="21">
        <v>60010100</v>
      </c>
      <c r="H1235" s="32">
        <v>0</v>
      </c>
      <c r="I1235" s="31">
        <v>0</v>
      </c>
      <c r="J1235" s="32">
        <v>1</v>
      </c>
      <c r="K1235" s="32">
        <v>0</v>
      </c>
      <c r="L1235" s="32">
        <v>0</v>
      </c>
      <c r="M1235" s="21">
        <v>0</v>
      </c>
      <c r="N1235" s="21">
        <v>0</v>
      </c>
      <c r="O1235" s="21">
        <v>2</v>
      </c>
      <c r="P1235" s="21">
        <v>1</v>
      </c>
      <c r="Q1235" s="21">
        <v>1</v>
      </c>
      <c r="R1235" s="21">
        <v>0</v>
      </c>
      <c r="S1235" s="19">
        <v>0</v>
      </c>
      <c r="T1235" s="21">
        <v>0</v>
      </c>
      <c r="U1235" s="21">
        <v>1</v>
      </c>
      <c r="V1235" s="21">
        <v>2</v>
      </c>
      <c r="W1235" s="21">
        <v>0</v>
      </c>
      <c r="X1235" s="21">
        <v>3</v>
      </c>
      <c r="Y1235" s="19">
        <v>0</v>
      </c>
      <c r="Z1235" s="21">
        <v>1000</v>
      </c>
      <c r="AA1235" s="21">
        <v>0</v>
      </c>
      <c r="AB1235" s="21">
        <v>0</v>
      </c>
      <c r="AC1235" s="21">
        <v>0</v>
      </c>
      <c r="AD1235" s="21">
        <v>0</v>
      </c>
      <c r="AE1235" s="21">
        <v>0</v>
      </c>
      <c r="AF1235" s="21">
        <v>1</v>
      </c>
      <c r="AG1235" s="21">
        <v>1</v>
      </c>
      <c r="AH1235" s="21">
        <v>3</v>
      </c>
      <c r="AI1235" s="19">
        <v>1</v>
      </c>
      <c r="AJ1235" s="19">
        <v>0</v>
      </c>
      <c r="AK1235" s="19">
        <v>0</v>
      </c>
      <c r="AL1235" s="19">
        <v>0</v>
      </c>
      <c r="AM1235" s="21">
        <v>0</v>
      </c>
      <c r="AN1235" s="21">
        <v>0</v>
      </c>
      <c r="AO1235" s="21">
        <v>0</v>
      </c>
      <c r="AP1235" s="21">
        <v>0</v>
      </c>
      <c r="AQ1235" s="21">
        <v>5000</v>
      </c>
      <c r="AR1235" s="21">
        <v>0</v>
      </c>
      <c r="AS1235" s="21">
        <v>0</v>
      </c>
      <c r="AT1235" s="19">
        <v>0</v>
      </c>
      <c r="AU1235" s="21">
        <v>92041081</v>
      </c>
      <c r="AV1235" s="21"/>
      <c r="AW1235" s="35" t="s">
        <v>262</v>
      </c>
      <c r="AX1235" s="21" t="s">
        <v>540</v>
      </c>
      <c r="AY1235" s="32">
        <v>10000007</v>
      </c>
      <c r="AZ1235" s="32">
        <v>21401041</v>
      </c>
      <c r="BA1235" s="30" t="s">
        <v>206</v>
      </c>
      <c r="BB1235" s="21">
        <v>0</v>
      </c>
      <c r="BC1235" s="31">
        <v>0</v>
      </c>
      <c r="BD1235" s="31">
        <v>0</v>
      </c>
      <c r="BE1235" s="33" t="s">
        <v>2542</v>
      </c>
      <c r="BF1235" s="33" t="s">
        <v>2543</v>
      </c>
      <c r="BG1235" s="21">
        <v>0</v>
      </c>
      <c r="BH1235" s="21">
        <v>0</v>
      </c>
      <c r="BI1235" s="21">
        <v>0</v>
      </c>
      <c r="BJ1235" s="21">
        <v>0</v>
      </c>
      <c r="BK1235" s="21">
        <v>0</v>
      </c>
      <c r="BL1235" s="21">
        <v>0</v>
      </c>
      <c r="BM1235" s="25">
        <v>0</v>
      </c>
      <c r="BN1235" s="19">
        <v>0</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65022101</v>
      </c>
      <c r="D1236" s="20" t="s">
        <v>2544</v>
      </c>
      <c r="E1236" s="20" t="s">
        <v>2545</v>
      </c>
      <c r="F1236" s="19">
        <v>0</v>
      </c>
      <c r="G1236" s="19">
        <v>65022101</v>
      </c>
      <c r="H1236" s="172">
        <v>65022102</v>
      </c>
      <c r="I1236" s="19">
        <v>0</v>
      </c>
      <c r="J1236" s="21">
        <v>18</v>
      </c>
      <c r="K1236" s="21">
        <v>5</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329" t="s">
        <v>2546</v>
      </c>
      <c r="AU1236" s="19" t="s">
        <v>204</v>
      </c>
      <c r="AV1236" s="19"/>
      <c r="AW1236" s="20" t="s">
        <v>205</v>
      </c>
      <c r="AX1236" s="19" t="s">
        <v>1415</v>
      </c>
      <c r="AY1236" s="19">
        <v>0</v>
      </c>
      <c r="AZ1236" s="19">
        <v>21402010</v>
      </c>
      <c r="BA1236" s="20" t="s">
        <v>206</v>
      </c>
      <c r="BB1236" s="20">
        <v>0</v>
      </c>
      <c r="BC1236" s="19">
        <v>0</v>
      </c>
      <c r="BD1236" s="19">
        <v>0</v>
      </c>
      <c r="BE1236" s="186" t="s">
        <v>5657</v>
      </c>
      <c r="BF1236" s="186" t="s">
        <v>5662</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65022102</v>
      </c>
      <c r="D1237" s="20" t="s">
        <v>2544</v>
      </c>
      <c r="E1237" s="20" t="s">
        <v>2545</v>
      </c>
      <c r="F1237" s="19">
        <v>1</v>
      </c>
      <c r="G1237" s="19">
        <v>65022101</v>
      </c>
      <c r="H1237" s="172">
        <v>65022103</v>
      </c>
      <c r="I1237" s="19">
        <v>0</v>
      </c>
      <c r="J1237" s="21">
        <v>27</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92041030</v>
      </c>
      <c r="AU1237" s="19" t="s">
        <v>204</v>
      </c>
      <c r="AV1237" s="19"/>
      <c r="AW1237" s="20" t="s">
        <v>205</v>
      </c>
      <c r="AX1237" s="19" t="s">
        <v>1415</v>
      </c>
      <c r="AY1237" s="19">
        <v>0</v>
      </c>
      <c r="AZ1237" s="19">
        <v>21402010</v>
      </c>
      <c r="BA1237" s="20" t="s">
        <v>206</v>
      </c>
      <c r="BB1237" s="20">
        <v>0</v>
      </c>
      <c r="BC1237" s="19">
        <v>0</v>
      </c>
      <c r="BD1237" s="19">
        <v>0</v>
      </c>
      <c r="BE1237" s="186" t="s">
        <v>5657</v>
      </c>
      <c r="BF1237" s="186" t="s">
        <v>5670</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65022103</v>
      </c>
      <c r="D1238" s="20" t="s">
        <v>2544</v>
      </c>
      <c r="E1238" s="20" t="s">
        <v>2545</v>
      </c>
      <c r="F1238" s="19">
        <v>2</v>
      </c>
      <c r="G1238" s="19">
        <v>65022101</v>
      </c>
      <c r="H1238" s="172">
        <v>65022104</v>
      </c>
      <c r="I1238" s="19">
        <v>0</v>
      </c>
      <c r="J1238" s="21">
        <v>32</v>
      </c>
      <c r="K1238" s="21">
        <v>2</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92041031</v>
      </c>
      <c r="AU1238" s="19" t="s">
        <v>204</v>
      </c>
      <c r="AV1238" s="19"/>
      <c r="AW1238" s="20" t="s">
        <v>205</v>
      </c>
      <c r="AX1238" s="19" t="s">
        <v>1415</v>
      </c>
      <c r="AY1238" s="19">
        <v>0</v>
      </c>
      <c r="AZ1238" s="19">
        <v>21402010</v>
      </c>
      <c r="BA1238" s="20" t="s">
        <v>206</v>
      </c>
      <c r="BB1238" s="20">
        <v>0</v>
      </c>
      <c r="BC1238" s="19">
        <v>0</v>
      </c>
      <c r="BD1238" s="19">
        <v>0</v>
      </c>
      <c r="BE1238" s="186" t="s">
        <v>5658</v>
      </c>
      <c r="BF1238" s="186" t="s">
        <v>5671</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65022104</v>
      </c>
      <c r="D1239" s="20" t="s">
        <v>2544</v>
      </c>
      <c r="E1239" s="20" t="s">
        <v>2545</v>
      </c>
      <c r="F1239" s="19">
        <v>3</v>
      </c>
      <c r="G1239" s="19">
        <v>65022101</v>
      </c>
      <c r="H1239" s="19">
        <v>0</v>
      </c>
      <c r="I1239" s="19">
        <v>0</v>
      </c>
      <c r="J1239" s="21">
        <v>0</v>
      </c>
      <c r="K1239" s="182">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92041032</v>
      </c>
      <c r="AU1239" s="19" t="s">
        <v>204</v>
      </c>
      <c r="AV1239" s="19"/>
      <c r="AW1239" s="20" t="s">
        <v>205</v>
      </c>
      <c r="AX1239" s="19" t="s">
        <v>1415</v>
      </c>
      <c r="AY1239" s="19">
        <v>0</v>
      </c>
      <c r="AZ1239" s="19">
        <v>21402010</v>
      </c>
      <c r="BA1239" s="20" t="s">
        <v>206</v>
      </c>
      <c r="BB1239" s="20">
        <v>0</v>
      </c>
      <c r="BC1239" s="19">
        <v>0</v>
      </c>
      <c r="BD1239" s="19">
        <v>0</v>
      </c>
      <c r="BE1239" s="186" t="s">
        <v>5659</v>
      </c>
      <c r="BF1239" s="186" t="s">
        <v>5672</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65022105</v>
      </c>
      <c r="D1240" s="20" t="s">
        <v>2544</v>
      </c>
      <c r="E1240" s="20" t="s">
        <v>2545</v>
      </c>
      <c r="F1240" s="19">
        <v>4</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92041033</v>
      </c>
      <c r="AU1240" s="19" t="s">
        <v>204</v>
      </c>
      <c r="AV1240" s="19"/>
      <c r="AW1240" s="20" t="s">
        <v>205</v>
      </c>
      <c r="AX1240" s="19" t="s">
        <v>1415</v>
      </c>
      <c r="AY1240" s="19">
        <v>0</v>
      </c>
      <c r="AZ1240" s="19">
        <v>21402010</v>
      </c>
      <c r="BA1240" s="20" t="s">
        <v>206</v>
      </c>
      <c r="BB1240" s="20">
        <v>0</v>
      </c>
      <c r="BC1240" s="19">
        <v>0</v>
      </c>
      <c r="BD1240" s="19">
        <v>0</v>
      </c>
      <c r="BE1240" s="186" t="s">
        <v>5660</v>
      </c>
      <c r="BF1240" s="186" t="s">
        <v>5673</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ht="20.100000000000001" customHeight="1">
      <c r="C1241" s="172">
        <v>65022106</v>
      </c>
      <c r="D1241" s="20" t="s">
        <v>2544</v>
      </c>
      <c r="E1241" s="20" t="s">
        <v>2545</v>
      </c>
      <c r="F1241" s="19">
        <v>5</v>
      </c>
      <c r="G1241" s="19">
        <v>65022101</v>
      </c>
      <c r="H1241" s="19">
        <v>0</v>
      </c>
      <c r="I1241" s="19">
        <v>0</v>
      </c>
      <c r="J1241" s="21">
        <v>0</v>
      </c>
      <c r="K1241" s="21">
        <v>0</v>
      </c>
      <c r="L1241" s="19">
        <v>0</v>
      </c>
      <c r="M1241" s="19">
        <v>0</v>
      </c>
      <c r="N1241" s="19">
        <v>0</v>
      </c>
      <c r="O1241" s="19">
        <v>1</v>
      </c>
      <c r="P1241" s="19">
        <v>0</v>
      </c>
      <c r="Q1241" s="19">
        <v>0</v>
      </c>
      <c r="R1241" s="19">
        <v>0</v>
      </c>
      <c r="S1241" s="19">
        <v>0</v>
      </c>
      <c r="T1241" s="19">
        <v>0</v>
      </c>
      <c r="U1241" s="19">
        <v>1</v>
      </c>
      <c r="V1241" s="19">
        <v>2</v>
      </c>
      <c r="W1241" s="19">
        <v>0</v>
      </c>
      <c r="X1241" s="19">
        <v>0</v>
      </c>
      <c r="Y1241" s="19">
        <v>0</v>
      </c>
      <c r="Z1241" s="19">
        <v>0</v>
      </c>
      <c r="AA1241" s="19">
        <v>0</v>
      </c>
      <c r="AB1241" s="32">
        <v>15</v>
      </c>
      <c r="AC1241" s="19">
        <v>0</v>
      </c>
      <c r="AD1241" s="19">
        <v>0</v>
      </c>
      <c r="AE1241" s="19">
        <v>0</v>
      </c>
      <c r="AF1241" s="19">
        <v>20</v>
      </c>
      <c r="AG1241" s="19">
        <v>0</v>
      </c>
      <c r="AH1241" s="19">
        <v>0</v>
      </c>
      <c r="AI1241" s="19">
        <v>0</v>
      </c>
      <c r="AJ1241" s="19">
        <v>0</v>
      </c>
      <c r="AK1241" s="19">
        <v>0</v>
      </c>
      <c r="AL1241" s="19">
        <v>0</v>
      </c>
      <c r="AM1241" s="19">
        <v>0</v>
      </c>
      <c r="AN1241" s="19">
        <v>0</v>
      </c>
      <c r="AO1241" s="19">
        <v>0</v>
      </c>
      <c r="AP1241" s="19">
        <v>0.2</v>
      </c>
      <c r="AQ1241" s="19">
        <v>3000</v>
      </c>
      <c r="AR1241" s="19">
        <v>0.5</v>
      </c>
      <c r="AS1241" s="19">
        <v>0</v>
      </c>
      <c r="AT1241" s="19">
        <v>92041034</v>
      </c>
      <c r="AU1241" s="19" t="s">
        <v>204</v>
      </c>
      <c r="AV1241" s="19"/>
      <c r="AW1241" s="20" t="s">
        <v>205</v>
      </c>
      <c r="AX1241" s="19" t="s">
        <v>1415</v>
      </c>
      <c r="AY1241" s="19">
        <v>0</v>
      </c>
      <c r="AZ1241" s="19">
        <v>21402010</v>
      </c>
      <c r="BA1241" s="20" t="s">
        <v>206</v>
      </c>
      <c r="BB1241" s="20">
        <v>0</v>
      </c>
      <c r="BC1241" s="19">
        <v>0</v>
      </c>
      <c r="BD1241" s="19">
        <v>0</v>
      </c>
      <c r="BE1241" s="186" t="s">
        <v>5661</v>
      </c>
      <c r="BF1241" s="186" t="s">
        <v>5674</v>
      </c>
      <c r="BG1241" s="19">
        <v>0</v>
      </c>
      <c r="BH1241" s="19">
        <v>0</v>
      </c>
      <c r="BI1241" s="19">
        <v>0</v>
      </c>
      <c r="BJ1241" s="19">
        <v>0</v>
      </c>
      <c r="BK1241" s="19">
        <v>0</v>
      </c>
      <c r="BL1241" s="19">
        <v>0</v>
      </c>
      <c r="BM1241" s="187">
        <v>0</v>
      </c>
      <c r="BN1241" s="19">
        <v>1</v>
      </c>
      <c r="BO1241" s="19">
        <v>0</v>
      </c>
      <c r="BP1241" s="19">
        <v>0</v>
      </c>
      <c r="BQ1241" s="19">
        <v>0</v>
      </c>
      <c r="BR1241" s="19">
        <v>0</v>
      </c>
      <c r="BS1241" s="19">
        <v>0</v>
      </c>
      <c r="BT1241" s="19">
        <v>0</v>
      </c>
      <c r="BU1241" s="23">
        <v>0</v>
      </c>
      <c r="BV1241" s="23"/>
      <c r="BW1241" s="23"/>
      <c r="BX1241" s="23"/>
      <c r="BY1241" s="23"/>
      <c r="BZ1241" s="23"/>
    </row>
    <row r="1242" spans="1:78" s="1" customFormat="1" ht="20.100000000000001" customHeight="1">
      <c r="C1242" s="172">
        <v>65022201</v>
      </c>
      <c r="D1242" s="35" t="s">
        <v>2547</v>
      </c>
      <c r="E1242" s="71" t="s">
        <v>2548</v>
      </c>
      <c r="F1242" s="19">
        <v>0</v>
      </c>
      <c r="G1242" s="19">
        <v>65022201</v>
      </c>
      <c r="H1242" s="172">
        <v>65022202</v>
      </c>
      <c r="I1242" s="75">
        <v>0</v>
      </c>
      <c r="J1242" s="21">
        <v>25</v>
      </c>
      <c r="K1242" s="21">
        <v>5</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2549</v>
      </c>
      <c r="BB1242" s="344" t="s">
        <v>2550</v>
      </c>
      <c r="BC1242" s="75">
        <v>0</v>
      </c>
      <c r="BD1242" s="75">
        <v>0</v>
      </c>
      <c r="BE1242" s="186" t="s">
        <v>2551</v>
      </c>
      <c r="BF1242" s="114" t="s">
        <v>2552</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65022202</v>
      </c>
      <c r="D1243" s="35" t="s">
        <v>2547</v>
      </c>
      <c r="E1243" s="71" t="s">
        <v>2548</v>
      </c>
      <c r="F1243" s="19">
        <v>1</v>
      </c>
      <c r="G1243" s="19">
        <v>65022201</v>
      </c>
      <c r="H1243" s="172">
        <v>65022203</v>
      </c>
      <c r="I1243" s="75">
        <v>0</v>
      </c>
      <c r="J1243" s="21">
        <v>32</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2549</v>
      </c>
      <c r="BB1243" s="344" t="s">
        <v>2550</v>
      </c>
      <c r="BC1243" s="75">
        <v>0</v>
      </c>
      <c r="BD1243" s="75">
        <v>0</v>
      </c>
      <c r="BE1243" s="186" t="s">
        <v>2551</v>
      </c>
      <c r="BF1243" s="114" t="s">
        <v>2552</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65022203</v>
      </c>
      <c r="D1244" s="35" t="s">
        <v>2547</v>
      </c>
      <c r="E1244" s="71" t="s">
        <v>2548</v>
      </c>
      <c r="F1244" s="19">
        <v>2</v>
      </c>
      <c r="G1244" s="19">
        <v>65022201</v>
      </c>
      <c r="H1244" s="172">
        <v>65022204</v>
      </c>
      <c r="I1244" s="75">
        <v>0</v>
      </c>
      <c r="J1244" s="21">
        <v>37</v>
      </c>
      <c r="K1244" s="21">
        <v>2</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2549</v>
      </c>
      <c r="BB1244" s="344" t="s">
        <v>2553</v>
      </c>
      <c r="BC1244" s="75">
        <v>0</v>
      </c>
      <c r="BD1244" s="75">
        <v>0</v>
      </c>
      <c r="BE1244" s="186" t="s">
        <v>2554</v>
      </c>
      <c r="BF1244" s="114" t="s">
        <v>2555</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65022204</v>
      </c>
      <c r="D1245" s="35" t="s">
        <v>2547</v>
      </c>
      <c r="E1245" s="71" t="s">
        <v>2548</v>
      </c>
      <c r="F1245" s="19">
        <v>3</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2549</v>
      </c>
      <c r="BB1245" s="344" t="s">
        <v>2556</v>
      </c>
      <c r="BC1245" s="75">
        <v>0</v>
      </c>
      <c r="BD1245" s="75">
        <v>0</v>
      </c>
      <c r="BE1245" s="186" t="s">
        <v>2557</v>
      </c>
      <c r="BF1245" s="114" t="s">
        <v>2558</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65022205</v>
      </c>
      <c r="D1246" s="35" t="s">
        <v>2547</v>
      </c>
      <c r="E1246" s="71" t="s">
        <v>2548</v>
      </c>
      <c r="F1246" s="19">
        <v>4</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2549</v>
      </c>
      <c r="BB1246" s="344" t="s">
        <v>2559</v>
      </c>
      <c r="BC1246" s="75">
        <v>0</v>
      </c>
      <c r="BD1246" s="75">
        <v>0</v>
      </c>
      <c r="BE1246" s="186" t="s">
        <v>2560</v>
      </c>
      <c r="BF1246" s="114" t="s">
        <v>2561</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1" customFormat="1" ht="20.100000000000001" customHeight="1">
      <c r="C1247" s="172">
        <v>65022206</v>
      </c>
      <c r="D1247" s="35" t="s">
        <v>2547</v>
      </c>
      <c r="E1247" s="71" t="s">
        <v>2548</v>
      </c>
      <c r="F1247" s="19">
        <v>5</v>
      </c>
      <c r="G1247" s="19">
        <v>65022201</v>
      </c>
      <c r="H1247" s="72">
        <v>0</v>
      </c>
      <c r="I1247" s="75">
        <v>0</v>
      </c>
      <c r="J1247" s="21">
        <v>0</v>
      </c>
      <c r="K1247" s="21">
        <v>0</v>
      </c>
      <c r="L1247" s="72">
        <v>0</v>
      </c>
      <c r="M1247" s="72">
        <v>0</v>
      </c>
      <c r="N1247" s="72">
        <v>0</v>
      </c>
      <c r="O1247" s="72">
        <v>1</v>
      </c>
      <c r="P1247" s="72">
        <v>0</v>
      </c>
      <c r="Q1247" s="72">
        <v>0</v>
      </c>
      <c r="R1247" s="72">
        <v>0</v>
      </c>
      <c r="S1247" s="73">
        <v>0</v>
      </c>
      <c r="T1247" s="72">
        <v>0</v>
      </c>
      <c r="U1247" s="72">
        <v>1</v>
      </c>
      <c r="V1247" s="72">
        <v>2</v>
      </c>
      <c r="W1247" s="72">
        <v>0</v>
      </c>
      <c r="X1247" s="72">
        <v>3</v>
      </c>
      <c r="Y1247" s="19">
        <v>0</v>
      </c>
      <c r="Z1247" s="72">
        <v>0</v>
      </c>
      <c r="AA1247" s="72">
        <v>1</v>
      </c>
      <c r="AB1247" s="72">
        <v>20</v>
      </c>
      <c r="AC1247" s="72">
        <v>0</v>
      </c>
      <c r="AD1247" s="72">
        <v>0</v>
      </c>
      <c r="AE1247" s="72">
        <v>0</v>
      </c>
      <c r="AF1247" s="72">
        <v>25</v>
      </c>
      <c r="AG1247" s="72">
        <v>1</v>
      </c>
      <c r="AH1247" s="72">
        <v>0</v>
      </c>
      <c r="AI1247" s="73">
        <v>0</v>
      </c>
      <c r="AJ1247" s="73">
        <v>101</v>
      </c>
      <c r="AK1247" s="73">
        <v>0</v>
      </c>
      <c r="AL1247" s="73">
        <v>10</v>
      </c>
      <c r="AM1247" s="72">
        <v>0</v>
      </c>
      <c r="AN1247" s="72">
        <v>0</v>
      </c>
      <c r="AO1247" s="72">
        <v>0</v>
      </c>
      <c r="AP1247" s="72">
        <v>1</v>
      </c>
      <c r="AQ1247" s="72">
        <v>1000</v>
      </c>
      <c r="AR1247" s="72">
        <v>0.4</v>
      </c>
      <c r="AS1247" s="72">
        <v>0</v>
      </c>
      <c r="AT1247" s="73">
        <v>0</v>
      </c>
      <c r="AU1247" s="72" t="s">
        <v>204</v>
      </c>
      <c r="AV1247" s="72"/>
      <c r="AW1247" s="71" t="s">
        <v>768</v>
      </c>
      <c r="AX1247" s="72" t="s">
        <v>221</v>
      </c>
      <c r="AY1247" s="74">
        <v>0</v>
      </c>
      <c r="AZ1247" s="74">
        <v>21402020</v>
      </c>
      <c r="BA1247" s="71" t="s">
        <v>2549</v>
      </c>
      <c r="BB1247" s="344" t="s">
        <v>2562</v>
      </c>
      <c r="BC1247" s="75">
        <v>0</v>
      </c>
      <c r="BD1247" s="75">
        <v>0</v>
      </c>
      <c r="BE1247" s="186" t="s">
        <v>2563</v>
      </c>
      <c r="BF1247" s="114" t="s">
        <v>2564</v>
      </c>
      <c r="BG1247" s="72">
        <v>0</v>
      </c>
      <c r="BH1247" s="72">
        <v>0</v>
      </c>
      <c r="BI1247" s="72">
        <v>0</v>
      </c>
      <c r="BJ1247" s="72">
        <v>0</v>
      </c>
      <c r="BK1247" s="72">
        <v>0</v>
      </c>
      <c r="BL1247" s="72">
        <v>0</v>
      </c>
      <c r="BM1247" s="90">
        <v>0</v>
      </c>
      <c r="BN1247" s="73">
        <v>0</v>
      </c>
      <c r="BO1247" s="73">
        <v>0</v>
      </c>
      <c r="BP1247" s="73">
        <v>0</v>
      </c>
      <c r="BQ1247" s="73">
        <v>0</v>
      </c>
      <c r="BR1247" s="73">
        <v>0</v>
      </c>
      <c r="BS1247" s="73">
        <v>0</v>
      </c>
      <c r="BT1247" s="73">
        <v>0</v>
      </c>
      <c r="BU1247" s="73">
        <v>0</v>
      </c>
      <c r="BV1247" s="23"/>
      <c r="BW1247" s="23"/>
      <c r="BX1247" s="23"/>
      <c r="BY1247" s="23"/>
      <c r="BZ1247" s="23"/>
    </row>
    <row r="1248" spans="1:78" s="2" customFormat="1" ht="20.100000000000001" customHeight="1">
      <c r="A1248" s="219"/>
      <c r="B1248" s="219"/>
      <c r="C1248" s="172">
        <v>65022301</v>
      </c>
      <c r="D1248" s="35" t="s">
        <v>2565</v>
      </c>
      <c r="E1248" s="110" t="s">
        <v>2566</v>
      </c>
      <c r="F1248" s="172">
        <v>0</v>
      </c>
      <c r="G1248" s="19">
        <v>65022301</v>
      </c>
      <c r="H1248" s="172">
        <v>65022302</v>
      </c>
      <c r="I1248" s="105">
        <v>0</v>
      </c>
      <c r="J1248" s="21">
        <v>30</v>
      </c>
      <c r="K1248" s="32">
        <v>5</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3000</v>
      </c>
      <c r="AR1248" s="100">
        <v>0</v>
      </c>
      <c r="AS1248" s="100">
        <v>0</v>
      </c>
      <c r="AT1248" s="323" t="s">
        <v>2567</v>
      </c>
      <c r="AU1248" s="100" t="s">
        <v>204</v>
      </c>
      <c r="AV1248" s="72"/>
      <c r="AW1248" s="72" t="s">
        <v>204</v>
      </c>
      <c r="AX1248" s="72" t="s">
        <v>551</v>
      </c>
      <c r="AY1248" s="72">
        <v>0</v>
      </c>
      <c r="AZ1248" s="72">
        <v>21402030</v>
      </c>
      <c r="BA1248" s="72" t="s">
        <v>1171</v>
      </c>
      <c r="BB1248" s="100">
        <v>0</v>
      </c>
      <c r="BC1248" s="105">
        <v>0</v>
      </c>
      <c r="BD1248" s="105">
        <v>0</v>
      </c>
      <c r="BE1248" s="185" t="str">
        <f>"自身变成一个风暴进行快速移动且自身为无敌状态，对途径的敌方单位造成"&amp;X1248*100&amp;"%攻击伤害+"&amp;Z1248&amp;"点固定伤害"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5665</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65022302</v>
      </c>
      <c r="D1249" s="35" t="s">
        <v>2565</v>
      </c>
      <c r="E1249" s="110" t="s">
        <v>2566</v>
      </c>
      <c r="F1249" s="172">
        <v>1</v>
      </c>
      <c r="G1249" s="19">
        <v>65022301</v>
      </c>
      <c r="H1249" s="172">
        <v>65022303</v>
      </c>
      <c r="I1249" s="105">
        <v>0</v>
      </c>
      <c r="J1249" s="21">
        <v>37</v>
      </c>
      <c r="K1249" s="32">
        <v>2</v>
      </c>
      <c r="L1249" s="107">
        <v>0</v>
      </c>
      <c r="M1249" s="100">
        <v>0</v>
      </c>
      <c r="N1249" s="100">
        <v>0</v>
      </c>
      <c r="O1249" s="100">
        <v>1</v>
      </c>
      <c r="P1249" s="100">
        <v>0</v>
      </c>
      <c r="Q1249" s="100">
        <v>0</v>
      </c>
      <c r="R1249" s="100">
        <v>0</v>
      </c>
      <c r="S1249" s="99">
        <v>0</v>
      </c>
      <c r="T1249" s="100">
        <v>0</v>
      </c>
      <c r="U1249" s="100">
        <v>1</v>
      </c>
      <c r="V1249" s="100">
        <v>1</v>
      </c>
      <c r="W1249" s="100">
        <v>0</v>
      </c>
      <c r="X1249" s="100">
        <v>2.4</v>
      </c>
      <c r="Y1249" s="19">
        <v>0</v>
      </c>
      <c r="Z1249" s="100">
        <v>900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3000</v>
      </c>
      <c r="AR1249" s="100">
        <v>0</v>
      </c>
      <c r="AS1249" s="100">
        <v>0</v>
      </c>
      <c r="AT1249" s="323" t="s">
        <v>2567</v>
      </c>
      <c r="AU1249" s="100" t="s">
        <v>204</v>
      </c>
      <c r="AV1249" s="72"/>
      <c r="AW1249" s="72" t="s">
        <v>204</v>
      </c>
      <c r="AX1249" s="72" t="s">
        <v>551</v>
      </c>
      <c r="AY1249" s="72">
        <v>0</v>
      </c>
      <c r="AZ1249" s="72">
        <v>21402030</v>
      </c>
      <c r="BA1249" s="72" t="s">
        <v>1171</v>
      </c>
      <c r="BB1249" s="100">
        <v>0</v>
      </c>
      <c r="BC1249" s="105">
        <v>0</v>
      </c>
      <c r="BD1249" s="105">
        <v>0</v>
      </c>
      <c r="BE1249" s="185" t="str">
        <f t="shared" ref="BE1249:BE1253" si="136">"自身变成一个风暴进行快速移动且自身为无敌状态，对途径的敌方单位造成"&amp;X1249*100&amp;"%攻击伤害+"&amp;Z1249&amp;"点固定伤害"</f>
        <v>自身变成一个风暴进行快速移动且自身为无敌状态，对途径的敌方单位造成240%攻击伤害+900点固定伤害</v>
      </c>
      <c r="BF1249" s="185" t="s">
        <v>5665</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65022303</v>
      </c>
      <c r="D1250" s="35" t="s">
        <v>2565</v>
      </c>
      <c r="E1250" s="110" t="s">
        <v>2566</v>
      </c>
      <c r="F1250" s="172">
        <v>2</v>
      </c>
      <c r="G1250" s="19">
        <v>65022301</v>
      </c>
      <c r="H1250" s="172">
        <v>65022304</v>
      </c>
      <c r="I1250" s="105">
        <v>0</v>
      </c>
      <c r="J1250" s="21">
        <v>42</v>
      </c>
      <c r="K1250" s="32">
        <v>2</v>
      </c>
      <c r="L1250" s="107">
        <v>0</v>
      </c>
      <c r="M1250" s="100">
        <v>0</v>
      </c>
      <c r="N1250" s="100">
        <v>0</v>
      </c>
      <c r="O1250" s="100">
        <v>1</v>
      </c>
      <c r="P1250" s="100">
        <v>0</v>
      </c>
      <c r="Q1250" s="100">
        <v>0</v>
      </c>
      <c r="R1250" s="100">
        <v>0</v>
      </c>
      <c r="S1250" s="99">
        <v>0</v>
      </c>
      <c r="T1250" s="100">
        <v>0</v>
      </c>
      <c r="U1250" s="100">
        <v>1</v>
      </c>
      <c r="V1250" s="100">
        <v>1</v>
      </c>
      <c r="W1250" s="100">
        <v>0</v>
      </c>
      <c r="X1250" s="100">
        <v>2.7</v>
      </c>
      <c r="Y1250" s="19">
        <v>0</v>
      </c>
      <c r="Z1250" s="100">
        <v>1800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3000</v>
      </c>
      <c r="AR1250" s="100">
        <v>0</v>
      </c>
      <c r="AS1250" s="100">
        <v>0</v>
      </c>
      <c r="AT1250" s="323" t="s">
        <v>2567</v>
      </c>
      <c r="AU1250" s="100" t="s">
        <v>204</v>
      </c>
      <c r="AV1250" s="72"/>
      <c r="AW1250" s="72" t="s">
        <v>204</v>
      </c>
      <c r="AX1250" s="72" t="s">
        <v>551</v>
      </c>
      <c r="AY1250" s="72">
        <v>0</v>
      </c>
      <c r="AZ1250" s="72">
        <v>21402030</v>
      </c>
      <c r="BA1250" s="72" t="s">
        <v>1171</v>
      </c>
      <c r="BB1250" s="100">
        <v>0</v>
      </c>
      <c r="BC1250" s="105">
        <v>0</v>
      </c>
      <c r="BD1250" s="105">
        <v>0</v>
      </c>
      <c r="BE1250" s="185" t="str">
        <f t="shared" si="136"/>
        <v>自身变成一个风暴进行快速移动且自身为无敌状态，对途径的敌方单位造成270%攻击伤害+1800点固定伤害</v>
      </c>
      <c r="BF1250" s="185" t="s">
        <v>5666</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65022304</v>
      </c>
      <c r="D1251" s="35" t="s">
        <v>2565</v>
      </c>
      <c r="E1251" s="110" t="s">
        <v>2566</v>
      </c>
      <c r="F1251" s="172">
        <v>3</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v>
      </c>
      <c r="Y1251" s="19">
        <v>0</v>
      </c>
      <c r="Z1251" s="100">
        <v>2800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3000</v>
      </c>
      <c r="AR1251" s="100">
        <v>0</v>
      </c>
      <c r="AS1251" s="100">
        <v>0</v>
      </c>
      <c r="AT1251" s="323" t="s">
        <v>2567</v>
      </c>
      <c r="AU1251" s="100" t="s">
        <v>204</v>
      </c>
      <c r="AV1251" s="72"/>
      <c r="AW1251" s="72" t="s">
        <v>204</v>
      </c>
      <c r="AX1251" s="72" t="s">
        <v>551</v>
      </c>
      <c r="AY1251" s="72">
        <v>0</v>
      </c>
      <c r="AZ1251" s="72">
        <v>21402030</v>
      </c>
      <c r="BA1251" s="72" t="s">
        <v>1171</v>
      </c>
      <c r="BB1251" s="100">
        <v>0</v>
      </c>
      <c r="BC1251" s="105">
        <v>0</v>
      </c>
      <c r="BD1251" s="105">
        <v>0</v>
      </c>
      <c r="BE1251" s="185" t="str">
        <f t="shared" si="136"/>
        <v>自身变成一个风暴进行快速移动且自身为无敌状态，对途径的敌方单位造成300%攻击伤害+2800点固定伤害</v>
      </c>
      <c r="BF1251" s="185" t="s">
        <v>5667</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65022305</v>
      </c>
      <c r="D1252" s="35" t="s">
        <v>2565</v>
      </c>
      <c r="E1252" s="110" t="s">
        <v>2566</v>
      </c>
      <c r="F1252" s="172">
        <v>4</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3.3</v>
      </c>
      <c r="Y1252" s="19">
        <v>0</v>
      </c>
      <c r="Z1252" s="100">
        <v>4000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3000</v>
      </c>
      <c r="AR1252" s="100">
        <v>0</v>
      </c>
      <c r="AS1252" s="100">
        <v>0</v>
      </c>
      <c r="AT1252" s="323" t="s">
        <v>2567</v>
      </c>
      <c r="AU1252" s="100" t="s">
        <v>204</v>
      </c>
      <c r="AV1252" s="72"/>
      <c r="AW1252" s="72" t="s">
        <v>204</v>
      </c>
      <c r="AX1252" s="72" t="s">
        <v>551</v>
      </c>
      <c r="AY1252" s="72">
        <v>0</v>
      </c>
      <c r="AZ1252" s="72">
        <v>21402030</v>
      </c>
      <c r="BA1252" s="72" t="s">
        <v>1171</v>
      </c>
      <c r="BB1252" s="100">
        <v>0</v>
      </c>
      <c r="BC1252" s="105">
        <v>0</v>
      </c>
      <c r="BD1252" s="105">
        <v>0</v>
      </c>
      <c r="BE1252" s="185" t="str">
        <f t="shared" si="136"/>
        <v>自身变成一个风暴进行快速移动且自身为无敌状态，对途径的敌方单位造成330%攻击伤害+4000点固定伤害</v>
      </c>
      <c r="BF1252" s="185" t="s">
        <v>5668</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s="2" customFormat="1" ht="20.100000000000001" customHeight="1">
      <c r="A1253" s="219"/>
      <c r="B1253" s="219"/>
      <c r="C1253" s="172">
        <v>65022306</v>
      </c>
      <c r="D1253" s="35" t="s">
        <v>2565</v>
      </c>
      <c r="E1253" s="110" t="s">
        <v>2566</v>
      </c>
      <c r="F1253" s="172">
        <v>5</v>
      </c>
      <c r="G1253" s="19">
        <v>65022301</v>
      </c>
      <c r="H1253" s="72">
        <v>0</v>
      </c>
      <c r="I1253" s="105">
        <v>0</v>
      </c>
      <c r="J1253" s="32">
        <v>0</v>
      </c>
      <c r="K1253" s="32">
        <v>0</v>
      </c>
      <c r="L1253" s="107">
        <v>0</v>
      </c>
      <c r="M1253" s="100">
        <v>0</v>
      </c>
      <c r="N1253" s="100">
        <v>0</v>
      </c>
      <c r="O1253" s="100">
        <v>1</v>
      </c>
      <c r="P1253" s="100">
        <v>0</v>
      </c>
      <c r="Q1253" s="100">
        <v>0</v>
      </c>
      <c r="R1253" s="100">
        <v>0</v>
      </c>
      <c r="S1253" s="99">
        <v>0</v>
      </c>
      <c r="T1253" s="100">
        <v>0</v>
      </c>
      <c r="U1253" s="100">
        <v>1</v>
      </c>
      <c r="V1253" s="100">
        <v>1</v>
      </c>
      <c r="W1253" s="100">
        <v>0</v>
      </c>
      <c r="X1253" s="100">
        <v>3.6</v>
      </c>
      <c r="Y1253" s="19">
        <v>0</v>
      </c>
      <c r="Z1253" s="100">
        <v>5200</v>
      </c>
      <c r="AA1253" s="100">
        <v>0</v>
      </c>
      <c r="AB1253" s="32">
        <v>25</v>
      </c>
      <c r="AC1253" s="100">
        <v>0</v>
      </c>
      <c r="AD1253" s="100">
        <v>0</v>
      </c>
      <c r="AE1253" s="100">
        <v>0</v>
      </c>
      <c r="AF1253" s="19">
        <v>18</v>
      </c>
      <c r="AG1253" s="100">
        <v>1</v>
      </c>
      <c r="AH1253" s="100">
        <v>4</v>
      </c>
      <c r="AI1253" s="99">
        <v>2</v>
      </c>
      <c r="AJ1253" s="99">
        <v>0</v>
      </c>
      <c r="AK1253" s="99">
        <v>0</v>
      </c>
      <c r="AL1253" s="99">
        <v>0</v>
      </c>
      <c r="AM1253" s="100">
        <v>0</v>
      </c>
      <c r="AN1253" s="100">
        <v>0</v>
      </c>
      <c r="AO1253" s="100">
        <v>0</v>
      </c>
      <c r="AP1253" s="107">
        <v>0</v>
      </c>
      <c r="AQ1253" s="100">
        <v>3000</v>
      </c>
      <c r="AR1253" s="100">
        <v>0</v>
      </c>
      <c r="AS1253" s="100">
        <v>0</v>
      </c>
      <c r="AT1253" s="323" t="s">
        <v>2567</v>
      </c>
      <c r="AU1253" s="100" t="s">
        <v>204</v>
      </c>
      <c r="AV1253" s="72"/>
      <c r="AW1253" s="72" t="s">
        <v>204</v>
      </c>
      <c r="AX1253" s="72" t="s">
        <v>551</v>
      </c>
      <c r="AY1253" s="72">
        <v>0</v>
      </c>
      <c r="AZ1253" s="72">
        <v>21402030</v>
      </c>
      <c r="BA1253" s="72" t="s">
        <v>1171</v>
      </c>
      <c r="BB1253" s="100">
        <v>0</v>
      </c>
      <c r="BC1253" s="105">
        <v>0</v>
      </c>
      <c r="BD1253" s="105">
        <v>0</v>
      </c>
      <c r="BE1253" s="185" t="str">
        <f t="shared" si="136"/>
        <v>自身变成一个风暴进行快速移动且自身为无敌状态，对途径的敌方单位造成360%攻击伤害+5200点固定伤害</v>
      </c>
      <c r="BF1253" s="185" t="s">
        <v>5669</v>
      </c>
      <c r="BG1253" s="100">
        <v>0</v>
      </c>
      <c r="BH1253" s="100">
        <v>0</v>
      </c>
      <c r="BI1253" s="100">
        <v>0</v>
      </c>
      <c r="BJ1253" s="100">
        <v>0</v>
      </c>
      <c r="BK1253" s="100">
        <v>0</v>
      </c>
      <c r="BL1253" s="100">
        <v>0</v>
      </c>
      <c r="BM1253" s="97">
        <v>0</v>
      </c>
      <c r="BN1253" s="99">
        <v>0</v>
      </c>
      <c r="BO1253" s="99">
        <v>0</v>
      </c>
      <c r="BP1253" s="99">
        <v>0</v>
      </c>
      <c r="BQ1253" s="99">
        <v>0</v>
      </c>
      <c r="BR1253" s="99">
        <v>0</v>
      </c>
      <c r="BS1253" s="99">
        <v>0</v>
      </c>
      <c r="BT1253" s="99">
        <v>0</v>
      </c>
      <c r="BU1253" s="99">
        <v>0</v>
      </c>
      <c r="BV1253" s="23"/>
      <c r="BW1253" s="23"/>
      <c r="BX1253" s="23"/>
      <c r="BY1253" s="23"/>
      <c r="BZ1253" s="23"/>
    </row>
    <row r="1254" spans="1:78" ht="19.5" customHeight="1">
      <c r="C1254" s="172">
        <v>65022401</v>
      </c>
      <c r="D1254" s="205" t="s">
        <v>2568</v>
      </c>
      <c r="E1254" s="205" t="s">
        <v>2569</v>
      </c>
      <c r="F1254" s="176">
        <v>0</v>
      </c>
      <c r="G1254" s="19">
        <v>65022401</v>
      </c>
      <c r="H1254" s="172">
        <v>65022402</v>
      </c>
      <c r="I1254" s="174">
        <v>0</v>
      </c>
      <c r="J1254" s="21">
        <v>35</v>
      </c>
      <c r="K1254" s="32">
        <v>5</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1769</v>
      </c>
      <c r="AX1254" s="176" t="s">
        <v>1047</v>
      </c>
      <c r="AY1254" s="176">
        <v>0</v>
      </c>
      <c r="AZ1254" s="74">
        <f t="shared" ref="AZ1254:AZ1259" si="137">AZ1248+10</f>
        <v>21402040</v>
      </c>
      <c r="BA1254" s="205" t="s">
        <v>2135</v>
      </c>
      <c r="BB1254" s="343" t="s">
        <v>2570</v>
      </c>
      <c r="BC1254" s="174">
        <v>0</v>
      </c>
      <c r="BD1254" s="174">
        <v>0</v>
      </c>
      <c r="BE1254" s="211" t="s">
        <v>2571</v>
      </c>
      <c r="BF1254" s="211" t="s">
        <v>2572</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65022402</v>
      </c>
      <c r="D1255" s="205" t="s">
        <v>2568</v>
      </c>
      <c r="E1255" s="205" t="s">
        <v>2569</v>
      </c>
      <c r="F1255" s="176">
        <v>1</v>
      </c>
      <c r="G1255" s="19">
        <v>65022401</v>
      </c>
      <c r="H1255" s="172">
        <v>65022403</v>
      </c>
      <c r="I1255" s="174">
        <v>0</v>
      </c>
      <c r="J1255" s="21">
        <v>42</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1769</v>
      </c>
      <c r="AX1255" s="176" t="s">
        <v>1047</v>
      </c>
      <c r="AY1255" s="176">
        <v>0</v>
      </c>
      <c r="AZ1255" s="74">
        <f t="shared" si="137"/>
        <v>21402040</v>
      </c>
      <c r="BA1255" s="205" t="s">
        <v>2135</v>
      </c>
      <c r="BB1255" s="343" t="s">
        <v>2570</v>
      </c>
      <c r="BC1255" s="174">
        <v>0</v>
      </c>
      <c r="BD1255" s="174">
        <v>0</v>
      </c>
      <c r="BE1255" s="211" t="s">
        <v>2571</v>
      </c>
      <c r="BF1255" s="211" t="s">
        <v>2572</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65022403</v>
      </c>
      <c r="D1256" s="205" t="s">
        <v>5693</v>
      </c>
      <c r="E1256" s="205" t="s">
        <v>2569</v>
      </c>
      <c r="F1256" s="176">
        <v>2</v>
      </c>
      <c r="G1256" s="19">
        <v>65022401</v>
      </c>
      <c r="H1256" s="172">
        <v>65022404</v>
      </c>
      <c r="I1256" s="174">
        <v>0</v>
      </c>
      <c r="J1256" s="21">
        <v>47</v>
      </c>
      <c r="K1256" s="32">
        <v>2</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1769</v>
      </c>
      <c r="AX1256" s="176" t="s">
        <v>1047</v>
      </c>
      <c r="AY1256" s="176">
        <v>0</v>
      </c>
      <c r="AZ1256" s="74">
        <f t="shared" si="137"/>
        <v>21402040</v>
      </c>
      <c r="BA1256" s="205" t="s">
        <v>2135</v>
      </c>
      <c r="BB1256" s="343" t="s">
        <v>2573</v>
      </c>
      <c r="BC1256" s="174">
        <v>0</v>
      </c>
      <c r="BD1256" s="174">
        <v>0</v>
      </c>
      <c r="BE1256" s="211" t="s">
        <v>2574</v>
      </c>
      <c r="BF1256" s="211" t="s">
        <v>2575</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65022404</v>
      </c>
      <c r="D1257" s="205" t="s">
        <v>2568</v>
      </c>
      <c r="E1257" s="205" t="s">
        <v>2569</v>
      </c>
      <c r="F1257" s="176">
        <v>3</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1769</v>
      </c>
      <c r="AX1257" s="176" t="s">
        <v>1047</v>
      </c>
      <c r="AY1257" s="176">
        <v>0</v>
      </c>
      <c r="AZ1257" s="74">
        <f t="shared" si="137"/>
        <v>21402040</v>
      </c>
      <c r="BA1257" s="205" t="s">
        <v>2135</v>
      </c>
      <c r="BB1257" s="343" t="s">
        <v>2576</v>
      </c>
      <c r="BC1257" s="174">
        <v>0</v>
      </c>
      <c r="BD1257" s="174">
        <v>0</v>
      </c>
      <c r="BE1257" s="211" t="s">
        <v>2577</v>
      </c>
      <c r="BF1257" s="211" t="s">
        <v>2578</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65022405</v>
      </c>
      <c r="D1258" s="205" t="s">
        <v>2568</v>
      </c>
      <c r="E1258" s="205" t="s">
        <v>2569</v>
      </c>
      <c r="F1258" s="176">
        <v>4</v>
      </c>
      <c r="G1258" s="19">
        <v>65022401</v>
      </c>
      <c r="H1258" s="172">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1769</v>
      </c>
      <c r="AX1258" s="176" t="s">
        <v>1047</v>
      </c>
      <c r="AY1258" s="176">
        <v>0</v>
      </c>
      <c r="AZ1258" s="74">
        <f t="shared" si="137"/>
        <v>21402040</v>
      </c>
      <c r="BA1258" s="205" t="s">
        <v>2135</v>
      </c>
      <c r="BB1258" s="343" t="s">
        <v>2579</v>
      </c>
      <c r="BC1258" s="174">
        <v>0</v>
      </c>
      <c r="BD1258" s="174">
        <v>0</v>
      </c>
      <c r="BE1258" s="211" t="s">
        <v>2580</v>
      </c>
      <c r="BF1258" s="211" t="s">
        <v>5691</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19.5" customHeight="1">
      <c r="C1259" s="172">
        <v>65022406</v>
      </c>
      <c r="D1259" s="205" t="s">
        <v>2568</v>
      </c>
      <c r="E1259" s="205" t="s">
        <v>2569</v>
      </c>
      <c r="F1259" s="176">
        <v>5</v>
      </c>
      <c r="G1259" s="19">
        <v>65022401</v>
      </c>
      <c r="H1259" s="176">
        <v>0</v>
      </c>
      <c r="I1259" s="174">
        <v>0</v>
      </c>
      <c r="J1259" s="32">
        <v>0</v>
      </c>
      <c r="K1259" s="32">
        <v>0</v>
      </c>
      <c r="L1259" s="176">
        <v>0</v>
      </c>
      <c r="M1259" s="176">
        <v>0</v>
      </c>
      <c r="N1259" s="176">
        <v>0</v>
      </c>
      <c r="O1259" s="172">
        <v>1</v>
      </c>
      <c r="P1259" s="176">
        <v>0</v>
      </c>
      <c r="Q1259" s="176">
        <v>0</v>
      </c>
      <c r="R1259" s="176">
        <v>0</v>
      </c>
      <c r="S1259" s="175">
        <v>0</v>
      </c>
      <c r="T1259" s="174">
        <v>0</v>
      </c>
      <c r="U1259" s="172">
        <v>1</v>
      </c>
      <c r="V1259" s="176">
        <v>2</v>
      </c>
      <c r="W1259" s="176">
        <v>0</v>
      </c>
      <c r="X1259" s="176">
        <v>0</v>
      </c>
      <c r="Y1259" s="19">
        <v>0</v>
      </c>
      <c r="Z1259" s="176">
        <v>0</v>
      </c>
      <c r="AA1259" s="176">
        <v>0</v>
      </c>
      <c r="AB1259" s="32">
        <v>30</v>
      </c>
      <c r="AC1259" s="176">
        <v>0</v>
      </c>
      <c r="AD1259" s="176">
        <v>0</v>
      </c>
      <c r="AE1259" s="176">
        <v>0</v>
      </c>
      <c r="AF1259" s="176">
        <v>24</v>
      </c>
      <c r="AG1259" s="176">
        <v>1</v>
      </c>
      <c r="AH1259" s="176">
        <v>2</v>
      </c>
      <c r="AI1259" s="175">
        <v>2</v>
      </c>
      <c r="AJ1259" s="175">
        <v>1</v>
      </c>
      <c r="AK1259" s="175">
        <v>0</v>
      </c>
      <c r="AL1259" s="175">
        <v>5</v>
      </c>
      <c r="AM1259" s="176">
        <v>0</v>
      </c>
      <c r="AN1259" s="176">
        <v>0</v>
      </c>
      <c r="AO1259" s="176">
        <v>0</v>
      </c>
      <c r="AP1259" s="176">
        <v>0.5</v>
      </c>
      <c r="AQ1259" s="176">
        <v>2000</v>
      </c>
      <c r="AR1259" s="176">
        <v>0</v>
      </c>
      <c r="AS1259" s="176">
        <v>0</v>
      </c>
      <c r="AT1259" s="175">
        <v>0</v>
      </c>
      <c r="AU1259" s="176" t="s">
        <v>204</v>
      </c>
      <c r="AV1259" s="176"/>
      <c r="AW1259" s="173" t="s">
        <v>1769</v>
      </c>
      <c r="AX1259" s="176" t="s">
        <v>1047</v>
      </c>
      <c r="AY1259" s="176">
        <v>0</v>
      </c>
      <c r="AZ1259" s="74">
        <f t="shared" si="137"/>
        <v>21402040</v>
      </c>
      <c r="BA1259" s="205" t="s">
        <v>2135</v>
      </c>
      <c r="BB1259" s="343" t="s">
        <v>2581</v>
      </c>
      <c r="BC1259" s="174">
        <v>0</v>
      </c>
      <c r="BD1259" s="174">
        <v>0</v>
      </c>
      <c r="BE1259" s="211" t="s">
        <v>2582</v>
      </c>
      <c r="BF1259" s="211" t="s">
        <v>5692</v>
      </c>
      <c r="BG1259" s="176">
        <v>0</v>
      </c>
      <c r="BH1259" s="172">
        <v>0</v>
      </c>
      <c r="BI1259" s="176">
        <v>0</v>
      </c>
      <c r="BJ1259" s="176">
        <v>0</v>
      </c>
      <c r="BK1259" s="176">
        <v>0</v>
      </c>
      <c r="BL1259" s="176">
        <v>0</v>
      </c>
      <c r="BM1259" s="178">
        <v>0</v>
      </c>
      <c r="BN1259" s="175">
        <v>0</v>
      </c>
      <c r="BO1259" s="175">
        <v>0</v>
      </c>
      <c r="BP1259" s="175">
        <v>0</v>
      </c>
      <c r="BQ1259" s="175">
        <v>0</v>
      </c>
      <c r="BR1259" s="175">
        <v>0</v>
      </c>
      <c r="BS1259" s="175">
        <v>0</v>
      </c>
      <c r="BT1259" s="19">
        <v>0</v>
      </c>
      <c r="BU1259" s="23">
        <v>0</v>
      </c>
      <c r="BV1259" s="23"/>
      <c r="BW1259" s="23"/>
      <c r="BX1259" s="23"/>
      <c r="BY1259" s="23"/>
      <c r="BZ1259" s="23"/>
    </row>
    <row r="1260" spans="1:78" ht="20.100000000000001" customHeight="1">
      <c r="C1260" s="21">
        <v>65023101</v>
      </c>
      <c r="D1260" s="30" t="s">
        <v>5705</v>
      </c>
      <c r="E1260" s="30" t="s">
        <v>2584</v>
      </c>
      <c r="F1260" s="32">
        <v>0</v>
      </c>
      <c r="G1260" s="19">
        <v>65023101</v>
      </c>
      <c r="H1260" s="21">
        <v>65023102</v>
      </c>
      <c r="I1260" s="31">
        <v>0</v>
      </c>
      <c r="J1260" s="21">
        <v>18</v>
      </c>
      <c r="K1260" s="21">
        <v>5</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25</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37" t="s">
        <v>2585</v>
      </c>
      <c r="BC1260" s="31">
        <v>0</v>
      </c>
      <c r="BD1260" s="31">
        <v>0</v>
      </c>
      <c r="BE1260" s="33" t="s">
        <v>2586</v>
      </c>
      <c r="BF1260" s="33" t="s">
        <v>2587</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65023102</v>
      </c>
      <c r="D1261" s="30" t="s">
        <v>2583</v>
      </c>
      <c r="E1261" s="30" t="s">
        <v>2584</v>
      </c>
      <c r="F1261" s="32">
        <v>1</v>
      </c>
      <c r="G1261" s="19">
        <v>65023101</v>
      </c>
      <c r="H1261" s="21">
        <v>65023103</v>
      </c>
      <c r="I1261" s="31">
        <v>0</v>
      </c>
      <c r="J1261" s="21">
        <v>27</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25</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37" t="s">
        <v>2585</v>
      </c>
      <c r="BC1261" s="31">
        <v>0</v>
      </c>
      <c r="BD1261" s="31">
        <v>0</v>
      </c>
      <c r="BE1261" s="33" t="s">
        <v>2586</v>
      </c>
      <c r="BF1261" s="33" t="s">
        <v>2587</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20.100000000000001" customHeight="1">
      <c r="C1262" s="21">
        <v>65023103</v>
      </c>
      <c r="D1262" s="30" t="s">
        <v>2583</v>
      </c>
      <c r="E1262" s="30" t="s">
        <v>2584</v>
      </c>
      <c r="F1262" s="32">
        <v>2</v>
      </c>
      <c r="G1262" s="19">
        <v>65023101</v>
      </c>
      <c r="H1262" s="21">
        <v>65023104</v>
      </c>
      <c r="I1262" s="31">
        <v>0</v>
      </c>
      <c r="J1262" s="21">
        <v>32</v>
      </c>
      <c r="K1262" s="21">
        <v>2</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25</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37" t="s">
        <v>2588</v>
      </c>
      <c r="BC1262" s="31">
        <v>0</v>
      </c>
      <c r="BD1262" s="31">
        <v>0</v>
      </c>
      <c r="BE1262" s="33" t="s">
        <v>2589</v>
      </c>
      <c r="BF1262" s="33" t="s">
        <v>2590</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65023104</v>
      </c>
      <c r="D1263" s="30" t="s">
        <v>2583</v>
      </c>
      <c r="E1263" s="30" t="s">
        <v>2584</v>
      </c>
      <c r="F1263" s="32">
        <v>3</v>
      </c>
      <c r="G1263" s="19">
        <v>65023101</v>
      </c>
      <c r="H1263" s="21">
        <v>0</v>
      </c>
      <c r="I1263" s="31">
        <v>0</v>
      </c>
      <c r="J1263" s="21">
        <v>0</v>
      </c>
      <c r="K1263" s="182">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25</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37" t="s">
        <v>2591</v>
      </c>
      <c r="BC1263" s="31">
        <v>0</v>
      </c>
      <c r="BD1263" s="31">
        <v>0</v>
      </c>
      <c r="BE1263" s="33" t="s">
        <v>2592</v>
      </c>
      <c r="BF1263" s="33" t="s">
        <v>2593</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65023105</v>
      </c>
      <c r="D1264" s="30" t="s">
        <v>2583</v>
      </c>
      <c r="E1264" s="30" t="s">
        <v>2584</v>
      </c>
      <c r="F1264" s="32">
        <v>4</v>
      </c>
      <c r="G1264" s="19">
        <v>65023101</v>
      </c>
      <c r="H1264" s="21">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25</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37" t="s">
        <v>2594</v>
      </c>
      <c r="BC1264" s="31">
        <v>0</v>
      </c>
      <c r="BD1264" s="31">
        <v>0</v>
      </c>
      <c r="BE1264" s="33" t="s">
        <v>2595</v>
      </c>
      <c r="BF1264" s="33" t="s">
        <v>2596</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ht="19.5" customHeight="1">
      <c r="C1265" s="21">
        <v>65023106</v>
      </c>
      <c r="D1265" s="30" t="s">
        <v>2583</v>
      </c>
      <c r="E1265" s="30" t="s">
        <v>2584</v>
      </c>
      <c r="F1265" s="32">
        <v>5</v>
      </c>
      <c r="G1265" s="19">
        <v>65023101</v>
      </c>
      <c r="H1265" s="32">
        <v>0</v>
      </c>
      <c r="I1265" s="31">
        <v>0</v>
      </c>
      <c r="J1265" s="21">
        <v>0</v>
      </c>
      <c r="K1265" s="21">
        <v>0</v>
      </c>
      <c r="L1265" s="32">
        <v>0</v>
      </c>
      <c r="M1265" s="21">
        <v>0</v>
      </c>
      <c r="N1265" s="21">
        <v>0</v>
      </c>
      <c r="O1265" s="21">
        <v>1</v>
      </c>
      <c r="P1265" s="21">
        <v>0</v>
      </c>
      <c r="Q1265" s="21">
        <v>0</v>
      </c>
      <c r="R1265" s="21">
        <v>0</v>
      </c>
      <c r="S1265" s="19">
        <v>0</v>
      </c>
      <c r="T1265" s="21">
        <v>0</v>
      </c>
      <c r="U1265" s="21">
        <v>1</v>
      </c>
      <c r="V1265" s="21">
        <v>2</v>
      </c>
      <c r="W1265" s="21">
        <v>0</v>
      </c>
      <c r="X1265" s="21">
        <v>0</v>
      </c>
      <c r="Y1265" s="19">
        <v>0</v>
      </c>
      <c r="Z1265" s="21">
        <v>0</v>
      </c>
      <c r="AA1265" s="21">
        <v>0</v>
      </c>
      <c r="AB1265" s="21">
        <v>15</v>
      </c>
      <c r="AC1265" s="21">
        <v>0</v>
      </c>
      <c r="AD1265" s="21">
        <v>0</v>
      </c>
      <c r="AE1265" s="21">
        <v>0</v>
      </c>
      <c r="AF1265" s="21">
        <v>25</v>
      </c>
      <c r="AG1265" s="21">
        <v>0</v>
      </c>
      <c r="AH1265" s="21">
        <v>0</v>
      </c>
      <c r="AI1265" s="19">
        <v>0</v>
      </c>
      <c r="AJ1265" s="19">
        <v>0</v>
      </c>
      <c r="AK1265" s="19">
        <v>0</v>
      </c>
      <c r="AL1265" s="19">
        <v>1.5</v>
      </c>
      <c r="AM1265" s="21">
        <v>0</v>
      </c>
      <c r="AN1265" s="21">
        <v>0</v>
      </c>
      <c r="AO1265" s="21">
        <v>0</v>
      </c>
      <c r="AP1265" s="32">
        <v>0.25</v>
      </c>
      <c r="AQ1265" s="21">
        <v>3000</v>
      </c>
      <c r="AR1265" s="21">
        <v>0</v>
      </c>
      <c r="AS1265" s="21">
        <v>0</v>
      </c>
      <c r="AT1265" s="19">
        <v>0</v>
      </c>
      <c r="AU1265" s="21" t="s">
        <v>204</v>
      </c>
      <c r="AV1265" s="21"/>
      <c r="AW1265" s="30" t="s">
        <v>205</v>
      </c>
      <c r="AX1265" s="21" t="s">
        <v>551</v>
      </c>
      <c r="AY1265" s="32">
        <v>0</v>
      </c>
      <c r="AZ1265" s="32">
        <v>21403010</v>
      </c>
      <c r="BA1265" s="30" t="s">
        <v>1180</v>
      </c>
      <c r="BB1265" s="337" t="s">
        <v>2597</v>
      </c>
      <c r="BC1265" s="31">
        <v>0</v>
      </c>
      <c r="BD1265" s="31">
        <v>0</v>
      </c>
      <c r="BE1265" s="33" t="s">
        <v>2598</v>
      </c>
      <c r="BF1265" s="33" t="s">
        <v>2599</v>
      </c>
      <c r="BG1265" s="21">
        <v>0</v>
      </c>
      <c r="BH1265" s="21">
        <v>0</v>
      </c>
      <c r="BI1265" s="21">
        <v>0</v>
      </c>
      <c r="BJ1265" s="21">
        <v>0</v>
      </c>
      <c r="BK1265" s="21">
        <v>0</v>
      </c>
      <c r="BL1265" s="21">
        <v>0</v>
      </c>
      <c r="BM1265" s="25">
        <v>0</v>
      </c>
      <c r="BN1265" s="19">
        <v>0</v>
      </c>
      <c r="BO1265" s="19">
        <v>0</v>
      </c>
      <c r="BP1265" s="19">
        <v>0</v>
      </c>
      <c r="BQ1265" s="19">
        <v>0</v>
      </c>
      <c r="BR1265" s="19">
        <v>0</v>
      </c>
      <c r="BS1265" s="19">
        <v>0</v>
      </c>
      <c r="BT1265" s="19">
        <v>0</v>
      </c>
      <c r="BU1265" s="23">
        <v>0</v>
      </c>
      <c r="BV1265" s="23"/>
      <c r="BW1265" s="23"/>
      <c r="BX1265" s="23"/>
      <c r="BY1265" s="23"/>
      <c r="BZ1265" s="23"/>
    </row>
    <row r="1266" spans="3:78" s="1" customFormat="1" ht="20.100000000000001" customHeight="1">
      <c r="C1266" s="73">
        <v>65023111</v>
      </c>
      <c r="D1266" s="131" t="s">
        <v>1450</v>
      </c>
      <c r="E1266" s="131" t="s">
        <v>1451</v>
      </c>
      <c r="F1266" s="73">
        <v>1</v>
      </c>
      <c r="G1266" s="73">
        <v>65011101</v>
      </c>
      <c r="H1266" s="73">
        <v>0</v>
      </c>
      <c r="I1266" s="73">
        <v>0</v>
      </c>
      <c r="J1266" s="73">
        <v>1</v>
      </c>
      <c r="K1266" s="73">
        <v>0</v>
      </c>
      <c r="L1266" s="73">
        <v>0</v>
      </c>
      <c r="M1266" s="73">
        <v>0</v>
      </c>
      <c r="N1266" s="73">
        <v>0</v>
      </c>
      <c r="O1266" s="73">
        <v>2</v>
      </c>
      <c r="P1266" s="73">
        <v>1</v>
      </c>
      <c r="Q1266" s="73">
        <v>0.2</v>
      </c>
      <c r="R1266" s="73">
        <v>0</v>
      </c>
      <c r="S1266" s="73">
        <v>0</v>
      </c>
      <c r="T1266" s="73">
        <v>0</v>
      </c>
      <c r="U1266" s="73">
        <v>1</v>
      </c>
      <c r="V1266" s="73">
        <v>2</v>
      </c>
      <c r="W1266" s="73">
        <v>0</v>
      </c>
      <c r="X1266" s="73">
        <v>2.5</v>
      </c>
      <c r="Y1266" s="73">
        <v>0</v>
      </c>
      <c r="Z1266" s="73">
        <v>1000</v>
      </c>
      <c r="AA1266" s="73">
        <v>1</v>
      </c>
      <c r="AB1266" s="73">
        <v>15</v>
      </c>
      <c r="AC1266" s="73">
        <v>0</v>
      </c>
      <c r="AD1266" s="73">
        <v>0</v>
      </c>
      <c r="AE1266" s="73">
        <v>0</v>
      </c>
      <c r="AF1266" s="73">
        <v>6</v>
      </c>
      <c r="AG1266" s="73">
        <v>1</v>
      </c>
      <c r="AH1266" s="73">
        <v>4</v>
      </c>
      <c r="AI1266" s="73">
        <v>2</v>
      </c>
      <c r="AJ1266" s="73">
        <v>1</v>
      </c>
      <c r="AK1266" s="73">
        <v>0</v>
      </c>
      <c r="AL1266" s="73">
        <v>7</v>
      </c>
      <c r="AM1266" s="73">
        <v>0</v>
      </c>
      <c r="AN1266" s="73">
        <v>0</v>
      </c>
      <c r="AO1266" s="73">
        <v>0</v>
      </c>
      <c r="AP1266" s="73">
        <v>0.5</v>
      </c>
      <c r="AQ1266" s="73">
        <v>6000</v>
      </c>
      <c r="AR1266" s="73">
        <v>0.5</v>
      </c>
      <c r="AS1266" s="73">
        <v>0</v>
      </c>
      <c r="AT1266" s="73">
        <v>0</v>
      </c>
      <c r="AU1266" s="73">
        <v>92040010</v>
      </c>
      <c r="AV1266" s="73"/>
      <c r="AW1266" s="131" t="s">
        <v>623</v>
      </c>
      <c r="AX1266" s="73" t="s">
        <v>1047</v>
      </c>
      <c r="AY1266" s="73">
        <v>10000007</v>
      </c>
      <c r="AZ1266" s="73">
        <v>21400010</v>
      </c>
      <c r="BA1266" s="131" t="s">
        <v>1718</v>
      </c>
      <c r="BB1266" s="73">
        <v>0</v>
      </c>
      <c r="BC1266" s="73">
        <v>0</v>
      </c>
      <c r="BD1266" s="73">
        <v>0</v>
      </c>
      <c r="BE1266" s="132" t="str">
        <f t="shared" ref="BE1266" si="138">"在目标区域召唤巨刃造成"&amp;X1266*100&amp;"%攻击伤害+"&amp;Z1266&amp;"点固定伤害,随后在技能范围中的敌人每秒受到120%攻击伤害+"&amp;BR1266&amp;"点伤害,并使目标置空1秒"</f>
        <v>在目标区域召唤巨刃造成250%攻击伤害+1000点固定伤害,随后在技能范围中的敌人每秒受到120%攻击伤害+500点伤害,并使目标置空1秒</v>
      </c>
      <c r="BF1266" s="132" t="s">
        <v>2483</v>
      </c>
      <c r="BG1266" s="73">
        <v>0</v>
      </c>
      <c r="BH1266" s="73">
        <v>0</v>
      </c>
      <c r="BI1266" s="73">
        <v>0</v>
      </c>
      <c r="BJ1266" s="73">
        <v>0</v>
      </c>
      <c r="BK1266" s="73">
        <v>0</v>
      </c>
      <c r="BL1266" s="73">
        <v>0</v>
      </c>
      <c r="BM1266" s="133">
        <v>0</v>
      </c>
      <c r="BN1266" s="73">
        <v>0</v>
      </c>
      <c r="BO1266" s="73">
        <v>0</v>
      </c>
      <c r="BP1266" s="73">
        <v>1000</v>
      </c>
      <c r="BQ1266" s="73">
        <v>1.2</v>
      </c>
      <c r="BR1266" s="73">
        <v>500</v>
      </c>
      <c r="BS1266" s="73">
        <v>0</v>
      </c>
      <c r="BT1266" s="73">
        <v>0</v>
      </c>
      <c r="BU1266" s="73">
        <v>0</v>
      </c>
      <c r="BV1266" s="73"/>
      <c r="BW1266" s="73"/>
      <c r="BX1266" s="73"/>
      <c r="BY1266" s="73"/>
      <c r="BZ1266" s="23"/>
    </row>
    <row r="1267" spans="3:78" s="1" customFormat="1" ht="20.100000000000001" customHeight="1">
      <c r="C1267" s="73">
        <v>65023112</v>
      </c>
      <c r="D1267" s="88" t="s">
        <v>1457</v>
      </c>
      <c r="E1267" s="88" t="s">
        <v>1458</v>
      </c>
      <c r="F1267" s="72">
        <v>1</v>
      </c>
      <c r="G1267" s="74">
        <v>65011201</v>
      </c>
      <c r="H1267" s="74">
        <v>0</v>
      </c>
      <c r="I1267" s="75">
        <v>0</v>
      </c>
      <c r="J1267" s="73">
        <v>1</v>
      </c>
      <c r="K1267" s="72">
        <v>0</v>
      </c>
      <c r="L1267" s="72">
        <v>0</v>
      </c>
      <c r="M1267" s="74">
        <v>0</v>
      </c>
      <c r="N1267" s="74">
        <v>0</v>
      </c>
      <c r="O1267" s="74">
        <v>2</v>
      </c>
      <c r="P1267" s="74">
        <v>1</v>
      </c>
      <c r="Q1267" s="74">
        <v>0.2</v>
      </c>
      <c r="R1267" s="74">
        <v>0</v>
      </c>
      <c r="S1267" s="73">
        <v>0</v>
      </c>
      <c r="T1267" s="75">
        <v>0</v>
      </c>
      <c r="U1267" s="72">
        <v>1</v>
      </c>
      <c r="V1267" s="74">
        <v>2</v>
      </c>
      <c r="W1267" s="74">
        <v>0</v>
      </c>
      <c r="X1267" s="74">
        <v>2.5</v>
      </c>
      <c r="Y1267" s="73">
        <v>0</v>
      </c>
      <c r="Z1267" s="74">
        <v>900</v>
      </c>
      <c r="AA1267" s="74">
        <v>1</v>
      </c>
      <c r="AB1267" s="74">
        <v>15</v>
      </c>
      <c r="AC1267" s="74">
        <v>0</v>
      </c>
      <c r="AD1267" s="74">
        <v>0</v>
      </c>
      <c r="AE1267" s="74">
        <v>0</v>
      </c>
      <c r="AF1267" s="74">
        <v>6</v>
      </c>
      <c r="AG1267" s="74">
        <v>1</v>
      </c>
      <c r="AH1267" s="74">
        <v>3.5</v>
      </c>
      <c r="AI1267" s="73">
        <v>0</v>
      </c>
      <c r="AJ1267" s="73">
        <v>0</v>
      </c>
      <c r="AK1267" s="73">
        <v>0</v>
      </c>
      <c r="AL1267" s="73">
        <v>3</v>
      </c>
      <c r="AM1267" s="74">
        <v>0</v>
      </c>
      <c r="AN1267" s="74">
        <v>0</v>
      </c>
      <c r="AO1267" s="74">
        <v>0</v>
      </c>
      <c r="AP1267" s="74">
        <v>0.3</v>
      </c>
      <c r="AQ1267" s="74">
        <v>2000</v>
      </c>
      <c r="AR1267" s="74">
        <v>0.5</v>
      </c>
      <c r="AS1267" s="74">
        <v>0</v>
      </c>
      <c r="AT1267" s="73">
        <v>0</v>
      </c>
      <c r="AU1267" s="74">
        <v>92040020</v>
      </c>
      <c r="AV1267" s="74"/>
      <c r="AW1267" s="88" t="s">
        <v>1700</v>
      </c>
      <c r="AX1267" s="74" t="s">
        <v>540</v>
      </c>
      <c r="AY1267" s="74">
        <v>10000009</v>
      </c>
      <c r="AZ1267" s="74">
        <v>21400020</v>
      </c>
      <c r="BA1267" s="71" t="s">
        <v>206</v>
      </c>
      <c r="BB1267" s="88">
        <v>0</v>
      </c>
      <c r="BC1267" s="75">
        <v>0</v>
      </c>
      <c r="BD1267" s="75">
        <v>0</v>
      </c>
      <c r="BE1267" s="208" t="str">
        <f t="shared" ref="BE1267" si="139">"立即对附近敌方单位造成"&amp;X1267*100&amp;"%攻击伤害+"&amp;Z1267&amp;"点固定伤害,并使其造成伤害降低20%,持续3秒"</f>
        <v>立即对附近敌方单位造成250%攻击伤害+900点固定伤害,并使其造成伤害降低20%,持续3秒</v>
      </c>
      <c r="BF1267" s="208" t="s">
        <v>2485</v>
      </c>
      <c r="BG1267" s="74">
        <v>0</v>
      </c>
      <c r="BH1267" s="72">
        <v>0</v>
      </c>
      <c r="BI1267" s="74">
        <v>0</v>
      </c>
      <c r="BJ1267" s="74">
        <v>0</v>
      </c>
      <c r="BK1267" s="74">
        <v>0</v>
      </c>
      <c r="BL1267" s="74">
        <v>0</v>
      </c>
      <c r="BM1267" s="90">
        <v>0</v>
      </c>
      <c r="BN1267" s="73">
        <v>1</v>
      </c>
      <c r="BO1267" s="73">
        <v>0</v>
      </c>
      <c r="BP1267" s="73">
        <v>0</v>
      </c>
      <c r="BQ1267" s="73">
        <v>0</v>
      </c>
      <c r="BR1267" s="73">
        <v>0</v>
      </c>
      <c r="BS1267" s="73">
        <v>0</v>
      </c>
      <c r="BT1267" s="73">
        <v>0</v>
      </c>
      <c r="BU1267" s="73">
        <v>0</v>
      </c>
      <c r="BV1267" s="73"/>
      <c r="BW1267" s="73"/>
      <c r="BX1267" s="73"/>
      <c r="BY1267" s="73"/>
      <c r="BZ1267" s="23"/>
    </row>
    <row r="1268" spans="3:78" s="1" customFormat="1" ht="20.100000000000001" customHeight="1">
      <c r="C1268" s="73">
        <v>65023113</v>
      </c>
      <c r="D1268" s="71" t="s">
        <v>1464</v>
      </c>
      <c r="E1268" s="71" t="s">
        <v>1465</v>
      </c>
      <c r="F1268" s="72">
        <v>1</v>
      </c>
      <c r="G1268" s="74">
        <v>65011301</v>
      </c>
      <c r="H1268" s="74">
        <v>0</v>
      </c>
      <c r="I1268" s="75">
        <v>0</v>
      </c>
      <c r="J1268" s="73">
        <v>1</v>
      </c>
      <c r="K1268" s="72">
        <v>0</v>
      </c>
      <c r="L1268" s="72">
        <v>0</v>
      </c>
      <c r="M1268" s="72">
        <v>0</v>
      </c>
      <c r="N1268" s="72">
        <v>0</v>
      </c>
      <c r="O1268" s="72">
        <v>2</v>
      </c>
      <c r="P1268" s="72">
        <v>1</v>
      </c>
      <c r="Q1268" s="72">
        <v>0.2</v>
      </c>
      <c r="R1268" s="72">
        <v>0</v>
      </c>
      <c r="S1268" s="73">
        <v>0</v>
      </c>
      <c r="T1268" s="72">
        <v>0</v>
      </c>
      <c r="U1268" s="72">
        <v>1</v>
      </c>
      <c r="V1268" s="72">
        <v>2</v>
      </c>
      <c r="W1268" s="72">
        <v>0</v>
      </c>
      <c r="X1268" s="72">
        <v>2</v>
      </c>
      <c r="Y1268" s="73">
        <v>0</v>
      </c>
      <c r="Z1268" s="74">
        <v>750</v>
      </c>
      <c r="AA1268" s="72">
        <v>1</v>
      </c>
      <c r="AB1268" s="72">
        <v>20</v>
      </c>
      <c r="AC1268" s="72">
        <v>0</v>
      </c>
      <c r="AD1268" s="72">
        <v>0</v>
      </c>
      <c r="AE1268" s="72">
        <v>0</v>
      </c>
      <c r="AF1268" s="72">
        <v>6</v>
      </c>
      <c r="AG1268" s="72">
        <v>1</v>
      </c>
      <c r="AH1268" s="72" t="s">
        <v>867</v>
      </c>
      <c r="AI1268" s="73">
        <v>2</v>
      </c>
      <c r="AJ1268" s="73">
        <v>1</v>
      </c>
      <c r="AK1268" s="73">
        <v>0</v>
      </c>
      <c r="AL1268" s="73">
        <v>6</v>
      </c>
      <c r="AM1268" s="72">
        <v>0</v>
      </c>
      <c r="AN1268" s="72">
        <v>0</v>
      </c>
      <c r="AO1268" s="72">
        <v>0</v>
      </c>
      <c r="AP1268" s="72">
        <v>0.5</v>
      </c>
      <c r="AQ1268" s="72">
        <v>2000</v>
      </c>
      <c r="AR1268" s="72">
        <v>0.4</v>
      </c>
      <c r="AS1268" s="72">
        <v>0</v>
      </c>
      <c r="AT1268" s="73">
        <v>0</v>
      </c>
      <c r="AU1268" s="72">
        <v>92040030</v>
      </c>
      <c r="AV1268" s="72"/>
      <c r="AW1268" s="71" t="s">
        <v>768</v>
      </c>
      <c r="AX1268" s="72" t="s">
        <v>1647</v>
      </c>
      <c r="AY1268" s="74">
        <v>10000015</v>
      </c>
      <c r="AZ1268" s="74">
        <v>21400030</v>
      </c>
      <c r="BA1268" s="71" t="s">
        <v>1378</v>
      </c>
      <c r="BB1268" s="72">
        <v>0</v>
      </c>
      <c r="BC1268" s="75">
        <v>0</v>
      </c>
      <c r="BD1268" s="75">
        <v>0</v>
      </c>
      <c r="BE1268" s="114" t="str">
        <f t="shared" ref="BE1268" si="140">"立即跳跃至目标区域并对其怪物造成"&amp;X1268*100&amp;"%攻击伤害+"&amp;Z1268&amp;"点固定伤害,并使目标置空1秒"</f>
        <v>立即跳跃至目标区域并对其怪物造成200%攻击伤害+750点固定伤害,并使目标置空1秒</v>
      </c>
      <c r="BF1268" s="114" t="s">
        <v>2600</v>
      </c>
      <c r="BG1268" s="72">
        <v>0</v>
      </c>
      <c r="BH1268" s="72">
        <v>0</v>
      </c>
      <c r="BI1268" s="72">
        <v>0</v>
      </c>
      <c r="BJ1268" s="72">
        <v>0</v>
      </c>
      <c r="BK1268" s="72">
        <v>0</v>
      </c>
      <c r="BL1268" s="72">
        <v>0</v>
      </c>
      <c r="BM1268" s="90">
        <v>0</v>
      </c>
      <c r="BN1268" s="73">
        <v>0</v>
      </c>
      <c r="BO1268" s="73">
        <v>0</v>
      </c>
      <c r="BP1268" s="73">
        <v>0</v>
      </c>
      <c r="BQ1268" s="73">
        <v>0</v>
      </c>
      <c r="BR1268" s="73">
        <v>0</v>
      </c>
      <c r="BS1268" s="73">
        <v>0</v>
      </c>
      <c r="BT1268" s="73">
        <v>0</v>
      </c>
      <c r="BU1268" s="73">
        <v>0</v>
      </c>
      <c r="BV1268" s="73"/>
      <c r="BW1268" s="73"/>
      <c r="BX1268" s="73"/>
      <c r="BY1268" s="73"/>
      <c r="BZ1268" s="23"/>
    </row>
    <row r="1269" spans="3:78" ht="20.100000000000001" customHeight="1">
      <c r="C1269" s="19">
        <v>65023201</v>
      </c>
      <c r="D1269" s="20" t="s">
        <v>5718</v>
      </c>
      <c r="E1269" s="20" t="s">
        <v>2602</v>
      </c>
      <c r="F1269" s="19">
        <v>0</v>
      </c>
      <c r="G1269" s="19">
        <v>65023201</v>
      </c>
      <c r="H1269" s="19">
        <v>65023202</v>
      </c>
      <c r="I1269" s="19">
        <v>0</v>
      </c>
      <c r="J1269" s="21">
        <v>25</v>
      </c>
      <c r="K1269" s="21">
        <v>5</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12</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29" t="s">
        <v>2603</v>
      </c>
      <c r="AU1269" s="19" t="s">
        <v>204</v>
      </c>
      <c r="AV1269" s="19"/>
      <c r="AW1269" s="20" t="s">
        <v>205</v>
      </c>
      <c r="AX1269" s="19" t="s">
        <v>1415</v>
      </c>
      <c r="AY1269" s="19">
        <v>0</v>
      </c>
      <c r="AZ1269" s="32">
        <v>21403020</v>
      </c>
      <c r="BA1269" s="20" t="s">
        <v>206</v>
      </c>
      <c r="BB1269" s="20">
        <v>0</v>
      </c>
      <c r="BC1269" s="19">
        <v>0</v>
      </c>
      <c r="BD1269" s="19">
        <v>0</v>
      </c>
      <c r="BE1269" s="186" t="s">
        <v>2604</v>
      </c>
      <c r="BF1269" s="186" t="s">
        <v>2605</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65023202</v>
      </c>
      <c r="D1270" s="20" t="s">
        <v>2601</v>
      </c>
      <c r="E1270" s="20" t="s">
        <v>2602</v>
      </c>
      <c r="F1270" s="19">
        <v>1</v>
      </c>
      <c r="G1270" s="19">
        <v>65023201</v>
      </c>
      <c r="H1270" s="19">
        <v>65023203</v>
      </c>
      <c r="I1270" s="19">
        <v>0</v>
      </c>
      <c r="J1270" s="21">
        <v>32</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12</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29" t="s">
        <v>2603</v>
      </c>
      <c r="AU1270" s="19" t="s">
        <v>204</v>
      </c>
      <c r="AV1270" s="19"/>
      <c r="AW1270" s="20" t="s">
        <v>205</v>
      </c>
      <c r="AX1270" s="19" t="s">
        <v>1415</v>
      </c>
      <c r="AY1270" s="19">
        <v>0</v>
      </c>
      <c r="AZ1270" s="32">
        <v>21403020</v>
      </c>
      <c r="BA1270" s="20" t="s">
        <v>206</v>
      </c>
      <c r="BB1270" s="20">
        <v>0</v>
      </c>
      <c r="BC1270" s="19">
        <v>0</v>
      </c>
      <c r="BD1270" s="19">
        <v>0</v>
      </c>
      <c r="BE1270" s="186" t="s">
        <v>2604</v>
      </c>
      <c r="BF1270" s="186" t="s">
        <v>2605</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65023203</v>
      </c>
      <c r="D1271" s="20" t="s">
        <v>2601</v>
      </c>
      <c r="E1271" s="20" t="s">
        <v>2602</v>
      </c>
      <c r="F1271" s="19">
        <v>2</v>
      </c>
      <c r="G1271" s="19">
        <v>65023201</v>
      </c>
      <c r="H1271" s="19">
        <v>65023204</v>
      </c>
      <c r="I1271" s="19">
        <v>0</v>
      </c>
      <c r="J1271" s="21">
        <v>37</v>
      </c>
      <c r="K1271" s="21">
        <v>2</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12</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29" t="s">
        <v>2606</v>
      </c>
      <c r="AU1271" s="19" t="s">
        <v>204</v>
      </c>
      <c r="AV1271" s="19"/>
      <c r="AW1271" s="20" t="s">
        <v>205</v>
      </c>
      <c r="AX1271" s="19" t="s">
        <v>1415</v>
      </c>
      <c r="AY1271" s="19">
        <v>0</v>
      </c>
      <c r="AZ1271" s="32">
        <v>21403020</v>
      </c>
      <c r="BA1271" s="20" t="s">
        <v>206</v>
      </c>
      <c r="BB1271" s="20">
        <v>0</v>
      </c>
      <c r="BC1271" s="19">
        <v>0</v>
      </c>
      <c r="BD1271" s="19">
        <v>0</v>
      </c>
      <c r="BE1271" s="186" t="s">
        <v>2607</v>
      </c>
      <c r="BF1271" s="186" t="s">
        <v>5664</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65023204</v>
      </c>
      <c r="D1272" s="20" t="s">
        <v>2601</v>
      </c>
      <c r="E1272" s="20" t="s">
        <v>2602</v>
      </c>
      <c r="F1272" s="19">
        <v>3</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12</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29" t="s">
        <v>2608</v>
      </c>
      <c r="AU1272" s="19" t="s">
        <v>204</v>
      </c>
      <c r="AV1272" s="19"/>
      <c r="AW1272" s="20" t="s">
        <v>205</v>
      </c>
      <c r="AX1272" s="19" t="s">
        <v>1415</v>
      </c>
      <c r="AY1272" s="19">
        <v>0</v>
      </c>
      <c r="AZ1272" s="32">
        <v>21403020</v>
      </c>
      <c r="BA1272" s="20" t="s">
        <v>206</v>
      </c>
      <c r="BB1272" s="20">
        <v>0</v>
      </c>
      <c r="BC1272" s="19">
        <v>0</v>
      </c>
      <c r="BD1272" s="19">
        <v>0</v>
      </c>
      <c r="BE1272" s="186" t="s">
        <v>2609</v>
      </c>
      <c r="BF1272" s="186" t="s">
        <v>5663</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65023205</v>
      </c>
      <c r="D1273" s="20" t="s">
        <v>2601</v>
      </c>
      <c r="E1273" s="20" t="s">
        <v>2602</v>
      </c>
      <c r="F1273" s="19">
        <v>4</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12</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29" t="s">
        <v>2610</v>
      </c>
      <c r="AU1273" s="19" t="s">
        <v>204</v>
      </c>
      <c r="AV1273" s="19"/>
      <c r="AW1273" s="20" t="s">
        <v>205</v>
      </c>
      <c r="AX1273" s="19" t="s">
        <v>1415</v>
      </c>
      <c r="AY1273" s="19">
        <v>0</v>
      </c>
      <c r="AZ1273" s="32">
        <v>21403020</v>
      </c>
      <c r="BA1273" s="20" t="s">
        <v>206</v>
      </c>
      <c r="BB1273" s="20">
        <v>0</v>
      </c>
      <c r="BC1273" s="19">
        <v>0</v>
      </c>
      <c r="BD1273" s="19">
        <v>0</v>
      </c>
      <c r="BE1273" s="186" t="s">
        <v>2611</v>
      </c>
      <c r="BF1273" s="186" t="s">
        <v>2612</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20.100000000000001" customHeight="1">
      <c r="C1274" s="19">
        <v>65023206</v>
      </c>
      <c r="D1274" s="20" t="s">
        <v>2601</v>
      </c>
      <c r="E1274" s="20" t="s">
        <v>2602</v>
      </c>
      <c r="F1274" s="19">
        <v>5</v>
      </c>
      <c r="G1274" s="19">
        <v>65023201</v>
      </c>
      <c r="H1274" s="19">
        <v>0</v>
      </c>
      <c r="I1274" s="19">
        <v>0</v>
      </c>
      <c r="J1274" s="21">
        <v>0</v>
      </c>
      <c r="K1274" s="21">
        <v>0</v>
      </c>
      <c r="L1274" s="19">
        <v>0</v>
      </c>
      <c r="M1274" s="19">
        <v>0</v>
      </c>
      <c r="N1274" s="19">
        <v>0</v>
      </c>
      <c r="O1274" s="19">
        <v>1</v>
      </c>
      <c r="P1274" s="19">
        <v>0</v>
      </c>
      <c r="Q1274" s="19">
        <v>0</v>
      </c>
      <c r="R1274" s="19">
        <v>0</v>
      </c>
      <c r="S1274" s="19">
        <v>0</v>
      </c>
      <c r="T1274" s="19">
        <v>0</v>
      </c>
      <c r="U1274" s="19">
        <v>1</v>
      </c>
      <c r="V1274" s="19">
        <v>2</v>
      </c>
      <c r="W1274" s="19">
        <v>0</v>
      </c>
      <c r="X1274" s="19">
        <v>0</v>
      </c>
      <c r="Y1274" s="19">
        <v>0</v>
      </c>
      <c r="Z1274" s="19">
        <v>0</v>
      </c>
      <c r="AA1274" s="19">
        <v>0</v>
      </c>
      <c r="AB1274" s="19">
        <v>20</v>
      </c>
      <c r="AC1274" s="19">
        <v>0</v>
      </c>
      <c r="AD1274" s="19">
        <v>0</v>
      </c>
      <c r="AE1274" s="19">
        <v>0</v>
      </c>
      <c r="AF1274" s="19">
        <v>12</v>
      </c>
      <c r="AG1274" s="19">
        <v>1</v>
      </c>
      <c r="AH1274" s="19">
        <v>4</v>
      </c>
      <c r="AI1274" s="19">
        <v>0</v>
      </c>
      <c r="AJ1274" s="19">
        <v>0</v>
      </c>
      <c r="AK1274" s="19">
        <v>0</v>
      </c>
      <c r="AL1274" s="19">
        <v>0</v>
      </c>
      <c r="AM1274" s="19">
        <v>0</v>
      </c>
      <c r="AN1274" s="19">
        <v>0</v>
      </c>
      <c r="AO1274" s="19">
        <v>0</v>
      </c>
      <c r="AP1274" s="19">
        <v>0.2</v>
      </c>
      <c r="AQ1274" s="19">
        <v>3000</v>
      </c>
      <c r="AR1274" s="19">
        <v>0.5</v>
      </c>
      <c r="AS1274" s="19">
        <v>0</v>
      </c>
      <c r="AT1274" s="329" t="s">
        <v>2613</v>
      </c>
      <c r="AU1274" s="19" t="s">
        <v>204</v>
      </c>
      <c r="AV1274" s="19"/>
      <c r="AW1274" s="20" t="s">
        <v>205</v>
      </c>
      <c r="AX1274" s="19" t="s">
        <v>1415</v>
      </c>
      <c r="AY1274" s="19">
        <v>0</v>
      </c>
      <c r="AZ1274" s="32">
        <v>21403020</v>
      </c>
      <c r="BA1274" s="20" t="s">
        <v>206</v>
      </c>
      <c r="BB1274" s="20">
        <v>0</v>
      </c>
      <c r="BC1274" s="19">
        <v>0</v>
      </c>
      <c r="BD1274" s="19">
        <v>0</v>
      </c>
      <c r="BE1274" s="186" t="s">
        <v>2614</v>
      </c>
      <c r="BF1274" s="186" t="s">
        <v>2615</v>
      </c>
      <c r="BG1274" s="19">
        <v>0</v>
      </c>
      <c r="BH1274" s="19">
        <v>0</v>
      </c>
      <c r="BI1274" s="19">
        <v>0</v>
      </c>
      <c r="BJ1274" s="19">
        <v>0</v>
      </c>
      <c r="BK1274" s="19">
        <v>0</v>
      </c>
      <c r="BL1274" s="19">
        <v>0</v>
      </c>
      <c r="BM1274" s="187">
        <v>0</v>
      </c>
      <c r="BN1274" s="19">
        <v>1</v>
      </c>
      <c r="BO1274" s="19">
        <v>0</v>
      </c>
      <c r="BP1274" s="19">
        <v>0</v>
      </c>
      <c r="BQ1274" s="19">
        <v>0</v>
      </c>
      <c r="BR1274" s="19">
        <v>0</v>
      </c>
      <c r="BS1274" s="19">
        <v>0</v>
      </c>
      <c r="BT1274" s="19">
        <v>0</v>
      </c>
      <c r="BU1274" s="23">
        <v>0</v>
      </c>
      <c r="BV1274" s="23"/>
      <c r="BW1274" s="23"/>
      <c r="BX1274" s="23"/>
      <c r="BY1274" s="23"/>
      <c r="BZ1274" s="23"/>
    </row>
    <row r="1275" spans="3:78" ht="19.5" customHeight="1">
      <c r="C1275" s="21">
        <v>65023301</v>
      </c>
      <c r="D1275" s="35" t="s">
        <v>5706</v>
      </c>
      <c r="E1275" s="35" t="s">
        <v>2617</v>
      </c>
      <c r="F1275" s="21">
        <v>0</v>
      </c>
      <c r="G1275" s="21">
        <v>65023301</v>
      </c>
      <c r="H1275" s="21">
        <v>65023302</v>
      </c>
      <c r="I1275" s="19">
        <v>0</v>
      </c>
      <c r="J1275" s="21">
        <v>30</v>
      </c>
      <c r="K1275" s="32">
        <v>5</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39" t="s">
        <v>2618</v>
      </c>
      <c r="AV1275" s="32"/>
      <c r="AW1275" s="35" t="s">
        <v>205</v>
      </c>
      <c r="AX1275" s="32" t="s">
        <v>540</v>
      </c>
      <c r="AY1275" s="32">
        <v>10003002</v>
      </c>
      <c r="AZ1275" s="32">
        <v>21403030</v>
      </c>
      <c r="BA1275" s="35" t="s">
        <v>206</v>
      </c>
      <c r="BB1275" s="35">
        <v>0</v>
      </c>
      <c r="BC1275" s="31">
        <v>0</v>
      </c>
      <c r="BD1275" s="31">
        <v>0</v>
      </c>
      <c r="BE1275" s="185" t="str">
        <f>"对前方敌人造成"&amp;X1275*100&amp;"%攻击伤害+"&amp;Z1275&amp;"点固定伤害,并造成击退效果,如果目标血量低于50%则额外提升50%伤害。"</f>
        <v>对前方敌人造成325%攻击伤害+1350点固定伤害,并造成击退效果,如果目标血量低于50%则额外提升50%伤害。</v>
      </c>
      <c r="BF1275" s="185" t="s">
        <v>5708</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5707</v>
      </c>
      <c r="BW1275" s="23"/>
      <c r="BX1275" s="23"/>
      <c r="BY1275" s="23"/>
      <c r="BZ1275" s="23"/>
    </row>
    <row r="1276" spans="3:78" ht="19.5" customHeight="1">
      <c r="C1276" s="21">
        <v>65023302</v>
      </c>
      <c r="D1276" s="35" t="s">
        <v>2616</v>
      </c>
      <c r="E1276" s="35" t="s">
        <v>2617</v>
      </c>
      <c r="F1276" s="21">
        <v>1</v>
      </c>
      <c r="G1276" s="21">
        <v>65023301</v>
      </c>
      <c r="H1276" s="21">
        <v>65023303</v>
      </c>
      <c r="I1276" s="19">
        <v>0</v>
      </c>
      <c r="J1276" s="21">
        <v>37</v>
      </c>
      <c r="K1276" s="32">
        <v>2</v>
      </c>
      <c r="L1276" s="21">
        <v>0</v>
      </c>
      <c r="M1276" s="32">
        <v>0</v>
      </c>
      <c r="N1276" s="32">
        <v>0</v>
      </c>
      <c r="O1276" s="32">
        <v>1</v>
      </c>
      <c r="P1276" s="32">
        <v>0</v>
      </c>
      <c r="Q1276" s="32">
        <v>0</v>
      </c>
      <c r="R1276" s="32">
        <v>0</v>
      </c>
      <c r="S1276" s="19">
        <v>0</v>
      </c>
      <c r="T1276" s="31">
        <v>0</v>
      </c>
      <c r="U1276" s="21">
        <v>1</v>
      </c>
      <c r="V1276" s="32">
        <v>2</v>
      </c>
      <c r="W1276" s="32">
        <v>0</v>
      </c>
      <c r="X1276" s="32">
        <v>3.25</v>
      </c>
      <c r="Y1276" s="19">
        <v>0</v>
      </c>
      <c r="Z1276" s="32">
        <v>1350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39" t="s">
        <v>2618</v>
      </c>
      <c r="AV1276" s="32"/>
      <c r="AW1276" s="35" t="s">
        <v>205</v>
      </c>
      <c r="AX1276" s="32" t="s">
        <v>540</v>
      </c>
      <c r="AY1276" s="32">
        <v>10003002</v>
      </c>
      <c r="AZ1276" s="32">
        <v>21403030</v>
      </c>
      <c r="BA1276" s="35" t="s">
        <v>206</v>
      </c>
      <c r="BB1276" s="35">
        <v>0</v>
      </c>
      <c r="BC1276" s="31">
        <v>0</v>
      </c>
      <c r="BD1276" s="31">
        <v>0</v>
      </c>
      <c r="BE1276" s="185" t="str">
        <f t="shared" ref="BE1276:BE1280" si="141">"对前方敌人造成"&amp;X1276*100&amp;"%攻击伤害+"&amp;Z1276&amp;"点固定伤害,并造成击退效果,如果目标血量低于50%则额外提升50%伤害。"</f>
        <v>对前方敌人造成325%攻击伤害+1350点固定伤害,并造成击退效果,如果目标血量低于50%则额外提升50%伤害。</v>
      </c>
      <c r="BF1276" s="185" t="s">
        <v>5708</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5707</v>
      </c>
      <c r="BW1276" s="23"/>
      <c r="BX1276" s="23"/>
      <c r="BY1276" s="23"/>
      <c r="BZ1276" s="23"/>
    </row>
    <row r="1277" spans="3:78" ht="19.5" customHeight="1">
      <c r="C1277" s="21">
        <v>65023303</v>
      </c>
      <c r="D1277" s="35" t="s">
        <v>2616</v>
      </c>
      <c r="E1277" s="35" t="s">
        <v>2617</v>
      </c>
      <c r="F1277" s="21">
        <v>2</v>
      </c>
      <c r="G1277" s="21">
        <v>65023301</v>
      </c>
      <c r="H1277" s="21">
        <v>65023304</v>
      </c>
      <c r="I1277" s="19">
        <v>0</v>
      </c>
      <c r="J1277" s="21">
        <v>42</v>
      </c>
      <c r="K1277" s="32">
        <v>2</v>
      </c>
      <c r="L1277" s="21">
        <v>0</v>
      </c>
      <c r="M1277" s="32">
        <v>0</v>
      </c>
      <c r="N1277" s="32">
        <v>0</v>
      </c>
      <c r="O1277" s="32">
        <v>1</v>
      </c>
      <c r="P1277" s="32">
        <v>0</v>
      </c>
      <c r="Q1277" s="32">
        <v>0</v>
      </c>
      <c r="R1277" s="32">
        <v>0</v>
      </c>
      <c r="S1277" s="19">
        <v>0</v>
      </c>
      <c r="T1277" s="31">
        <v>0</v>
      </c>
      <c r="U1277" s="21">
        <v>1</v>
      </c>
      <c r="V1277" s="32">
        <v>2</v>
      </c>
      <c r="W1277" s="32">
        <v>0</v>
      </c>
      <c r="X1277" s="32">
        <v>3.5</v>
      </c>
      <c r="Y1277" s="19">
        <v>0</v>
      </c>
      <c r="Z1277" s="32">
        <v>2700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39" t="s">
        <v>2618</v>
      </c>
      <c r="AV1277" s="32"/>
      <c r="AW1277" s="35" t="s">
        <v>205</v>
      </c>
      <c r="AX1277" s="32" t="s">
        <v>540</v>
      </c>
      <c r="AY1277" s="32">
        <v>10003002</v>
      </c>
      <c r="AZ1277" s="32">
        <v>21403030</v>
      </c>
      <c r="BA1277" s="35" t="s">
        <v>206</v>
      </c>
      <c r="BB1277" s="35">
        <v>0</v>
      </c>
      <c r="BC1277" s="31">
        <v>0</v>
      </c>
      <c r="BD1277" s="31">
        <v>0</v>
      </c>
      <c r="BE1277" s="185" t="str">
        <f t="shared" si="141"/>
        <v>对前方敌人造成350%攻击伤害+2700点固定伤害,并造成击退效果,如果目标血量低于50%则额外提升50%伤害。</v>
      </c>
      <c r="BF1277" s="185" t="s">
        <v>5709</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5707</v>
      </c>
      <c r="BW1277" s="23"/>
      <c r="BX1277" s="23"/>
      <c r="BY1277" s="23"/>
      <c r="BZ1277" s="23"/>
    </row>
    <row r="1278" spans="3:78" ht="19.5" customHeight="1">
      <c r="C1278" s="21">
        <v>65023304</v>
      </c>
      <c r="D1278" s="35" t="s">
        <v>2616</v>
      </c>
      <c r="E1278" s="35" t="s">
        <v>2617</v>
      </c>
      <c r="F1278" s="21">
        <v>3</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3.75</v>
      </c>
      <c r="Y1278" s="19">
        <v>0</v>
      </c>
      <c r="Z1278" s="32">
        <v>4200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39" t="s">
        <v>2618</v>
      </c>
      <c r="AV1278" s="32"/>
      <c r="AW1278" s="35" t="s">
        <v>205</v>
      </c>
      <c r="AX1278" s="32" t="s">
        <v>540</v>
      </c>
      <c r="AY1278" s="32">
        <v>10003002</v>
      </c>
      <c r="AZ1278" s="32">
        <v>21403030</v>
      </c>
      <c r="BA1278" s="35" t="s">
        <v>206</v>
      </c>
      <c r="BB1278" s="35">
        <v>0</v>
      </c>
      <c r="BC1278" s="31">
        <v>0</v>
      </c>
      <c r="BD1278" s="31">
        <v>0</v>
      </c>
      <c r="BE1278" s="185" t="str">
        <f t="shared" si="141"/>
        <v>对前方敌人造成375%攻击伤害+4200点固定伤害,并造成击退效果,如果目标血量低于50%则额外提升50%伤害。</v>
      </c>
      <c r="BF1278" s="185" t="s">
        <v>5710</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5707</v>
      </c>
      <c r="BW1278" s="23"/>
      <c r="BX1278" s="23"/>
      <c r="BY1278" s="23"/>
      <c r="BZ1278" s="23"/>
    </row>
    <row r="1279" spans="3:78" ht="19.5" customHeight="1">
      <c r="C1279" s="21">
        <v>65023305</v>
      </c>
      <c r="D1279" s="35" t="s">
        <v>2616</v>
      </c>
      <c r="E1279" s="35" t="s">
        <v>2617</v>
      </c>
      <c r="F1279" s="21">
        <v>4</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v>
      </c>
      <c r="Y1279" s="19">
        <v>0</v>
      </c>
      <c r="Z1279" s="32">
        <v>6000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39" t="s">
        <v>2618</v>
      </c>
      <c r="AV1279" s="32"/>
      <c r="AW1279" s="35" t="s">
        <v>205</v>
      </c>
      <c r="AX1279" s="32" t="s">
        <v>540</v>
      </c>
      <c r="AY1279" s="32">
        <v>10003002</v>
      </c>
      <c r="AZ1279" s="32">
        <v>21403030</v>
      </c>
      <c r="BA1279" s="35" t="s">
        <v>206</v>
      </c>
      <c r="BB1279" s="35">
        <v>0</v>
      </c>
      <c r="BC1279" s="31">
        <v>0</v>
      </c>
      <c r="BD1279" s="31">
        <v>0</v>
      </c>
      <c r="BE1279" s="185" t="str">
        <f t="shared" si="141"/>
        <v>对前方敌人造成400%攻击伤害+6000点固定伤害,并造成击退效果,如果目标血量低于50%则额外提升50%伤害。</v>
      </c>
      <c r="BF1279" s="185" t="s">
        <v>5711</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5707</v>
      </c>
      <c r="BW1279" s="23"/>
      <c r="BX1279" s="23"/>
      <c r="BY1279" s="23"/>
      <c r="BZ1279" s="23"/>
    </row>
    <row r="1280" spans="3:78" ht="19.5" customHeight="1">
      <c r="C1280" s="21">
        <v>65023306</v>
      </c>
      <c r="D1280" s="35" t="s">
        <v>2616</v>
      </c>
      <c r="E1280" s="35" t="s">
        <v>2617</v>
      </c>
      <c r="F1280" s="21">
        <v>5</v>
      </c>
      <c r="G1280" s="21">
        <v>65023301</v>
      </c>
      <c r="H1280" s="32">
        <v>0</v>
      </c>
      <c r="I1280" s="19">
        <v>0</v>
      </c>
      <c r="J1280" s="32">
        <v>0</v>
      </c>
      <c r="K1280" s="32">
        <v>0</v>
      </c>
      <c r="L1280" s="21">
        <v>0</v>
      </c>
      <c r="M1280" s="32">
        <v>0</v>
      </c>
      <c r="N1280" s="32">
        <v>0</v>
      </c>
      <c r="O1280" s="32">
        <v>1</v>
      </c>
      <c r="P1280" s="32">
        <v>0</v>
      </c>
      <c r="Q1280" s="32">
        <v>0</v>
      </c>
      <c r="R1280" s="32">
        <v>0</v>
      </c>
      <c r="S1280" s="19">
        <v>0</v>
      </c>
      <c r="T1280" s="31">
        <v>0</v>
      </c>
      <c r="U1280" s="21">
        <v>1</v>
      </c>
      <c r="V1280" s="32">
        <v>2</v>
      </c>
      <c r="W1280" s="32">
        <v>0</v>
      </c>
      <c r="X1280" s="32">
        <v>4.25</v>
      </c>
      <c r="Y1280" s="19">
        <v>0</v>
      </c>
      <c r="Z1280" s="32">
        <v>7800</v>
      </c>
      <c r="AA1280" s="32">
        <v>0</v>
      </c>
      <c r="AB1280" s="32">
        <v>25</v>
      </c>
      <c r="AC1280" s="32">
        <v>0</v>
      </c>
      <c r="AD1280" s="32">
        <v>0</v>
      </c>
      <c r="AE1280" s="32">
        <v>0</v>
      </c>
      <c r="AF1280" s="32">
        <v>12</v>
      </c>
      <c r="AG1280" s="19">
        <v>2</v>
      </c>
      <c r="AH1280" s="19" t="s">
        <v>633</v>
      </c>
      <c r="AI1280" s="19">
        <v>0</v>
      </c>
      <c r="AJ1280" s="19">
        <v>2</v>
      </c>
      <c r="AK1280" s="19">
        <v>0</v>
      </c>
      <c r="AL1280" s="19">
        <v>2</v>
      </c>
      <c r="AM1280" s="32">
        <v>0</v>
      </c>
      <c r="AN1280" s="32">
        <v>0</v>
      </c>
      <c r="AO1280" s="32">
        <v>0</v>
      </c>
      <c r="AP1280" s="32">
        <v>0.25</v>
      </c>
      <c r="AQ1280" s="32">
        <v>3000</v>
      </c>
      <c r="AR1280" s="32">
        <v>0</v>
      </c>
      <c r="AS1280" s="32">
        <v>10</v>
      </c>
      <c r="AT1280" s="19">
        <v>0</v>
      </c>
      <c r="AU1280" s="339" t="s">
        <v>2618</v>
      </c>
      <c r="AV1280" s="32"/>
      <c r="AW1280" s="35" t="s">
        <v>205</v>
      </c>
      <c r="AX1280" s="32" t="s">
        <v>540</v>
      </c>
      <c r="AY1280" s="32">
        <v>10003002</v>
      </c>
      <c r="AZ1280" s="32">
        <v>21403030</v>
      </c>
      <c r="BA1280" s="35" t="s">
        <v>206</v>
      </c>
      <c r="BB1280" s="35">
        <v>0</v>
      </c>
      <c r="BC1280" s="31">
        <v>0</v>
      </c>
      <c r="BD1280" s="31">
        <v>0</v>
      </c>
      <c r="BE1280" s="185" t="str">
        <f t="shared" si="141"/>
        <v>对前方敌人造成425%攻击伤害+7800点固定伤害,并造成击退效果,如果目标血量低于50%则额外提升50%伤害。</v>
      </c>
      <c r="BF1280" s="185" t="s">
        <v>5712</v>
      </c>
      <c r="BG1280" s="32">
        <v>0</v>
      </c>
      <c r="BH1280" s="21">
        <v>0</v>
      </c>
      <c r="BI1280" s="32">
        <v>0</v>
      </c>
      <c r="BJ1280" s="32">
        <v>0</v>
      </c>
      <c r="BK1280" s="32">
        <v>0</v>
      </c>
      <c r="BL1280" s="32">
        <v>0</v>
      </c>
      <c r="BM1280" s="25">
        <v>0</v>
      </c>
      <c r="BN1280" s="19">
        <v>0</v>
      </c>
      <c r="BO1280" s="19">
        <v>0</v>
      </c>
      <c r="BP1280" s="19">
        <v>0</v>
      </c>
      <c r="BQ1280" s="19">
        <v>0</v>
      </c>
      <c r="BR1280" s="19">
        <v>0</v>
      </c>
      <c r="BS1280" s="19">
        <v>0</v>
      </c>
      <c r="BT1280" s="19">
        <v>0</v>
      </c>
      <c r="BU1280" s="23">
        <v>0</v>
      </c>
      <c r="BV1280" s="23" t="s">
        <v>5707</v>
      </c>
      <c r="BW1280" s="23"/>
      <c r="BX1280" s="23"/>
      <c r="BY1280" s="23"/>
      <c r="BZ1280" s="23"/>
    </row>
    <row r="1281" spans="3:78" ht="20.100000000000001" customHeight="1">
      <c r="C1281" s="32">
        <v>65023401</v>
      </c>
      <c r="D1281" s="35" t="s">
        <v>2620</v>
      </c>
      <c r="E1281" s="35" t="s">
        <v>2621</v>
      </c>
      <c r="F1281" s="21">
        <v>0</v>
      </c>
      <c r="G1281" s="32">
        <v>65023401</v>
      </c>
      <c r="H1281" s="32">
        <v>65023402</v>
      </c>
      <c r="I1281" s="31">
        <v>0</v>
      </c>
      <c r="J1281" s="21">
        <v>35</v>
      </c>
      <c r="K1281" s="32">
        <v>5</v>
      </c>
      <c r="L1281" s="21">
        <v>0</v>
      </c>
      <c r="M1281" s="32">
        <v>0</v>
      </c>
      <c r="N1281" s="32">
        <v>0</v>
      </c>
      <c r="O1281" s="32">
        <v>1</v>
      </c>
      <c r="P1281" s="32">
        <v>0</v>
      </c>
      <c r="Q1281" s="32">
        <v>0</v>
      </c>
      <c r="R1281" s="32">
        <v>0</v>
      </c>
      <c r="S1281" s="19">
        <v>0</v>
      </c>
      <c r="T1281" s="31">
        <v>0</v>
      </c>
      <c r="U1281" s="21">
        <v>1</v>
      </c>
      <c r="V1281" s="32">
        <v>2</v>
      </c>
      <c r="W1281" s="32">
        <v>0</v>
      </c>
      <c r="X1281" s="32">
        <v>3</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1700</v>
      </c>
      <c r="AX1281" s="32" t="s">
        <v>540</v>
      </c>
      <c r="AY1281" s="32">
        <v>10000009</v>
      </c>
      <c r="AZ1281" s="32">
        <v>21403040</v>
      </c>
      <c r="BA1281" s="30" t="s">
        <v>1702</v>
      </c>
      <c r="BB1281" s="35">
        <v>0</v>
      </c>
      <c r="BC1281" s="31">
        <v>0</v>
      </c>
      <c r="BD1281" s="31">
        <v>0</v>
      </c>
      <c r="BE1281" s="185" t="str">
        <f>"对自身大范围内的敌人目标造成"&amp;X1281*100&amp;"%攻击伤害+"&amp;Z1281&amp;"点固定伤害,，并将其快速拉回到自身前面，并造成2秒置空。"</f>
        <v>对自身大范围内的敌人目标造成300%攻击伤害+900点固定伤害,，并将其快速拉回到自身前面，并造成2秒置空。</v>
      </c>
      <c r="BF1281" s="185" t="s">
        <v>5713</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65023402</v>
      </c>
      <c r="D1282" s="35" t="s">
        <v>2620</v>
      </c>
      <c r="E1282" s="35" t="s">
        <v>2621</v>
      </c>
      <c r="F1282" s="21">
        <v>1</v>
      </c>
      <c r="G1282" s="32">
        <v>65023401</v>
      </c>
      <c r="H1282" s="32">
        <v>65023403</v>
      </c>
      <c r="I1282" s="31">
        <v>0</v>
      </c>
      <c r="J1282" s="21">
        <v>42</v>
      </c>
      <c r="K1282" s="32">
        <v>2</v>
      </c>
      <c r="L1282" s="21">
        <v>0</v>
      </c>
      <c r="M1282" s="32">
        <v>0</v>
      </c>
      <c r="N1282" s="32">
        <v>0</v>
      </c>
      <c r="O1282" s="32">
        <v>1</v>
      </c>
      <c r="P1282" s="32">
        <v>0</v>
      </c>
      <c r="Q1282" s="32">
        <v>0</v>
      </c>
      <c r="R1282" s="32">
        <v>0</v>
      </c>
      <c r="S1282" s="19">
        <v>0</v>
      </c>
      <c r="T1282" s="31">
        <v>0</v>
      </c>
      <c r="U1282" s="21">
        <v>1</v>
      </c>
      <c r="V1282" s="32">
        <v>2</v>
      </c>
      <c r="W1282" s="32">
        <v>0</v>
      </c>
      <c r="X1282" s="32">
        <v>3</v>
      </c>
      <c r="Y1282" s="19">
        <v>0</v>
      </c>
      <c r="Z1282" s="32">
        <v>900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1700</v>
      </c>
      <c r="AX1282" s="32" t="s">
        <v>540</v>
      </c>
      <c r="AY1282" s="32">
        <v>10000009</v>
      </c>
      <c r="AZ1282" s="32">
        <v>21403040</v>
      </c>
      <c r="BA1282" s="30" t="s">
        <v>1702</v>
      </c>
      <c r="BB1282" s="35">
        <v>0</v>
      </c>
      <c r="BC1282" s="31">
        <v>0</v>
      </c>
      <c r="BD1282" s="31">
        <v>0</v>
      </c>
      <c r="BE1282" s="185" t="str">
        <f t="shared" ref="BE1282:BE1286" si="142">"对自身大范围内的敌人目标造成"&amp;X1282*100&amp;"%攻击伤害+"&amp;Z1282&amp;"点固定伤害,，并将其快速拉回到自身前面，并造成2秒置空。"</f>
        <v>对自身大范围内的敌人目标造成300%攻击伤害+900点固定伤害,，并将其快速拉回到自身前面，并造成2秒置空。</v>
      </c>
      <c r="BF1282" s="185" t="s">
        <v>5713</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65023403</v>
      </c>
      <c r="D1283" s="35" t="s">
        <v>2620</v>
      </c>
      <c r="E1283" s="35" t="s">
        <v>2621</v>
      </c>
      <c r="F1283" s="21">
        <v>2</v>
      </c>
      <c r="G1283" s="32">
        <v>65023401</v>
      </c>
      <c r="H1283" s="32">
        <v>65023404</v>
      </c>
      <c r="I1283" s="31">
        <v>0</v>
      </c>
      <c r="J1283" s="21">
        <v>47</v>
      </c>
      <c r="K1283" s="32">
        <v>2</v>
      </c>
      <c r="L1283" s="21">
        <v>0</v>
      </c>
      <c r="M1283" s="32">
        <v>0</v>
      </c>
      <c r="N1283" s="32">
        <v>0</v>
      </c>
      <c r="O1283" s="32">
        <v>1</v>
      </c>
      <c r="P1283" s="32">
        <v>0</v>
      </c>
      <c r="Q1283" s="32">
        <v>0</v>
      </c>
      <c r="R1283" s="32">
        <v>0</v>
      </c>
      <c r="S1283" s="19">
        <v>0</v>
      </c>
      <c r="T1283" s="31">
        <v>0</v>
      </c>
      <c r="U1283" s="21">
        <v>1</v>
      </c>
      <c r="V1283" s="32">
        <v>2</v>
      </c>
      <c r="W1283" s="32">
        <v>0</v>
      </c>
      <c r="X1283" s="32">
        <v>3.5</v>
      </c>
      <c r="Y1283" s="19">
        <v>0</v>
      </c>
      <c r="Z1283" s="32">
        <v>1800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1700</v>
      </c>
      <c r="AX1283" s="32" t="s">
        <v>540</v>
      </c>
      <c r="AY1283" s="32">
        <v>10000009</v>
      </c>
      <c r="AZ1283" s="32">
        <v>21403040</v>
      </c>
      <c r="BA1283" s="30" t="s">
        <v>1702</v>
      </c>
      <c r="BB1283" s="35">
        <v>0</v>
      </c>
      <c r="BC1283" s="31">
        <v>0</v>
      </c>
      <c r="BD1283" s="31">
        <v>0</v>
      </c>
      <c r="BE1283" s="185" t="str">
        <f t="shared" si="142"/>
        <v>对自身大范围内的敌人目标造成350%攻击伤害+1800点固定伤害,，并将其快速拉回到自身前面，并造成2秒置空。</v>
      </c>
      <c r="BF1283" s="185" t="s">
        <v>5714</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65023404</v>
      </c>
      <c r="D1284" s="35" t="s">
        <v>2620</v>
      </c>
      <c r="E1284" s="35" t="s">
        <v>2621</v>
      </c>
      <c r="F1284" s="21">
        <v>3</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4</v>
      </c>
      <c r="Y1284" s="19">
        <v>0</v>
      </c>
      <c r="Z1284" s="32">
        <v>2800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1700</v>
      </c>
      <c r="AX1284" s="32" t="s">
        <v>540</v>
      </c>
      <c r="AY1284" s="32">
        <v>10000009</v>
      </c>
      <c r="AZ1284" s="32">
        <v>21403040</v>
      </c>
      <c r="BA1284" s="30" t="s">
        <v>1702</v>
      </c>
      <c r="BB1284" s="35">
        <v>0</v>
      </c>
      <c r="BC1284" s="31">
        <v>0</v>
      </c>
      <c r="BD1284" s="31">
        <v>0</v>
      </c>
      <c r="BE1284" s="185" t="str">
        <f t="shared" si="142"/>
        <v>对自身大范围内的敌人目标造成400%攻击伤害+2800点固定伤害,，并将其快速拉回到自身前面，并造成2秒置空。</v>
      </c>
      <c r="BF1284" s="185" t="s">
        <v>5715</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65023405</v>
      </c>
      <c r="D1285" s="35" t="s">
        <v>2620</v>
      </c>
      <c r="E1285" s="35" t="s">
        <v>2621</v>
      </c>
      <c r="F1285" s="21">
        <v>4</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4.5</v>
      </c>
      <c r="Y1285" s="19">
        <v>0</v>
      </c>
      <c r="Z1285" s="32">
        <v>4000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1700</v>
      </c>
      <c r="AX1285" s="32" t="s">
        <v>540</v>
      </c>
      <c r="AY1285" s="32">
        <v>10000009</v>
      </c>
      <c r="AZ1285" s="32">
        <v>21403040</v>
      </c>
      <c r="BA1285" s="30" t="s">
        <v>1702</v>
      </c>
      <c r="BB1285" s="35">
        <v>0</v>
      </c>
      <c r="BC1285" s="31">
        <v>0</v>
      </c>
      <c r="BD1285" s="31">
        <v>0</v>
      </c>
      <c r="BE1285" s="185" t="str">
        <f t="shared" si="142"/>
        <v>对自身大范围内的敌人目标造成450%攻击伤害+4000点固定伤害,，并将其快速拉回到自身前面，并造成2秒置空。</v>
      </c>
      <c r="BF1285" s="185" t="s">
        <v>5716</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65023406</v>
      </c>
      <c r="D1286" s="35" t="s">
        <v>2620</v>
      </c>
      <c r="E1286" s="35" t="s">
        <v>2621</v>
      </c>
      <c r="F1286" s="21">
        <v>5</v>
      </c>
      <c r="G1286" s="32">
        <v>65023401</v>
      </c>
      <c r="H1286" s="21">
        <v>0</v>
      </c>
      <c r="I1286" s="31">
        <v>0</v>
      </c>
      <c r="J1286" s="32">
        <v>0</v>
      </c>
      <c r="K1286" s="32">
        <v>0</v>
      </c>
      <c r="L1286" s="21">
        <v>0</v>
      </c>
      <c r="M1286" s="32">
        <v>0</v>
      </c>
      <c r="N1286" s="32">
        <v>0</v>
      </c>
      <c r="O1286" s="32">
        <v>1</v>
      </c>
      <c r="P1286" s="32">
        <v>0</v>
      </c>
      <c r="Q1286" s="32">
        <v>0</v>
      </c>
      <c r="R1286" s="32">
        <v>0</v>
      </c>
      <c r="S1286" s="19">
        <v>0</v>
      </c>
      <c r="T1286" s="31">
        <v>0</v>
      </c>
      <c r="U1286" s="21">
        <v>1</v>
      </c>
      <c r="V1286" s="32">
        <v>2</v>
      </c>
      <c r="W1286" s="32">
        <v>0</v>
      </c>
      <c r="X1286" s="32">
        <v>5</v>
      </c>
      <c r="Y1286" s="19">
        <v>0</v>
      </c>
      <c r="Z1286" s="32">
        <v>5200</v>
      </c>
      <c r="AA1286" s="32">
        <v>1</v>
      </c>
      <c r="AB1286" s="32">
        <v>30</v>
      </c>
      <c r="AC1286" s="32">
        <v>0</v>
      </c>
      <c r="AD1286" s="32">
        <v>0</v>
      </c>
      <c r="AE1286" s="32">
        <v>0</v>
      </c>
      <c r="AF1286" s="32">
        <v>18</v>
      </c>
      <c r="AG1286" s="32">
        <v>1</v>
      </c>
      <c r="AH1286" s="32">
        <v>5</v>
      </c>
      <c r="AI1286" s="19">
        <v>0</v>
      </c>
      <c r="AJ1286" s="19">
        <v>0</v>
      </c>
      <c r="AK1286" s="19">
        <v>0</v>
      </c>
      <c r="AL1286" s="19">
        <v>3</v>
      </c>
      <c r="AM1286" s="32">
        <v>0</v>
      </c>
      <c r="AN1286" s="32">
        <v>0</v>
      </c>
      <c r="AO1286" s="32">
        <v>0</v>
      </c>
      <c r="AP1286" s="32">
        <v>0.3</v>
      </c>
      <c r="AQ1286" s="32">
        <v>2000</v>
      </c>
      <c r="AR1286" s="32">
        <v>0.5</v>
      </c>
      <c r="AS1286" s="32">
        <v>0</v>
      </c>
      <c r="AT1286" s="19">
        <v>0</v>
      </c>
      <c r="AU1286" s="32">
        <v>92041070</v>
      </c>
      <c r="AV1286" s="32"/>
      <c r="AW1286" s="35" t="s">
        <v>1700</v>
      </c>
      <c r="AX1286" s="32" t="s">
        <v>540</v>
      </c>
      <c r="AY1286" s="32">
        <v>10000009</v>
      </c>
      <c r="AZ1286" s="32">
        <v>21403040</v>
      </c>
      <c r="BA1286" s="30" t="s">
        <v>1702</v>
      </c>
      <c r="BB1286" s="35">
        <v>0</v>
      </c>
      <c r="BC1286" s="31">
        <v>0</v>
      </c>
      <c r="BD1286" s="31">
        <v>0</v>
      </c>
      <c r="BE1286" s="185" t="str">
        <f t="shared" si="142"/>
        <v>对自身大范围内的敌人目标造成500%攻击伤害+5200点固定伤害,，并将其快速拉回到自身前面，并造成2秒置空。</v>
      </c>
      <c r="BF1286" s="185" t="s">
        <v>5717</v>
      </c>
      <c r="BG1286" s="32">
        <v>0</v>
      </c>
      <c r="BH1286" s="21">
        <v>0</v>
      </c>
      <c r="BI1286" s="32">
        <v>0</v>
      </c>
      <c r="BJ1286" s="32">
        <v>0</v>
      </c>
      <c r="BK1286" s="32">
        <v>0</v>
      </c>
      <c r="BL1286" s="32">
        <v>0</v>
      </c>
      <c r="BM1286" s="25">
        <v>0</v>
      </c>
      <c r="BN1286" s="19">
        <v>1</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60031111</v>
      </c>
      <c r="D1287" s="20" t="s">
        <v>2622</v>
      </c>
      <c r="E1287" s="20" t="s">
        <v>2623</v>
      </c>
      <c r="F1287" s="32">
        <v>1</v>
      </c>
      <c r="G1287" s="32">
        <v>60031111</v>
      </c>
      <c r="H1287" s="32">
        <v>0</v>
      </c>
      <c r="I1287" s="31">
        <v>0</v>
      </c>
      <c r="J1287" s="32">
        <v>60</v>
      </c>
      <c r="K1287" s="32">
        <v>0</v>
      </c>
      <c r="L1287" s="32">
        <v>0</v>
      </c>
      <c r="M1287" s="21">
        <v>0</v>
      </c>
      <c r="N1287" s="21">
        <v>0</v>
      </c>
      <c r="O1287" s="32">
        <v>1</v>
      </c>
      <c r="P1287" s="21">
        <v>0</v>
      </c>
      <c r="Q1287" s="21">
        <v>1</v>
      </c>
      <c r="R1287" s="21">
        <v>0</v>
      </c>
      <c r="S1287" s="19">
        <v>0</v>
      </c>
      <c r="T1287" s="21">
        <v>0</v>
      </c>
      <c r="U1287" s="21">
        <v>1</v>
      </c>
      <c r="V1287" s="21">
        <v>2</v>
      </c>
      <c r="W1287" s="21">
        <v>0</v>
      </c>
      <c r="X1287" s="21">
        <v>3</v>
      </c>
      <c r="Y1287" s="19">
        <v>0</v>
      </c>
      <c r="Z1287" s="21">
        <v>0</v>
      </c>
      <c r="AA1287" s="21">
        <v>1</v>
      </c>
      <c r="AB1287" s="21">
        <v>0</v>
      </c>
      <c r="AC1287" s="21">
        <v>0</v>
      </c>
      <c r="AD1287" s="21">
        <v>0</v>
      </c>
      <c r="AE1287" s="21">
        <v>0</v>
      </c>
      <c r="AF1287" s="21">
        <v>20</v>
      </c>
      <c r="AG1287" s="21">
        <v>1</v>
      </c>
      <c r="AH1287" s="21">
        <v>3</v>
      </c>
      <c r="AI1287" s="19">
        <v>0</v>
      </c>
      <c r="AJ1287" s="19">
        <v>2</v>
      </c>
      <c r="AK1287" s="19">
        <v>0</v>
      </c>
      <c r="AL1287" s="19">
        <v>2</v>
      </c>
      <c r="AM1287" s="21">
        <v>0</v>
      </c>
      <c r="AN1287" s="21">
        <v>0</v>
      </c>
      <c r="AO1287" s="21">
        <v>0</v>
      </c>
      <c r="AP1287" s="21">
        <v>2</v>
      </c>
      <c r="AQ1287" s="21">
        <v>10000</v>
      </c>
      <c r="AR1287" s="21">
        <v>0.5</v>
      </c>
      <c r="AS1287" s="21">
        <v>10</v>
      </c>
      <c r="AT1287" s="19">
        <v>0</v>
      </c>
      <c r="AU1287" s="21" t="s">
        <v>204</v>
      </c>
      <c r="AV1287" s="21"/>
      <c r="AW1287" s="35" t="s">
        <v>2624</v>
      </c>
      <c r="AX1287" s="21" t="s">
        <v>540</v>
      </c>
      <c r="AY1287" s="32">
        <v>10000007</v>
      </c>
      <c r="AZ1287" s="32">
        <v>22001001</v>
      </c>
      <c r="BA1287" s="35" t="s">
        <v>592</v>
      </c>
      <c r="BB1287" s="31" t="s">
        <v>2625</v>
      </c>
      <c r="BC1287" s="31">
        <v>0</v>
      </c>
      <c r="BD1287" s="31">
        <v>1</v>
      </c>
      <c r="BE1287" s="33" t="s">
        <v>2626</v>
      </c>
      <c r="BF1287" s="33" t="s">
        <v>2627</v>
      </c>
      <c r="BG1287" s="21">
        <v>0</v>
      </c>
      <c r="BH1287" s="21">
        <v>0</v>
      </c>
      <c r="BI1287" s="21">
        <v>0</v>
      </c>
      <c r="BJ1287" s="21">
        <v>0</v>
      </c>
      <c r="BK1287" s="21">
        <v>0</v>
      </c>
      <c r="BL1287" s="21">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60031121</v>
      </c>
      <c r="D1288" s="20" t="s">
        <v>2628</v>
      </c>
      <c r="E1288" s="20" t="s">
        <v>2629</v>
      </c>
      <c r="F1288" s="21">
        <v>1</v>
      </c>
      <c r="G1288" s="32">
        <v>60031121</v>
      </c>
      <c r="H1288" s="21">
        <v>0</v>
      </c>
      <c r="I1288" s="31">
        <v>0</v>
      </c>
      <c r="J1288" s="32">
        <v>60</v>
      </c>
      <c r="K1288" s="21">
        <v>0</v>
      </c>
      <c r="L1288" s="21">
        <v>0</v>
      </c>
      <c r="M1288" s="32">
        <v>0</v>
      </c>
      <c r="N1288" s="32">
        <v>0</v>
      </c>
      <c r="O1288" s="32">
        <v>1</v>
      </c>
      <c r="P1288" s="32">
        <v>0</v>
      </c>
      <c r="Q1288" s="32">
        <v>0</v>
      </c>
      <c r="R1288" s="32">
        <v>0</v>
      </c>
      <c r="S1288" s="19">
        <v>0</v>
      </c>
      <c r="T1288" s="31">
        <v>0</v>
      </c>
      <c r="U1288" s="21">
        <v>1</v>
      </c>
      <c r="V1288" s="32">
        <v>2</v>
      </c>
      <c r="W1288" s="32">
        <v>0</v>
      </c>
      <c r="X1288" s="32">
        <v>1.5</v>
      </c>
      <c r="Y1288" s="19">
        <v>0</v>
      </c>
      <c r="Z1288" s="32">
        <v>0</v>
      </c>
      <c r="AA1288" s="32">
        <v>0</v>
      </c>
      <c r="AB1288" s="32">
        <v>0</v>
      </c>
      <c r="AC1288" s="32">
        <v>0</v>
      </c>
      <c r="AD1288" s="32">
        <v>0</v>
      </c>
      <c r="AE1288" s="32">
        <v>0</v>
      </c>
      <c r="AF1288" s="21">
        <v>20</v>
      </c>
      <c r="AG1288" s="32">
        <v>1</v>
      </c>
      <c r="AH1288" s="32">
        <v>5</v>
      </c>
      <c r="AI1288" s="19">
        <v>2</v>
      </c>
      <c r="AJ1288" s="19">
        <v>1</v>
      </c>
      <c r="AK1288" s="19">
        <v>0</v>
      </c>
      <c r="AL1288" s="19">
        <v>6</v>
      </c>
      <c r="AM1288" s="32">
        <v>0</v>
      </c>
      <c r="AN1288" s="32">
        <v>0</v>
      </c>
      <c r="AO1288" s="32">
        <v>0</v>
      </c>
      <c r="AP1288" s="32">
        <v>0.25</v>
      </c>
      <c r="AQ1288" s="32">
        <v>8000</v>
      </c>
      <c r="AR1288" s="32">
        <v>0.25</v>
      </c>
      <c r="AS1288" s="32">
        <v>0</v>
      </c>
      <c r="AT1288" s="19">
        <v>0</v>
      </c>
      <c r="AU1288" s="32">
        <v>83000004</v>
      </c>
      <c r="AV1288" s="32"/>
      <c r="AW1288" s="35" t="s">
        <v>205</v>
      </c>
      <c r="AX1288" s="32" t="s">
        <v>1415</v>
      </c>
      <c r="AY1288" s="32">
        <v>10002001</v>
      </c>
      <c r="AZ1288" s="32">
        <v>22001002</v>
      </c>
      <c r="BA1288" s="35" t="s">
        <v>321</v>
      </c>
      <c r="BB1288" s="35" t="s">
        <v>1864</v>
      </c>
      <c r="BC1288" s="31">
        <v>0</v>
      </c>
      <c r="BD1288" s="31">
        <v>1</v>
      </c>
      <c r="BE1288" s="185" t="s">
        <v>2630</v>
      </c>
      <c r="BF1288" s="185" t="s">
        <v>2631</v>
      </c>
      <c r="BG1288" s="32">
        <v>0</v>
      </c>
      <c r="BH1288" s="21">
        <v>0</v>
      </c>
      <c r="BI1288" s="32">
        <v>0</v>
      </c>
      <c r="BJ1288" s="32">
        <v>0</v>
      </c>
      <c r="BK1288" s="32">
        <v>0</v>
      </c>
      <c r="BL1288" s="32">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20.100000000000001" customHeight="1">
      <c r="C1289" s="32">
        <v>60031131</v>
      </c>
      <c r="D1289" s="20" t="s">
        <v>2632</v>
      </c>
      <c r="E1289" s="20" t="s">
        <v>2633</v>
      </c>
      <c r="F1289" s="21">
        <v>1</v>
      </c>
      <c r="G1289" s="32">
        <v>60031131</v>
      </c>
      <c r="H1289" s="32">
        <v>0</v>
      </c>
      <c r="I1289" s="19">
        <v>0</v>
      </c>
      <c r="J1289" s="32">
        <v>60</v>
      </c>
      <c r="K1289" s="32">
        <v>0</v>
      </c>
      <c r="L1289" s="21">
        <v>0</v>
      </c>
      <c r="M1289" s="19">
        <v>0</v>
      </c>
      <c r="N1289" s="19">
        <v>0</v>
      </c>
      <c r="O1289" s="19">
        <v>1</v>
      </c>
      <c r="P1289" s="19">
        <v>0</v>
      </c>
      <c r="Q1289" s="19">
        <v>0</v>
      </c>
      <c r="R1289" s="19">
        <v>0</v>
      </c>
      <c r="S1289" s="19">
        <v>0</v>
      </c>
      <c r="T1289" s="19">
        <v>0</v>
      </c>
      <c r="U1289" s="21">
        <v>1</v>
      </c>
      <c r="V1289" s="19">
        <v>2</v>
      </c>
      <c r="W1289" s="19">
        <v>0</v>
      </c>
      <c r="X1289" s="32">
        <v>2</v>
      </c>
      <c r="Y1289" s="19">
        <v>0</v>
      </c>
      <c r="Z1289" s="32">
        <v>0</v>
      </c>
      <c r="AA1289" s="19">
        <v>0</v>
      </c>
      <c r="AB1289" s="19">
        <v>0</v>
      </c>
      <c r="AC1289" s="19">
        <v>0</v>
      </c>
      <c r="AD1289" s="19">
        <v>0</v>
      </c>
      <c r="AE1289" s="19">
        <v>0</v>
      </c>
      <c r="AF1289" s="21">
        <v>20</v>
      </c>
      <c r="AG1289" s="19">
        <v>0</v>
      </c>
      <c r="AH1289" s="19">
        <v>0</v>
      </c>
      <c r="AI1289" s="19">
        <v>0</v>
      </c>
      <c r="AJ1289" s="19">
        <v>0</v>
      </c>
      <c r="AK1289" s="19">
        <v>0</v>
      </c>
      <c r="AL1289" s="19">
        <v>3</v>
      </c>
      <c r="AM1289" s="19">
        <v>0</v>
      </c>
      <c r="AN1289" s="19">
        <v>0</v>
      </c>
      <c r="AO1289" s="19">
        <v>0</v>
      </c>
      <c r="AP1289" s="19">
        <v>0.25</v>
      </c>
      <c r="AQ1289" s="19">
        <v>1000</v>
      </c>
      <c r="AR1289" s="19">
        <v>0</v>
      </c>
      <c r="AS1289" s="19">
        <v>0</v>
      </c>
      <c r="AT1289" s="19">
        <v>0</v>
      </c>
      <c r="AU1289" s="339" t="s">
        <v>2634</v>
      </c>
      <c r="AV1289" s="32"/>
      <c r="AW1289" s="20" t="s">
        <v>205</v>
      </c>
      <c r="AX1289" s="32" t="s">
        <v>1415</v>
      </c>
      <c r="AY1289" s="19" t="s">
        <v>204</v>
      </c>
      <c r="AZ1289" s="339" t="s">
        <v>2635</v>
      </c>
      <c r="BA1289" s="20" t="s">
        <v>206</v>
      </c>
      <c r="BB1289" s="19">
        <v>0</v>
      </c>
      <c r="BC1289" s="31">
        <v>0</v>
      </c>
      <c r="BD1289" s="31">
        <v>1</v>
      </c>
      <c r="BE1289" s="185" t="s">
        <v>2636</v>
      </c>
      <c r="BF1289" s="185" t="s">
        <v>2637</v>
      </c>
      <c r="BG1289" s="19">
        <v>0</v>
      </c>
      <c r="BH1289" s="21">
        <v>0</v>
      </c>
      <c r="BI1289" s="19">
        <v>0</v>
      </c>
      <c r="BJ1289" s="19">
        <v>0</v>
      </c>
      <c r="BK1289" s="19">
        <v>0</v>
      </c>
      <c r="BL1289" s="19">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19.5" customHeight="1">
      <c r="C1290" s="32">
        <v>60031132</v>
      </c>
      <c r="D1290" s="20" t="s">
        <v>2638</v>
      </c>
      <c r="E1290" s="20" t="s">
        <v>2639</v>
      </c>
      <c r="F1290" s="21">
        <v>1</v>
      </c>
      <c r="G1290" s="32">
        <v>60031131</v>
      </c>
      <c r="H1290" s="32">
        <v>0</v>
      </c>
      <c r="I1290" s="31">
        <v>0</v>
      </c>
      <c r="J1290" s="32">
        <v>60</v>
      </c>
      <c r="K1290" s="32">
        <v>0</v>
      </c>
      <c r="L1290" s="21">
        <v>0</v>
      </c>
      <c r="M1290" s="32">
        <v>0</v>
      </c>
      <c r="N1290" s="32">
        <v>0</v>
      </c>
      <c r="O1290" s="32">
        <v>2</v>
      </c>
      <c r="P1290" s="32">
        <v>1</v>
      </c>
      <c r="Q1290" s="32">
        <v>1</v>
      </c>
      <c r="R1290" s="32">
        <v>0</v>
      </c>
      <c r="S1290" s="19">
        <v>0</v>
      </c>
      <c r="T1290" s="31">
        <v>0</v>
      </c>
      <c r="U1290" s="21">
        <v>1</v>
      </c>
      <c r="V1290" s="32">
        <v>2</v>
      </c>
      <c r="W1290" s="32">
        <v>0</v>
      </c>
      <c r="X1290" s="32">
        <v>2</v>
      </c>
      <c r="Y1290" s="19">
        <v>0</v>
      </c>
      <c r="Z1290" s="32">
        <v>0</v>
      </c>
      <c r="AA1290" s="32">
        <v>0</v>
      </c>
      <c r="AB1290" s="32">
        <v>0</v>
      </c>
      <c r="AC1290" s="32">
        <v>0</v>
      </c>
      <c r="AD1290" s="32">
        <v>1</v>
      </c>
      <c r="AE1290" s="32">
        <v>0</v>
      </c>
      <c r="AF1290" s="21">
        <v>0</v>
      </c>
      <c r="AG1290" s="32">
        <v>1</v>
      </c>
      <c r="AH1290" s="32">
        <v>3</v>
      </c>
      <c r="AI1290" s="19">
        <v>1</v>
      </c>
      <c r="AJ1290" s="19">
        <v>1</v>
      </c>
      <c r="AK1290" s="19">
        <v>0</v>
      </c>
      <c r="AL1290" s="19">
        <v>6</v>
      </c>
      <c r="AM1290" s="32">
        <v>0</v>
      </c>
      <c r="AN1290" s="32">
        <v>0</v>
      </c>
      <c r="AO1290" s="32">
        <v>0</v>
      </c>
      <c r="AP1290" s="32">
        <v>0</v>
      </c>
      <c r="AQ1290" s="32">
        <v>1000</v>
      </c>
      <c r="AR1290" s="32">
        <v>0</v>
      </c>
      <c r="AS1290" s="32">
        <v>0</v>
      </c>
      <c r="AT1290" s="19">
        <v>0</v>
      </c>
      <c r="AU1290" s="32">
        <v>0</v>
      </c>
      <c r="AV1290" s="32"/>
      <c r="AW1290" s="35" t="s">
        <v>204</v>
      </c>
      <c r="AX1290" s="32" t="s">
        <v>1934</v>
      </c>
      <c r="AY1290" s="32">
        <v>10003002</v>
      </c>
      <c r="AZ1290" s="19">
        <v>22001003</v>
      </c>
      <c r="BA1290" s="35" t="s">
        <v>206</v>
      </c>
      <c r="BB1290" s="35">
        <v>0</v>
      </c>
      <c r="BC1290" s="31">
        <v>0</v>
      </c>
      <c r="BD1290" s="31">
        <v>1</v>
      </c>
      <c r="BE1290" s="185"/>
      <c r="BF1290" s="185"/>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60031141</v>
      </c>
      <c r="D1291" s="20" t="s">
        <v>2640</v>
      </c>
      <c r="E1291" s="20" t="s">
        <v>2641</v>
      </c>
      <c r="F1291" s="21">
        <v>1</v>
      </c>
      <c r="G1291" s="32">
        <v>60031141</v>
      </c>
      <c r="H1291" s="21">
        <v>0</v>
      </c>
      <c r="I1291" s="31">
        <v>0</v>
      </c>
      <c r="J1291" s="32">
        <v>60</v>
      </c>
      <c r="K1291" s="21">
        <v>0</v>
      </c>
      <c r="L1291" s="21">
        <v>0</v>
      </c>
      <c r="M1291" s="32">
        <v>0</v>
      </c>
      <c r="N1291" s="32">
        <v>0</v>
      </c>
      <c r="O1291" s="32">
        <v>1</v>
      </c>
      <c r="P1291" s="32">
        <v>0</v>
      </c>
      <c r="Q1291" s="32">
        <v>0</v>
      </c>
      <c r="R1291" s="32">
        <v>0</v>
      </c>
      <c r="S1291" s="19">
        <v>0</v>
      </c>
      <c r="T1291" s="31">
        <v>0</v>
      </c>
      <c r="U1291" s="21">
        <v>1</v>
      </c>
      <c r="V1291" s="32">
        <v>2</v>
      </c>
      <c r="W1291" s="32">
        <v>0</v>
      </c>
      <c r="X1291" s="32">
        <v>1.8</v>
      </c>
      <c r="Y1291" s="19">
        <v>0</v>
      </c>
      <c r="Z1291" s="32">
        <v>0</v>
      </c>
      <c r="AA1291" s="32">
        <v>0</v>
      </c>
      <c r="AB1291" s="32">
        <v>0</v>
      </c>
      <c r="AC1291" s="32">
        <v>0</v>
      </c>
      <c r="AD1291" s="32">
        <v>0</v>
      </c>
      <c r="AE1291" s="32">
        <v>0</v>
      </c>
      <c r="AF1291" s="21">
        <v>20</v>
      </c>
      <c r="AG1291" s="32">
        <v>1</v>
      </c>
      <c r="AH1291" s="32">
        <v>3</v>
      </c>
      <c r="AI1291" s="19">
        <v>2</v>
      </c>
      <c r="AJ1291" s="19">
        <v>1</v>
      </c>
      <c r="AK1291" s="19">
        <v>0</v>
      </c>
      <c r="AL1291" s="19">
        <v>6</v>
      </c>
      <c r="AM1291" s="32">
        <v>0</v>
      </c>
      <c r="AN1291" s="32">
        <v>0</v>
      </c>
      <c r="AO1291" s="32">
        <v>0</v>
      </c>
      <c r="AP1291" s="32">
        <v>0.25</v>
      </c>
      <c r="AQ1291" s="32">
        <v>20000</v>
      </c>
      <c r="AR1291" s="32">
        <v>0.25</v>
      </c>
      <c r="AS1291" s="32">
        <v>2</v>
      </c>
      <c r="AT1291" s="19">
        <v>0</v>
      </c>
      <c r="AU1291" s="32">
        <v>0</v>
      </c>
      <c r="AV1291" s="32"/>
      <c r="AW1291" s="35" t="s">
        <v>205</v>
      </c>
      <c r="AX1291" s="32" t="s">
        <v>1415</v>
      </c>
      <c r="AY1291" s="32">
        <v>10002001</v>
      </c>
      <c r="AZ1291" s="32">
        <v>22001004</v>
      </c>
      <c r="BA1291" s="35" t="s">
        <v>2642</v>
      </c>
      <c r="BB1291" s="35" t="s">
        <v>377</v>
      </c>
      <c r="BC1291" s="31">
        <v>0</v>
      </c>
      <c r="BD1291" s="31">
        <v>1</v>
      </c>
      <c r="BE1291" s="185" t="s">
        <v>2643</v>
      </c>
      <c r="BF1291" s="185" t="s">
        <v>2644</v>
      </c>
      <c r="BG1291" s="32">
        <v>0</v>
      </c>
      <c r="BH1291" s="21">
        <v>0</v>
      </c>
      <c r="BI1291" s="32">
        <v>0</v>
      </c>
      <c r="BJ1291" s="32">
        <v>0</v>
      </c>
      <c r="BK1291" s="32">
        <v>0</v>
      </c>
      <c r="BL1291" s="32">
        <v>0</v>
      </c>
      <c r="BM1291" s="25">
        <v>0</v>
      </c>
      <c r="BN1291" s="19">
        <v>0</v>
      </c>
      <c r="BO1291" s="19">
        <v>0</v>
      </c>
      <c r="BP1291" s="19">
        <v>0</v>
      </c>
      <c r="BQ1291" s="19">
        <v>0</v>
      </c>
      <c r="BR1291" s="19">
        <v>0</v>
      </c>
      <c r="BS1291" s="19">
        <v>0</v>
      </c>
      <c r="BT1291" s="19">
        <v>0</v>
      </c>
      <c r="BU1291" s="23">
        <v>0</v>
      </c>
      <c r="BV1291" s="23"/>
      <c r="BW1291" s="23"/>
      <c r="BX1291" s="23"/>
      <c r="BY1291" s="23"/>
      <c r="BZ1291" s="23"/>
    </row>
    <row r="1292" spans="3:78" ht="20.100000000000001" customHeight="1">
      <c r="C1292" s="32">
        <v>60031151</v>
      </c>
      <c r="D1292" s="20" t="s">
        <v>2645</v>
      </c>
      <c r="E1292" s="20" t="s">
        <v>2646</v>
      </c>
      <c r="F1292" s="21">
        <v>1</v>
      </c>
      <c r="G1292" s="32">
        <v>60031151</v>
      </c>
      <c r="H1292" s="21">
        <v>0</v>
      </c>
      <c r="I1292" s="31">
        <v>0</v>
      </c>
      <c r="J1292" s="32">
        <v>60</v>
      </c>
      <c r="K1292" s="21">
        <v>0</v>
      </c>
      <c r="L1292" s="21">
        <v>0</v>
      </c>
      <c r="M1292" s="21">
        <v>0</v>
      </c>
      <c r="N1292" s="21">
        <v>0</v>
      </c>
      <c r="O1292" s="21">
        <v>1</v>
      </c>
      <c r="P1292" s="21">
        <v>0</v>
      </c>
      <c r="Q1292" s="21">
        <v>0</v>
      </c>
      <c r="R1292" s="21">
        <v>0</v>
      </c>
      <c r="S1292" s="19">
        <v>0</v>
      </c>
      <c r="T1292" s="21">
        <v>0</v>
      </c>
      <c r="U1292" s="21">
        <v>1</v>
      </c>
      <c r="V1292" s="21">
        <v>2</v>
      </c>
      <c r="W1292" s="21">
        <v>0</v>
      </c>
      <c r="X1292" s="21">
        <v>1.5</v>
      </c>
      <c r="Y1292" s="19">
        <v>0</v>
      </c>
      <c r="Z1292" s="32">
        <v>0</v>
      </c>
      <c r="AA1292" s="21">
        <v>1</v>
      </c>
      <c r="AB1292" s="21">
        <v>0</v>
      </c>
      <c r="AC1292" s="21">
        <v>0</v>
      </c>
      <c r="AD1292" s="21">
        <v>0</v>
      </c>
      <c r="AE1292" s="21">
        <v>0</v>
      </c>
      <c r="AF1292" s="21">
        <v>20</v>
      </c>
      <c r="AG1292" s="21">
        <v>1</v>
      </c>
      <c r="AH1292" s="72">
        <v>4</v>
      </c>
      <c r="AI1292" s="19">
        <v>2</v>
      </c>
      <c r="AJ1292" s="19">
        <v>1</v>
      </c>
      <c r="AK1292" s="19">
        <v>0</v>
      </c>
      <c r="AL1292" s="19">
        <v>6</v>
      </c>
      <c r="AM1292" s="21">
        <v>0</v>
      </c>
      <c r="AN1292" s="21">
        <v>0</v>
      </c>
      <c r="AO1292" s="21">
        <v>0</v>
      </c>
      <c r="AP1292" s="21">
        <v>0.5</v>
      </c>
      <c r="AQ1292" s="21">
        <v>8000</v>
      </c>
      <c r="AR1292" s="21">
        <v>0.2</v>
      </c>
      <c r="AS1292" s="21">
        <v>0</v>
      </c>
      <c r="AT1292" s="19">
        <v>0</v>
      </c>
      <c r="AU1292" s="32">
        <v>90001025</v>
      </c>
      <c r="AV1292" s="32"/>
      <c r="AW1292" s="30" t="s">
        <v>623</v>
      </c>
      <c r="AX1292" s="32" t="s">
        <v>1047</v>
      </c>
      <c r="AY1292" s="32">
        <v>10000007</v>
      </c>
      <c r="AZ1292" s="32">
        <v>22001005</v>
      </c>
      <c r="BA1292" s="30" t="s">
        <v>1718</v>
      </c>
      <c r="BB1292" s="21">
        <v>0</v>
      </c>
      <c r="BC1292" s="31">
        <v>0</v>
      </c>
      <c r="BD1292" s="31">
        <v>1</v>
      </c>
      <c r="BE1292" s="185" t="s">
        <v>2647</v>
      </c>
      <c r="BF1292" s="185" t="s">
        <v>2648</v>
      </c>
      <c r="BG1292" s="21">
        <v>0</v>
      </c>
      <c r="BH1292" s="21">
        <v>0</v>
      </c>
      <c r="BI1292" s="21">
        <v>0</v>
      </c>
      <c r="BJ1292" s="21">
        <v>0</v>
      </c>
      <c r="BK1292" s="21">
        <v>0</v>
      </c>
      <c r="BL1292" s="21">
        <v>0</v>
      </c>
      <c r="BM1292" s="25">
        <v>0</v>
      </c>
      <c r="BN1292" s="19">
        <v>0</v>
      </c>
      <c r="BO1292" s="19">
        <v>0</v>
      </c>
      <c r="BP1292" s="19">
        <v>1000</v>
      </c>
      <c r="BQ1292" s="19">
        <v>1</v>
      </c>
      <c r="BR1292" s="19">
        <v>600</v>
      </c>
      <c r="BS1292" s="19">
        <v>600</v>
      </c>
      <c r="BT1292" s="19">
        <v>0</v>
      </c>
      <c r="BU1292" s="23">
        <v>0</v>
      </c>
      <c r="BV1292" s="23"/>
      <c r="BW1292" s="23"/>
      <c r="BX1292" s="23"/>
      <c r="BY1292" s="23"/>
      <c r="BZ1292" s="23"/>
    </row>
    <row r="1293" spans="3:78" ht="20.100000000000001" customHeight="1">
      <c r="C1293" s="32">
        <v>60031161</v>
      </c>
      <c r="D1293" s="20" t="s">
        <v>2649</v>
      </c>
      <c r="E1293" s="20" t="s">
        <v>2650</v>
      </c>
      <c r="F1293" s="21">
        <v>1</v>
      </c>
      <c r="G1293" s="32">
        <v>60031161</v>
      </c>
      <c r="H1293" s="32">
        <v>0</v>
      </c>
      <c r="I1293" s="31">
        <v>0</v>
      </c>
      <c r="J1293" s="32">
        <v>60</v>
      </c>
      <c r="K1293" s="21">
        <v>0</v>
      </c>
      <c r="L1293" s="21">
        <v>0</v>
      </c>
      <c r="M1293" s="32">
        <v>0</v>
      </c>
      <c r="N1293" s="32">
        <v>0</v>
      </c>
      <c r="O1293" s="32">
        <v>1</v>
      </c>
      <c r="P1293" s="32">
        <v>0</v>
      </c>
      <c r="Q1293" s="32">
        <v>0</v>
      </c>
      <c r="R1293" s="32">
        <v>0</v>
      </c>
      <c r="S1293" s="19">
        <v>0</v>
      </c>
      <c r="T1293" s="31">
        <v>0</v>
      </c>
      <c r="U1293" s="21">
        <v>1</v>
      </c>
      <c r="V1293" s="32">
        <v>2</v>
      </c>
      <c r="W1293" s="32">
        <v>0</v>
      </c>
      <c r="X1293" s="32">
        <v>3</v>
      </c>
      <c r="Y1293" s="19">
        <v>0</v>
      </c>
      <c r="Z1293" s="32">
        <v>0</v>
      </c>
      <c r="AA1293" s="32">
        <v>0</v>
      </c>
      <c r="AB1293" s="32">
        <v>0</v>
      </c>
      <c r="AC1293" s="32">
        <v>0</v>
      </c>
      <c r="AD1293" s="32">
        <v>0</v>
      </c>
      <c r="AE1293" s="32">
        <v>0</v>
      </c>
      <c r="AF1293" s="21">
        <v>20</v>
      </c>
      <c r="AG1293" s="32">
        <v>1</v>
      </c>
      <c r="AH1293" s="32">
        <v>8</v>
      </c>
      <c r="AI1293" s="19">
        <v>2</v>
      </c>
      <c r="AJ1293" s="19">
        <v>0</v>
      </c>
      <c r="AK1293" s="19">
        <v>1</v>
      </c>
      <c r="AL1293" s="19">
        <v>0</v>
      </c>
      <c r="AM1293" s="32">
        <v>0</v>
      </c>
      <c r="AN1293" s="32">
        <v>0</v>
      </c>
      <c r="AO1293" s="32">
        <v>0</v>
      </c>
      <c r="AP1293" s="32">
        <v>0.5</v>
      </c>
      <c r="AQ1293" s="32">
        <v>12000</v>
      </c>
      <c r="AR1293" s="32">
        <v>0</v>
      </c>
      <c r="AS1293" s="32">
        <v>0</v>
      </c>
      <c r="AT1293" s="19">
        <v>0</v>
      </c>
      <c r="AU1293" s="339" t="s">
        <v>2651</v>
      </c>
      <c r="AV1293" s="32"/>
      <c r="AW1293" s="35" t="s">
        <v>1705</v>
      </c>
      <c r="AX1293" s="32" t="s">
        <v>1415</v>
      </c>
      <c r="AY1293" s="32">
        <v>10002001</v>
      </c>
      <c r="AZ1293" s="32">
        <v>22001006</v>
      </c>
      <c r="BA1293" s="35" t="s">
        <v>2652</v>
      </c>
      <c r="BB1293" s="31" t="s">
        <v>2653</v>
      </c>
      <c r="BC1293" s="31">
        <v>0</v>
      </c>
      <c r="BD1293" s="31">
        <v>1</v>
      </c>
      <c r="BE1293" s="185" t="s">
        <v>2654</v>
      </c>
      <c r="BF1293" s="185" t="s">
        <v>2655</v>
      </c>
      <c r="BG1293" s="32">
        <v>0</v>
      </c>
      <c r="BH1293" s="21">
        <v>0</v>
      </c>
      <c r="BI1293" s="32">
        <v>0</v>
      </c>
      <c r="BJ1293" s="32">
        <v>0</v>
      </c>
      <c r="BK1293" s="32">
        <v>0</v>
      </c>
      <c r="BL1293" s="32">
        <v>0</v>
      </c>
      <c r="BM1293" s="25">
        <v>0</v>
      </c>
      <c r="BN1293" s="19">
        <v>0</v>
      </c>
      <c r="BO1293" s="19">
        <v>0</v>
      </c>
      <c r="BP1293" s="19">
        <v>0</v>
      </c>
      <c r="BQ1293" s="19">
        <v>0</v>
      </c>
      <c r="BR1293" s="19">
        <v>0</v>
      </c>
      <c r="BS1293" s="19">
        <v>0</v>
      </c>
      <c r="BT1293" s="19">
        <v>0</v>
      </c>
      <c r="BU1293" s="23">
        <v>0</v>
      </c>
      <c r="BV1293" s="23"/>
      <c r="BW1293" s="23"/>
      <c r="BX1293" s="23"/>
      <c r="BY1293" s="23"/>
      <c r="BZ1293" s="23"/>
    </row>
    <row r="1294" spans="3:78" ht="19.5" customHeight="1">
      <c r="C1294" s="32">
        <v>60031162</v>
      </c>
      <c r="D1294" s="163" t="s">
        <v>2656</v>
      </c>
      <c r="E1294" s="163" t="s">
        <v>2657</v>
      </c>
      <c r="F1294" s="162">
        <v>1</v>
      </c>
      <c r="G1294" s="164">
        <v>60010100</v>
      </c>
      <c r="H1294" s="162">
        <v>0</v>
      </c>
      <c r="I1294" s="165">
        <v>0</v>
      </c>
      <c r="J1294" s="162">
        <v>60</v>
      </c>
      <c r="K1294" s="162">
        <v>0</v>
      </c>
      <c r="L1294" s="162">
        <v>0</v>
      </c>
      <c r="M1294" s="164">
        <v>0</v>
      </c>
      <c r="N1294" s="164">
        <v>0</v>
      </c>
      <c r="O1294" s="164">
        <v>1</v>
      </c>
      <c r="P1294" s="164">
        <v>0</v>
      </c>
      <c r="Q1294" s="164">
        <v>1</v>
      </c>
      <c r="R1294" s="164">
        <v>0</v>
      </c>
      <c r="S1294" s="166">
        <v>0</v>
      </c>
      <c r="T1294" s="164">
        <v>0</v>
      </c>
      <c r="U1294" s="164">
        <v>1</v>
      </c>
      <c r="V1294" s="164">
        <v>2</v>
      </c>
      <c r="W1294" s="164">
        <v>0</v>
      </c>
      <c r="X1294" s="164">
        <v>3</v>
      </c>
      <c r="Y1294" s="19">
        <v>0</v>
      </c>
      <c r="Z1294" s="164">
        <v>0</v>
      </c>
      <c r="AA1294" s="164">
        <v>1</v>
      </c>
      <c r="AB1294" s="164">
        <v>0</v>
      </c>
      <c r="AC1294" s="164">
        <v>0</v>
      </c>
      <c r="AD1294" s="164">
        <v>0</v>
      </c>
      <c r="AE1294" s="164">
        <v>0</v>
      </c>
      <c r="AF1294" s="21">
        <v>0</v>
      </c>
      <c r="AG1294" s="164">
        <v>1</v>
      </c>
      <c r="AH1294" s="164">
        <v>3</v>
      </c>
      <c r="AI1294" s="166">
        <v>7</v>
      </c>
      <c r="AJ1294" s="166">
        <v>1</v>
      </c>
      <c r="AK1294" s="166">
        <v>0</v>
      </c>
      <c r="AL1294" s="166">
        <v>6</v>
      </c>
      <c r="AM1294" s="164">
        <v>0</v>
      </c>
      <c r="AN1294" s="164">
        <v>0</v>
      </c>
      <c r="AO1294" s="164">
        <v>0</v>
      </c>
      <c r="AP1294" s="164">
        <v>0</v>
      </c>
      <c r="AQ1294" s="164">
        <v>5000</v>
      </c>
      <c r="AR1294" s="164">
        <v>2.5</v>
      </c>
      <c r="AS1294" s="164">
        <v>0</v>
      </c>
      <c r="AT1294" s="166">
        <v>0</v>
      </c>
      <c r="AU1294" s="164">
        <v>80001030</v>
      </c>
      <c r="AV1294" s="164"/>
      <c r="AW1294" s="167"/>
      <c r="AX1294" s="164" t="s">
        <v>540</v>
      </c>
      <c r="AY1294" s="162">
        <v>10000007</v>
      </c>
      <c r="AZ1294" s="162">
        <v>70204001</v>
      </c>
      <c r="BA1294" s="163" t="s">
        <v>206</v>
      </c>
      <c r="BB1294" s="164">
        <v>0</v>
      </c>
      <c r="BC1294" s="165">
        <v>0</v>
      </c>
      <c r="BD1294" s="31">
        <v>1</v>
      </c>
      <c r="BE1294" s="168" t="s">
        <v>2658</v>
      </c>
      <c r="BF1294" s="168" t="s">
        <v>2659</v>
      </c>
      <c r="BG1294" s="164">
        <v>0</v>
      </c>
      <c r="BH1294" s="164">
        <v>0</v>
      </c>
      <c r="BI1294" s="164">
        <v>0</v>
      </c>
      <c r="BJ1294" s="164">
        <v>0</v>
      </c>
      <c r="BK1294" s="164">
        <v>0</v>
      </c>
      <c r="BL1294" s="164">
        <v>0</v>
      </c>
      <c r="BM1294" s="169">
        <v>0</v>
      </c>
      <c r="BN1294" s="166">
        <v>1</v>
      </c>
      <c r="BO1294" s="166">
        <v>0</v>
      </c>
      <c r="BP1294" s="166">
        <v>0</v>
      </c>
      <c r="BQ1294" s="166">
        <v>0</v>
      </c>
      <c r="BR1294" s="166">
        <v>0</v>
      </c>
      <c r="BS1294" s="166">
        <v>0</v>
      </c>
      <c r="BT1294" s="19">
        <v>0</v>
      </c>
      <c r="BU1294" s="23">
        <v>0</v>
      </c>
      <c r="BV1294" s="23"/>
      <c r="BW1294" s="23"/>
      <c r="BX1294" s="23"/>
      <c r="BY1294" s="23"/>
      <c r="BZ1294" s="23"/>
    </row>
    <row r="1295" spans="3:78" ht="20.100000000000001" customHeight="1">
      <c r="C1295" s="176">
        <v>60031171</v>
      </c>
      <c r="D1295" s="205" t="s">
        <v>2660</v>
      </c>
      <c r="E1295" s="205" t="s">
        <v>2661</v>
      </c>
      <c r="F1295" s="172">
        <v>1</v>
      </c>
      <c r="G1295" s="176">
        <v>60031171</v>
      </c>
      <c r="H1295" s="176">
        <v>0</v>
      </c>
      <c r="I1295" s="174">
        <v>0</v>
      </c>
      <c r="J1295" s="172">
        <v>60</v>
      </c>
      <c r="K1295" s="172">
        <v>0</v>
      </c>
      <c r="L1295" s="172">
        <v>0</v>
      </c>
      <c r="M1295" s="176">
        <v>0</v>
      </c>
      <c r="N1295" s="176">
        <v>0</v>
      </c>
      <c r="O1295" s="176">
        <v>1</v>
      </c>
      <c r="P1295" s="176">
        <v>0</v>
      </c>
      <c r="Q1295" s="176">
        <v>0</v>
      </c>
      <c r="R1295" s="176">
        <v>0</v>
      </c>
      <c r="S1295" s="175">
        <v>0</v>
      </c>
      <c r="T1295" s="174">
        <v>0</v>
      </c>
      <c r="U1295" s="172">
        <v>1</v>
      </c>
      <c r="V1295" s="176">
        <v>2</v>
      </c>
      <c r="W1295" s="176">
        <v>0</v>
      </c>
      <c r="X1295" s="176">
        <v>1.5</v>
      </c>
      <c r="Y1295" s="19">
        <v>0</v>
      </c>
      <c r="Z1295" s="176">
        <v>5000</v>
      </c>
      <c r="AA1295" s="176">
        <v>0</v>
      </c>
      <c r="AB1295" s="176">
        <v>0</v>
      </c>
      <c r="AC1295" s="176">
        <v>0</v>
      </c>
      <c r="AD1295" s="176">
        <v>0</v>
      </c>
      <c r="AE1295" s="176">
        <v>0</v>
      </c>
      <c r="AF1295" s="176">
        <v>30</v>
      </c>
      <c r="AG1295" s="176">
        <v>1</v>
      </c>
      <c r="AH1295" s="176">
        <v>3</v>
      </c>
      <c r="AI1295" s="175">
        <v>2</v>
      </c>
      <c r="AJ1295" s="175">
        <v>1</v>
      </c>
      <c r="AK1295" s="175">
        <v>0</v>
      </c>
      <c r="AL1295" s="175">
        <v>6</v>
      </c>
      <c r="AM1295" s="176">
        <v>0</v>
      </c>
      <c r="AN1295" s="176">
        <v>0</v>
      </c>
      <c r="AO1295" s="176">
        <v>0</v>
      </c>
      <c r="AP1295" s="176">
        <v>0.5</v>
      </c>
      <c r="AQ1295" s="176">
        <v>10000</v>
      </c>
      <c r="AR1295" s="176">
        <v>0.5</v>
      </c>
      <c r="AS1295" s="176">
        <v>0</v>
      </c>
      <c r="AT1295" s="175">
        <v>0</v>
      </c>
      <c r="AU1295" s="176">
        <v>0</v>
      </c>
      <c r="AV1295" s="176"/>
      <c r="AW1295" s="205" t="s">
        <v>623</v>
      </c>
      <c r="AX1295" s="176" t="s">
        <v>1415</v>
      </c>
      <c r="AY1295" s="176">
        <v>10002001</v>
      </c>
      <c r="AZ1295" s="176">
        <v>21201090</v>
      </c>
      <c r="BA1295" s="205" t="s">
        <v>321</v>
      </c>
      <c r="BB1295" s="205" t="s">
        <v>377</v>
      </c>
      <c r="BC1295" s="174">
        <v>0</v>
      </c>
      <c r="BD1295" s="174">
        <v>0</v>
      </c>
      <c r="BE1295" s="210" t="str">
        <f>"在目标区域立即释放法术,在此范围内的目标每秒造成"&amp;X1295*100&amp;"%攻击伤害+"&amp;Z1295&amp;"点固定伤害,持续10秒"</f>
        <v>在目标区域立即释放法术,在此范围内的目标每秒造成150%攻击伤害+5000点固定伤害,持续10秒</v>
      </c>
      <c r="BF1295" s="210" t="s">
        <v>2662</v>
      </c>
      <c r="BG1295" s="176">
        <v>0</v>
      </c>
      <c r="BH1295" s="172">
        <v>0</v>
      </c>
      <c r="BI1295" s="176">
        <v>0</v>
      </c>
      <c r="BJ1295" s="176">
        <v>0</v>
      </c>
      <c r="BK1295" s="176">
        <v>0</v>
      </c>
      <c r="BL1295" s="176">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19.5" customHeight="1">
      <c r="C1296" s="176">
        <v>60031181</v>
      </c>
      <c r="D1296" s="202" t="s">
        <v>2663</v>
      </c>
      <c r="E1296" s="202" t="s">
        <v>2664</v>
      </c>
      <c r="F1296" s="176">
        <v>1</v>
      </c>
      <c r="G1296" s="176">
        <v>60031181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3</v>
      </c>
      <c r="Y1296" s="19">
        <v>0</v>
      </c>
      <c r="Z1296" s="172">
        <v>5000</v>
      </c>
      <c r="AA1296" s="172">
        <v>1</v>
      </c>
      <c r="AB1296" s="172">
        <v>0</v>
      </c>
      <c r="AC1296" s="172">
        <v>0</v>
      </c>
      <c r="AD1296" s="172">
        <v>0</v>
      </c>
      <c r="AE1296" s="172">
        <v>0</v>
      </c>
      <c r="AF1296" s="172">
        <v>30</v>
      </c>
      <c r="AG1296" s="172">
        <v>1</v>
      </c>
      <c r="AH1296" s="172">
        <v>3</v>
      </c>
      <c r="AI1296" s="175">
        <v>0</v>
      </c>
      <c r="AJ1296" s="175">
        <v>2</v>
      </c>
      <c r="AK1296" s="175">
        <v>0</v>
      </c>
      <c r="AL1296" s="175">
        <v>2</v>
      </c>
      <c r="AM1296" s="172">
        <v>0</v>
      </c>
      <c r="AN1296" s="172">
        <v>0</v>
      </c>
      <c r="AO1296" s="172">
        <v>0</v>
      </c>
      <c r="AP1296" s="172">
        <v>2</v>
      </c>
      <c r="AQ1296" s="172">
        <v>10000</v>
      </c>
      <c r="AR1296" s="172">
        <v>0.5</v>
      </c>
      <c r="AS1296" s="172">
        <v>10</v>
      </c>
      <c r="AT1296" s="175">
        <v>0</v>
      </c>
      <c r="AU1296" s="172" t="s">
        <v>204</v>
      </c>
      <c r="AV1296" s="172"/>
      <c r="AW1296" s="205" t="s">
        <v>623</v>
      </c>
      <c r="AX1296" s="172" t="s">
        <v>540</v>
      </c>
      <c r="AY1296" s="176">
        <v>10000007</v>
      </c>
      <c r="AZ1296" s="176">
        <v>21202090</v>
      </c>
      <c r="BA1296" s="205" t="s">
        <v>592</v>
      </c>
      <c r="BB1296" s="175" t="s">
        <v>2665</v>
      </c>
      <c r="BC1296" s="174">
        <v>0</v>
      </c>
      <c r="BD1296" s="174" t="s">
        <v>2666</v>
      </c>
      <c r="BE1296" s="207" t="s">
        <v>2667</v>
      </c>
      <c r="BF1296" s="207" t="s">
        <v>2668</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ht="20.100000000000001" customHeight="1">
      <c r="C1297" s="176">
        <v>60031191</v>
      </c>
      <c r="D1297" s="173" t="s">
        <v>2669</v>
      </c>
      <c r="E1297" s="173" t="s">
        <v>2670</v>
      </c>
      <c r="F1297" s="176">
        <v>1</v>
      </c>
      <c r="G1297" s="176">
        <v>60031191</v>
      </c>
      <c r="H1297" s="176">
        <v>0</v>
      </c>
      <c r="I1297" s="174">
        <v>0</v>
      </c>
      <c r="J1297" s="172">
        <v>60</v>
      </c>
      <c r="K1297" s="176">
        <v>0</v>
      </c>
      <c r="L1297" s="176">
        <v>0</v>
      </c>
      <c r="M1297" s="172">
        <v>0</v>
      </c>
      <c r="N1297" s="172">
        <v>0</v>
      </c>
      <c r="O1297" s="172">
        <v>1</v>
      </c>
      <c r="P1297" s="172">
        <v>0</v>
      </c>
      <c r="Q1297" s="172">
        <v>1</v>
      </c>
      <c r="R1297" s="172">
        <v>0</v>
      </c>
      <c r="S1297" s="175">
        <v>0</v>
      </c>
      <c r="T1297" s="172">
        <v>0</v>
      </c>
      <c r="U1297" s="172">
        <v>1</v>
      </c>
      <c r="V1297" s="172">
        <v>2</v>
      </c>
      <c r="W1297" s="172">
        <v>0</v>
      </c>
      <c r="X1297" s="172">
        <v>0</v>
      </c>
      <c r="Y1297" s="19">
        <v>0</v>
      </c>
      <c r="Z1297" s="172">
        <v>0</v>
      </c>
      <c r="AA1297" s="172">
        <v>0</v>
      </c>
      <c r="AB1297" s="172">
        <v>0</v>
      </c>
      <c r="AC1297" s="172">
        <v>0</v>
      </c>
      <c r="AD1297" s="172">
        <v>0</v>
      </c>
      <c r="AE1297" s="172">
        <v>0</v>
      </c>
      <c r="AF1297" s="172">
        <v>30</v>
      </c>
      <c r="AG1297" s="172">
        <v>0</v>
      </c>
      <c r="AH1297" s="172">
        <v>0</v>
      </c>
      <c r="AI1297" s="175">
        <v>2</v>
      </c>
      <c r="AJ1297" s="175">
        <v>2</v>
      </c>
      <c r="AK1297" s="175">
        <v>0</v>
      </c>
      <c r="AL1297" s="175">
        <v>1.5</v>
      </c>
      <c r="AM1297" s="172">
        <v>0</v>
      </c>
      <c r="AN1297" s="172">
        <v>0</v>
      </c>
      <c r="AO1297" s="172">
        <v>0</v>
      </c>
      <c r="AP1297" s="172">
        <v>1</v>
      </c>
      <c r="AQ1297" s="172">
        <v>3000</v>
      </c>
      <c r="AR1297" s="172">
        <v>0.5</v>
      </c>
      <c r="AS1297" s="172">
        <v>0</v>
      </c>
      <c r="AT1297" s="175">
        <v>0</v>
      </c>
      <c r="AU1297" s="172" t="s">
        <v>204</v>
      </c>
      <c r="AV1297" s="172"/>
      <c r="AW1297" s="173" t="s">
        <v>1769</v>
      </c>
      <c r="AX1297" s="172" t="s">
        <v>551</v>
      </c>
      <c r="AY1297" s="176">
        <v>0</v>
      </c>
      <c r="AZ1297" s="176">
        <v>21203090</v>
      </c>
      <c r="BA1297" s="173" t="s">
        <v>1180</v>
      </c>
      <c r="BB1297" s="205" t="s">
        <v>2671</v>
      </c>
      <c r="BC1297" s="174">
        <v>0</v>
      </c>
      <c r="BD1297" s="174">
        <v>0</v>
      </c>
      <c r="BE1297" s="207" t="s">
        <v>2672</v>
      </c>
      <c r="BF1297" s="207" t="s">
        <v>2673</v>
      </c>
      <c r="BG1297" s="172">
        <v>0</v>
      </c>
      <c r="BH1297" s="172">
        <v>0</v>
      </c>
      <c r="BI1297" s="172">
        <v>0</v>
      </c>
      <c r="BJ1297" s="172">
        <v>0</v>
      </c>
      <c r="BK1297" s="172">
        <v>0</v>
      </c>
      <c r="BL1297" s="172">
        <v>0</v>
      </c>
      <c r="BM1297" s="178">
        <v>0</v>
      </c>
      <c r="BN1297" s="175">
        <v>0</v>
      </c>
      <c r="BO1297" s="175">
        <v>0</v>
      </c>
      <c r="BP1297" s="175">
        <v>0</v>
      </c>
      <c r="BQ1297" s="175">
        <v>0</v>
      </c>
      <c r="BR1297" s="175">
        <v>0</v>
      </c>
      <c r="BS1297" s="175">
        <v>0</v>
      </c>
      <c r="BT1297" s="19">
        <v>0</v>
      </c>
      <c r="BU1297" s="23">
        <v>0</v>
      </c>
      <c r="BV1297" s="23"/>
      <c r="BW1297" s="23"/>
      <c r="BX1297" s="23"/>
      <c r="BY1297" s="23"/>
      <c r="BZ1297" s="23"/>
    </row>
    <row r="1298" spans="1:78" s="1" customFormat="1" ht="19.5" customHeight="1">
      <c r="A1298" s="218"/>
      <c r="B1298" s="218"/>
      <c r="C1298" s="176">
        <v>60031201</v>
      </c>
      <c r="D1298" s="71" t="s">
        <v>2674</v>
      </c>
      <c r="E1298" s="71" t="s">
        <v>2675</v>
      </c>
      <c r="F1298" s="172">
        <v>1</v>
      </c>
      <c r="G1298" s="176">
        <v>60031201</v>
      </c>
      <c r="H1298" s="74">
        <v>0</v>
      </c>
      <c r="I1298" s="75">
        <v>0</v>
      </c>
      <c r="J1298" s="21">
        <v>60</v>
      </c>
      <c r="K1298" s="21">
        <v>0</v>
      </c>
      <c r="L1298" s="74">
        <v>0</v>
      </c>
      <c r="M1298" s="72">
        <v>0</v>
      </c>
      <c r="N1298" s="72">
        <v>0</v>
      </c>
      <c r="O1298" s="72">
        <v>1</v>
      </c>
      <c r="P1298" s="72">
        <v>0</v>
      </c>
      <c r="Q1298" s="72">
        <v>0</v>
      </c>
      <c r="R1298" s="72">
        <v>0</v>
      </c>
      <c r="S1298" s="73">
        <v>0</v>
      </c>
      <c r="T1298" s="72">
        <v>0</v>
      </c>
      <c r="U1298" s="72">
        <v>1</v>
      </c>
      <c r="V1298" s="72">
        <v>1</v>
      </c>
      <c r="W1298" s="72">
        <v>0</v>
      </c>
      <c r="X1298" s="72">
        <v>0</v>
      </c>
      <c r="Y1298" s="19">
        <v>0</v>
      </c>
      <c r="Z1298" s="72">
        <v>0</v>
      </c>
      <c r="AA1298" s="72">
        <v>0</v>
      </c>
      <c r="AB1298" s="72">
        <v>0</v>
      </c>
      <c r="AC1298" s="72">
        <v>0</v>
      </c>
      <c r="AD1298" s="72">
        <v>0</v>
      </c>
      <c r="AE1298" s="72">
        <v>0</v>
      </c>
      <c r="AF1298" s="72">
        <v>24</v>
      </c>
      <c r="AG1298" s="72">
        <v>0</v>
      </c>
      <c r="AH1298" s="72">
        <v>0</v>
      </c>
      <c r="AI1298" s="73">
        <v>0</v>
      </c>
      <c r="AJ1298" s="73">
        <v>0</v>
      </c>
      <c r="AK1298" s="73">
        <v>0</v>
      </c>
      <c r="AL1298" s="73">
        <v>1.5</v>
      </c>
      <c r="AM1298" s="72">
        <v>0</v>
      </c>
      <c r="AN1298" s="72">
        <v>0</v>
      </c>
      <c r="AO1298" s="72">
        <v>0</v>
      </c>
      <c r="AP1298" s="74">
        <v>0.2</v>
      </c>
      <c r="AQ1298" s="72">
        <v>3000</v>
      </c>
      <c r="AR1298" s="72">
        <v>0.2</v>
      </c>
      <c r="AS1298" s="72">
        <v>0</v>
      </c>
      <c r="AT1298" s="73">
        <v>0</v>
      </c>
      <c r="AU1298" s="72" t="s">
        <v>204</v>
      </c>
      <c r="AV1298" s="72"/>
      <c r="AW1298" s="35" t="s">
        <v>205</v>
      </c>
      <c r="AX1298" s="72" t="s">
        <v>551</v>
      </c>
      <c r="AY1298" s="74">
        <v>0</v>
      </c>
      <c r="AZ1298" s="74">
        <v>21300030</v>
      </c>
      <c r="BA1298" s="71" t="s">
        <v>1180</v>
      </c>
      <c r="BB1298" s="344" t="s">
        <v>2676</v>
      </c>
      <c r="BC1298" s="75">
        <v>0</v>
      </c>
      <c r="BD1298" s="75">
        <v>0</v>
      </c>
      <c r="BE1298" s="76" t="s">
        <v>2677</v>
      </c>
      <c r="BF1298" s="76" t="s">
        <v>2678</v>
      </c>
      <c r="BG1298" s="72">
        <v>0</v>
      </c>
      <c r="BH1298" s="72">
        <v>0</v>
      </c>
      <c r="BI1298" s="72">
        <v>0</v>
      </c>
      <c r="BJ1298" s="72">
        <v>0</v>
      </c>
      <c r="BK1298" s="72">
        <v>0</v>
      </c>
      <c r="BL1298" s="72">
        <v>0</v>
      </c>
      <c r="BM1298" s="90">
        <v>0</v>
      </c>
      <c r="BN1298" s="73">
        <v>0</v>
      </c>
      <c r="BO1298" s="73">
        <v>0</v>
      </c>
      <c r="BP1298" s="73">
        <v>0</v>
      </c>
      <c r="BQ1298" s="73">
        <v>0</v>
      </c>
      <c r="BR1298" s="73">
        <v>0</v>
      </c>
      <c r="BS1298" s="73">
        <v>0</v>
      </c>
      <c r="BT1298" s="73">
        <v>0</v>
      </c>
      <c r="BU1298" s="73">
        <v>0</v>
      </c>
      <c r="BV1298" s="23"/>
      <c r="BW1298" s="23"/>
      <c r="BX1298" s="23"/>
      <c r="BY1298" s="23"/>
      <c r="BZ1298" s="23"/>
    </row>
    <row r="1299" spans="1:78" ht="19.5" customHeight="1">
      <c r="C1299" s="176">
        <v>60031211</v>
      </c>
      <c r="D1299" s="202" t="s">
        <v>2679</v>
      </c>
      <c r="E1299" s="202" t="s">
        <v>2680</v>
      </c>
      <c r="F1299" s="176">
        <v>1</v>
      </c>
      <c r="G1299" s="176">
        <v>60031211</v>
      </c>
      <c r="H1299" s="176">
        <v>0</v>
      </c>
      <c r="I1299" s="174">
        <v>0</v>
      </c>
      <c r="J1299" s="172">
        <v>60</v>
      </c>
      <c r="K1299" s="176">
        <v>0</v>
      </c>
      <c r="L1299" s="176">
        <v>0</v>
      </c>
      <c r="M1299" s="172">
        <v>0</v>
      </c>
      <c r="N1299" s="172">
        <v>0</v>
      </c>
      <c r="O1299" s="172">
        <v>1</v>
      </c>
      <c r="P1299" s="172">
        <v>0</v>
      </c>
      <c r="Q1299" s="172">
        <v>1</v>
      </c>
      <c r="R1299" s="172">
        <v>0</v>
      </c>
      <c r="S1299" s="175">
        <v>0</v>
      </c>
      <c r="T1299" s="172">
        <v>0</v>
      </c>
      <c r="U1299" s="172">
        <v>1</v>
      </c>
      <c r="V1299" s="172">
        <v>2</v>
      </c>
      <c r="W1299" s="172">
        <v>0</v>
      </c>
      <c r="X1299" s="172">
        <v>3</v>
      </c>
      <c r="Y1299" s="19">
        <v>0</v>
      </c>
      <c r="Z1299" s="172">
        <v>5000</v>
      </c>
      <c r="AA1299" s="172">
        <v>1</v>
      </c>
      <c r="AB1299" s="172">
        <v>0</v>
      </c>
      <c r="AC1299" s="172">
        <v>0</v>
      </c>
      <c r="AD1299" s="172">
        <v>0</v>
      </c>
      <c r="AE1299" s="172">
        <v>0</v>
      </c>
      <c r="AF1299" s="172">
        <v>30</v>
      </c>
      <c r="AG1299" s="172">
        <v>1</v>
      </c>
      <c r="AH1299" s="172">
        <v>3</v>
      </c>
      <c r="AI1299" s="175">
        <v>0</v>
      </c>
      <c r="AJ1299" s="175">
        <v>2</v>
      </c>
      <c r="AK1299" s="175">
        <v>0</v>
      </c>
      <c r="AL1299" s="175">
        <v>2</v>
      </c>
      <c r="AM1299" s="172">
        <v>0</v>
      </c>
      <c r="AN1299" s="172">
        <v>0</v>
      </c>
      <c r="AO1299" s="172">
        <v>0</v>
      </c>
      <c r="AP1299" s="172">
        <v>2</v>
      </c>
      <c r="AQ1299" s="172">
        <v>10000</v>
      </c>
      <c r="AR1299" s="172">
        <v>0.5</v>
      </c>
      <c r="AS1299" s="172">
        <v>10</v>
      </c>
      <c r="AT1299" s="175">
        <v>0</v>
      </c>
      <c r="AU1299" s="172" t="s">
        <v>204</v>
      </c>
      <c r="AV1299" s="172"/>
      <c r="AW1299" s="205" t="s">
        <v>623</v>
      </c>
      <c r="AX1299" s="172" t="s">
        <v>540</v>
      </c>
      <c r="AY1299" s="176">
        <v>10000007</v>
      </c>
      <c r="AZ1299" s="176">
        <v>21204030</v>
      </c>
      <c r="BA1299" s="205" t="s">
        <v>592</v>
      </c>
      <c r="BB1299" s="175" t="s">
        <v>2665</v>
      </c>
      <c r="BC1299" s="174">
        <v>0</v>
      </c>
      <c r="BD1299" s="174" t="s">
        <v>2666</v>
      </c>
      <c r="BE1299" s="207" t="s">
        <v>2667</v>
      </c>
      <c r="BF1299" s="207" t="s">
        <v>2668</v>
      </c>
      <c r="BG1299" s="172">
        <v>0</v>
      </c>
      <c r="BH1299" s="172">
        <v>0</v>
      </c>
      <c r="BI1299" s="172">
        <v>0</v>
      </c>
      <c r="BJ1299" s="172">
        <v>0</v>
      </c>
      <c r="BK1299" s="172">
        <v>0</v>
      </c>
      <c r="BL1299" s="172">
        <v>0</v>
      </c>
      <c r="BM1299" s="178">
        <v>0</v>
      </c>
      <c r="BN1299" s="175">
        <v>0</v>
      </c>
      <c r="BO1299" s="175">
        <v>0</v>
      </c>
      <c r="BP1299" s="175">
        <v>0</v>
      </c>
      <c r="BQ1299" s="175">
        <v>0</v>
      </c>
      <c r="BR1299" s="175">
        <v>0</v>
      </c>
      <c r="BS1299" s="175">
        <v>0</v>
      </c>
      <c r="BT1299" s="19">
        <v>0</v>
      </c>
      <c r="BU1299" s="23">
        <v>0</v>
      </c>
      <c r="BV1299" s="23"/>
      <c r="BW1299" s="23"/>
      <c r="BX1299" s="23"/>
      <c r="BY1299" s="23"/>
      <c r="BZ1299" s="23"/>
    </row>
    <row r="1300" spans="1:78" ht="20.100000000000001" customHeight="1">
      <c r="C1300" s="20">
        <v>60031221</v>
      </c>
      <c r="D1300" s="20" t="s">
        <v>2681</v>
      </c>
      <c r="E1300" s="20" t="s">
        <v>2682</v>
      </c>
      <c r="F1300" s="21">
        <v>1</v>
      </c>
      <c r="G1300" s="176">
        <v>60031221</v>
      </c>
      <c r="H1300" s="21">
        <v>0</v>
      </c>
      <c r="I1300" s="31">
        <v>0</v>
      </c>
      <c r="J1300" s="32">
        <v>60</v>
      </c>
      <c r="K1300" s="21">
        <v>0</v>
      </c>
      <c r="L1300" s="21">
        <v>0</v>
      </c>
      <c r="M1300" s="21">
        <v>0</v>
      </c>
      <c r="N1300" s="21">
        <v>0</v>
      </c>
      <c r="O1300" s="21">
        <v>1</v>
      </c>
      <c r="P1300" s="21">
        <v>0</v>
      </c>
      <c r="Q1300" s="21">
        <v>0</v>
      </c>
      <c r="R1300" s="21">
        <v>0</v>
      </c>
      <c r="S1300" s="19">
        <v>0</v>
      </c>
      <c r="T1300" s="21">
        <v>0</v>
      </c>
      <c r="U1300" s="21">
        <v>1</v>
      </c>
      <c r="V1300" s="21">
        <v>2</v>
      </c>
      <c r="W1300" s="21">
        <v>0</v>
      </c>
      <c r="X1300" s="21">
        <v>1.5</v>
      </c>
      <c r="Y1300" s="19">
        <v>0</v>
      </c>
      <c r="Z1300" s="32">
        <v>0</v>
      </c>
      <c r="AA1300" s="21">
        <v>1</v>
      </c>
      <c r="AB1300" s="21">
        <v>0</v>
      </c>
      <c r="AC1300" s="21">
        <v>0</v>
      </c>
      <c r="AD1300" s="21">
        <v>0</v>
      </c>
      <c r="AE1300" s="21">
        <v>0</v>
      </c>
      <c r="AF1300" s="21">
        <v>20</v>
      </c>
      <c r="AG1300" s="21">
        <v>1</v>
      </c>
      <c r="AH1300" s="21">
        <v>4</v>
      </c>
      <c r="AI1300" s="19">
        <v>2</v>
      </c>
      <c r="AJ1300" s="19">
        <v>1</v>
      </c>
      <c r="AK1300" s="19">
        <v>0</v>
      </c>
      <c r="AL1300" s="19">
        <v>6</v>
      </c>
      <c r="AM1300" s="21">
        <v>0</v>
      </c>
      <c r="AN1300" s="21">
        <v>0</v>
      </c>
      <c r="AO1300" s="21">
        <v>0</v>
      </c>
      <c r="AP1300" s="21">
        <v>0.5</v>
      </c>
      <c r="AQ1300" s="21">
        <v>8000</v>
      </c>
      <c r="AR1300" s="21">
        <v>0.2</v>
      </c>
      <c r="AS1300" s="21">
        <v>0</v>
      </c>
      <c r="AT1300" s="19">
        <v>0</v>
      </c>
      <c r="AU1300" s="32">
        <v>90001025</v>
      </c>
      <c r="AV1300" s="32"/>
      <c r="AW1300" s="30" t="s">
        <v>623</v>
      </c>
      <c r="AX1300" s="32" t="s">
        <v>1047</v>
      </c>
      <c r="AY1300" s="32">
        <v>10000007</v>
      </c>
      <c r="AZ1300" s="32">
        <v>22001009</v>
      </c>
      <c r="BA1300" s="30" t="s">
        <v>1718</v>
      </c>
      <c r="BB1300" s="21">
        <v>0</v>
      </c>
      <c r="BC1300" s="31">
        <v>0</v>
      </c>
      <c r="BD1300" s="31">
        <v>1</v>
      </c>
      <c r="BE1300" s="185" t="s">
        <v>2647</v>
      </c>
      <c r="BF1300" s="185" t="s">
        <v>2648</v>
      </c>
      <c r="BG1300" s="21">
        <v>0</v>
      </c>
      <c r="BH1300" s="21">
        <v>0</v>
      </c>
      <c r="BI1300" s="21">
        <v>0</v>
      </c>
      <c r="BJ1300" s="21">
        <v>0</v>
      </c>
      <c r="BK1300" s="21">
        <v>0</v>
      </c>
      <c r="BL1300" s="21">
        <v>0</v>
      </c>
      <c r="BM1300" s="25">
        <v>0</v>
      </c>
      <c r="BN1300" s="19">
        <v>0</v>
      </c>
      <c r="BO1300" s="19">
        <v>0</v>
      </c>
      <c r="BP1300" s="19">
        <v>1000</v>
      </c>
      <c r="BQ1300" s="19">
        <v>1</v>
      </c>
      <c r="BR1300" s="19">
        <v>600</v>
      </c>
      <c r="BS1300" s="19">
        <v>600</v>
      </c>
      <c r="BT1300" s="19">
        <v>0</v>
      </c>
      <c r="BU1300" s="23">
        <v>0</v>
      </c>
      <c r="BV1300" s="23"/>
      <c r="BW1300" s="23"/>
      <c r="BX1300" s="23"/>
      <c r="BY1300" s="23"/>
      <c r="BZ1300" s="23"/>
    </row>
    <row r="1301" spans="1:78" ht="20.100000000000001" customHeight="1">
      <c r="C1301" s="176">
        <v>60031231</v>
      </c>
      <c r="D1301" s="205" t="s">
        <v>2683</v>
      </c>
      <c r="E1301" s="205" t="s">
        <v>2684</v>
      </c>
      <c r="F1301" s="172">
        <v>1</v>
      </c>
      <c r="G1301" s="176">
        <v>60031171</v>
      </c>
      <c r="H1301" s="176">
        <v>0</v>
      </c>
      <c r="I1301" s="174">
        <v>0</v>
      </c>
      <c r="J1301" s="172">
        <v>60</v>
      </c>
      <c r="K1301" s="172">
        <v>0</v>
      </c>
      <c r="L1301" s="172">
        <v>0</v>
      </c>
      <c r="M1301" s="176">
        <v>0</v>
      </c>
      <c r="N1301" s="176">
        <v>0</v>
      </c>
      <c r="O1301" s="176">
        <v>1</v>
      </c>
      <c r="P1301" s="176">
        <v>0</v>
      </c>
      <c r="Q1301" s="176">
        <v>0</v>
      </c>
      <c r="R1301" s="176">
        <v>0</v>
      </c>
      <c r="S1301" s="175">
        <v>0</v>
      </c>
      <c r="T1301" s="174">
        <v>0</v>
      </c>
      <c r="U1301" s="172">
        <v>1</v>
      </c>
      <c r="V1301" s="176">
        <v>2</v>
      </c>
      <c r="W1301" s="176">
        <v>0</v>
      </c>
      <c r="X1301" s="176">
        <v>1.2</v>
      </c>
      <c r="Y1301" s="19">
        <v>0</v>
      </c>
      <c r="Z1301" s="176">
        <v>2000</v>
      </c>
      <c r="AA1301" s="176">
        <v>1</v>
      </c>
      <c r="AB1301" s="176">
        <v>0</v>
      </c>
      <c r="AC1301" s="176">
        <v>0</v>
      </c>
      <c r="AD1301" s="176">
        <v>0</v>
      </c>
      <c r="AE1301" s="176">
        <v>0</v>
      </c>
      <c r="AF1301" s="176">
        <v>30</v>
      </c>
      <c r="AG1301" s="176">
        <v>1</v>
      </c>
      <c r="AH1301" s="176">
        <v>4</v>
      </c>
      <c r="AI1301" s="175">
        <v>2</v>
      </c>
      <c r="AJ1301" s="175">
        <v>1</v>
      </c>
      <c r="AK1301" s="175">
        <v>0</v>
      </c>
      <c r="AL1301" s="175">
        <v>8</v>
      </c>
      <c r="AM1301" s="176">
        <v>0</v>
      </c>
      <c r="AN1301" s="176">
        <v>0</v>
      </c>
      <c r="AO1301" s="176">
        <v>0</v>
      </c>
      <c r="AP1301" s="176">
        <v>0.5</v>
      </c>
      <c r="AQ1301" s="176">
        <v>10000</v>
      </c>
      <c r="AR1301" s="176">
        <v>0.5</v>
      </c>
      <c r="AS1301" s="176">
        <v>0</v>
      </c>
      <c r="AT1301" s="175">
        <v>0</v>
      </c>
      <c r="AU1301" s="176">
        <v>90001092</v>
      </c>
      <c r="AV1301" s="176"/>
      <c r="AW1301" s="205" t="s">
        <v>623</v>
      </c>
      <c r="AX1301" s="176" t="s">
        <v>1415</v>
      </c>
      <c r="AY1301" s="176">
        <v>10002001</v>
      </c>
      <c r="AZ1301" s="176">
        <v>21205010</v>
      </c>
      <c r="BA1301" s="205" t="s">
        <v>321</v>
      </c>
      <c r="BB1301" s="205" t="s">
        <v>377</v>
      </c>
      <c r="BC1301" s="174">
        <v>0</v>
      </c>
      <c r="BD1301" s="174">
        <v>0</v>
      </c>
      <c r="BE1301" s="210" t="str">
        <f>"在目标区域立即释放法术,在此范围内的目标每秒造成"&amp;X1301*100&amp;"%攻击伤害+"&amp;Z1301&amp;"点固定伤害,并使其移动速度降低70%,持续10秒"</f>
        <v>在目标区域立即释放法术,在此范围内的目标每秒造成120%攻击伤害+2000点固定伤害,并使其移动速度降低70%,持续10秒</v>
      </c>
      <c r="BF1301" s="210" t="s">
        <v>2685</v>
      </c>
      <c r="BG1301" s="176">
        <v>0</v>
      </c>
      <c r="BH1301" s="172">
        <v>0</v>
      </c>
      <c r="BI1301" s="176">
        <v>0</v>
      </c>
      <c r="BJ1301" s="176">
        <v>0</v>
      </c>
      <c r="BK1301" s="176">
        <v>0</v>
      </c>
      <c r="BL1301" s="176">
        <v>0</v>
      </c>
      <c r="BM1301" s="178">
        <v>0</v>
      </c>
      <c r="BN1301" s="175">
        <v>0</v>
      </c>
      <c r="BO1301" s="175">
        <v>0</v>
      </c>
      <c r="BP1301" s="175">
        <v>0</v>
      </c>
      <c r="BQ1301" s="175">
        <v>0</v>
      </c>
      <c r="BR1301" s="175">
        <v>0</v>
      </c>
      <c r="BS1301" s="175">
        <v>0</v>
      </c>
      <c r="BT1301" s="19">
        <v>0</v>
      </c>
      <c r="BU1301" s="23">
        <v>0</v>
      </c>
      <c r="BV1301" s="23"/>
      <c r="BW1301" s="23"/>
      <c r="BX1301" s="23"/>
      <c r="BY1301" s="23"/>
      <c r="BZ1301" s="23"/>
    </row>
    <row r="1302" spans="1:78" ht="20.100000000000001" customHeight="1">
      <c r="C1302" s="35" t="s">
        <v>2686</v>
      </c>
      <c r="D1302" s="35" t="s">
        <v>2687</v>
      </c>
      <c r="E1302" s="35" t="s">
        <v>2688</v>
      </c>
      <c r="F1302" s="21">
        <v>1</v>
      </c>
      <c r="G1302" s="35" t="s">
        <v>2686</v>
      </c>
      <c r="H1302" s="21">
        <v>0</v>
      </c>
      <c r="I1302" s="31">
        <v>0</v>
      </c>
      <c r="J1302" s="172">
        <v>60</v>
      </c>
      <c r="K1302" s="32">
        <v>0</v>
      </c>
      <c r="L1302" s="21">
        <v>0</v>
      </c>
      <c r="M1302" s="32">
        <v>0</v>
      </c>
      <c r="N1302" s="32">
        <v>0</v>
      </c>
      <c r="O1302" s="32">
        <v>1</v>
      </c>
      <c r="P1302" s="32">
        <v>0</v>
      </c>
      <c r="Q1302" s="32">
        <v>0</v>
      </c>
      <c r="R1302" s="32">
        <v>0</v>
      </c>
      <c r="S1302" s="19">
        <v>0</v>
      </c>
      <c r="T1302" s="31">
        <v>0</v>
      </c>
      <c r="U1302" s="21">
        <v>1</v>
      </c>
      <c r="V1302" s="32">
        <v>2</v>
      </c>
      <c r="W1302" s="32">
        <v>0</v>
      </c>
      <c r="X1302" s="32">
        <v>3</v>
      </c>
      <c r="Y1302" s="19">
        <v>0</v>
      </c>
      <c r="Z1302" s="32">
        <v>0</v>
      </c>
      <c r="AA1302" s="32">
        <v>1</v>
      </c>
      <c r="AB1302" s="32">
        <v>0</v>
      </c>
      <c r="AC1302" s="32">
        <v>0</v>
      </c>
      <c r="AD1302" s="32">
        <v>0</v>
      </c>
      <c r="AE1302" s="32">
        <v>0</v>
      </c>
      <c r="AF1302" s="32">
        <v>30</v>
      </c>
      <c r="AG1302" s="32">
        <v>1</v>
      </c>
      <c r="AH1302" s="32">
        <v>0</v>
      </c>
      <c r="AI1302" s="19">
        <v>0</v>
      </c>
      <c r="AJ1302" s="19">
        <v>101</v>
      </c>
      <c r="AK1302" s="19">
        <v>0</v>
      </c>
      <c r="AL1302" s="19">
        <v>10</v>
      </c>
      <c r="AM1302" s="32">
        <v>0</v>
      </c>
      <c r="AN1302" s="32">
        <v>0</v>
      </c>
      <c r="AO1302" s="32">
        <v>0</v>
      </c>
      <c r="AP1302" s="32">
        <v>1</v>
      </c>
      <c r="AQ1302" s="32">
        <v>1000</v>
      </c>
      <c r="AR1302" s="32">
        <v>0.4</v>
      </c>
      <c r="AS1302" s="32">
        <v>0</v>
      </c>
      <c r="AT1302" s="19">
        <v>0</v>
      </c>
      <c r="AU1302" s="339" t="s">
        <v>204</v>
      </c>
      <c r="AV1302" s="32"/>
      <c r="AW1302" s="35" t="s">
        <v>1769</v>
      </c>
      <c r="AX1302" s="32" t="s">
        <v>221</v>
      </c>
      <c r="AY1302" s="32">
        <v>0</v>
      </c>
      <c r="AZ1302" s="32">
        <v>21205020</v>
      </c>
      <c r="BA1302" s="35" t="s">
        <v>2549</v>
      </c>
      <c r="BB1302" s="35" t="s">
        <v>2689</v>
      </c>
      <c r="BC1302" s="31">
        <v>0</v>
      </c>
      <c r="BD1302" s="31">
        <v>0</v>
      </c>
      <c r="BE1302" s="185" t="s">
        <v>2690</v>
      </c>
      <c r="BF1302" s="185" t="s">
        <v>2691</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2692</v>
      </c>
      <c r="D1303" s="35" t="s">
        <v>2693</v>
      </c>
      <c r="E1303" s="35" t="s">
        <v>2694</v>
      </c>
      <c r="F1303" s="21">
        <v>1</v>
      </c>
      <c r="G1303" s="35" t="s">
        <v>204</v>
      </c>
      <c r="H1303" s="21">
        <v>0</v>
      </c>
      <c r="I1303" s="31">
        <v>0</v>
      </c>
      <c r="J1303" s="172">
        <v>0</v>
      </c>
      <c r="K1303" s="32">
        <v>0</v>
      </c>
      <c r="L1303" s="21">
        <v>0</v>
      </c>
      <c r="M1303" s="32">
        <v>0</v>
      </c>
      <c r="N1303" s="32">
        <v>0</v>
      </c>
      <c r="O1303" s="32">
        <v>2</v>
      </c>
      <c r="P1303" s="32">
        <v>1</v>
      </c>
      <c r="Q1303" s="32">
        <v>0.3</v>
      </c>
      <c r="R1303" s="32">
        <v>0</v>
      </c>
      <c r="S1303" s="19">
        <v>0</v>
      </c>
      <c r="T1303" s="31">
        <v>0</v>
      </c>
      <c r="U1303" s="21">
        <v>1</v>
      </c>
      <c r="V1303" s="32">
        <v>1</v>
      </c>
      <c r="W1303" s="32">
        <v>0</v>
      </c>
      <c r="X1303" s="32">
        <v>2</v>
      </c>
      <c r="Y1303" s="19">
        <v>0</v>
      </c>
      <c r="Z1303" s="32">
        <v>750</v>
      </c>
      <c r="AA1303" s="32">
        <v>0</v>
      </c>
      <c r="AB1303" s="32">
        <v>0</v>
      </c>
      <c r="AC1303" s="32">
        <v>0</v>
      </c>
      <c r="AD1303" s="32">
        <v>0</v>
      </c>
      <c r="AE1303" s="32">
        <v>0</v>
      </c>
      <c r="AF1303" s="32">
        <v>30</v>
      </c>
      <c r="AG1303" s="32">
        <v>2</v>
      </c>
      <c r="AH1303" s="32" t="s">
        <v>2069</v>
      </c>
      <c r="AI1303" s="19">
        <v>0</v>
      </c>
      <c r="AJ1303" s="19">
        <v>3</v>
      </c>
      <c r="AK1303" s="19">
        <v>0</v>
      </c>
      <c r="AL1303" s="19">
        <v>2</v>
      </c>
      <c r="AM1303" s="32">
        <v>0</v>
      </c>
      <c r="AN1303" s="32">
        <v>0</v>
      </c>
      <c r="AO1303" s="32">
        <v>0</v>
      </c>
      <c r="AP1303" s="32">
        <v>0.2</v>
      </c>
      <c r="AQ1303" s="32">
        <v>1000</v>
      </c>
      <c r="AR1303" s="32">
        <v>0.2</v>
      </c>
      <c r="AS1303" s="32">
        <v>15</v>
      </c>
      <c r="AT1303" s="19">
        <v>0</v>
      </c>
      <c r="AU1303" s="32">
        <v>95100001</v>
      </c>
      <c r="AV1303" s="32"/>
      <c r="AW1303" s="35" t="s">
        <v>205</v>
      </c>
      <c r="AX1303" s="32" t="s">
        <v>540</v>
      </c>
      <c r="AY1303" s="32">
        <v>10000001</v>
      </c>
      <c r="AZ1303" s="32">
        <v>21205021</v>
      </c>
      <c r="BA1303" s="35" t="s">
        <v>592</v>
      </c>
      <c r="BB1303" s="35" t="s">
        <v>2264</v>
      </c>
      <c r="BC1303" s="31">
        <v>0</v>
      </c>
      <c r="BD1303" s="31">
        <v>0</v>
      </c>
      <c r="BE1303" s="185" t="str">
        <f t="shared" ref="BE1303" si="143">"将手中的武器幻化成魔法,对指定前方区域内的目标造成"&amp;X1303*100&amp;"%攻击伤害+"&amp;Z1303&amp;"点固定伤害,并附带魔法印记,其状态每秒会对目标造成30%伤害,持续6秒.此印记可以叠加"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3" s="185" t="s">
        <v>2695</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20.100000000000001" customHeight="1">
      <c r="C1304" s="35" t="s">
        <v>2696</v>
      </c>
      <c r="D1304" s="35" t="s">
        <v>2697</v>
      </c>
      <c r="E1304" s="35" t="s">
        <v>2698</v>
      </c>
      <c r="F1304" s="21">
        <v>1</v>
      </c>
      <c r="G1304" s="35" t="s">
        <v>2696</v>
      </c>
      <c r="H1304" s="21">
        <v>0</v>
      </c>
      <c r="I1304" s="31">
        <v>0</v>
      </c>
      <c r="J1304" s="172">
        <v>60</v>
      </c>
      <c r="K1304" s="32">
        <v>0</v>
      </c>
      <c r="L1304" s="21">
        <v>0</v>
      </c>
      <c r="M1304" s="32">
        <v>0</v>
      </c>
      <c r="N1304" s="32">
        <v>0</v>
      </c>
      <c r="O1304" s="32">
        <v>1</v>
      </c>
      <c r="P1304" s="32">
        <v>0</v>
      </c>
      <c r="Q1304" s="32">
        <v>0</v>
      </c>
      <c r="R1304" s="32">
        <v>0</v>
      </c>
      <c r="S1304" s="19">
        <v>0</v>
      </c>
      <c r="T1304" s="31">
        <v>0</v>
      </c>
      <c r="U1304" s="21">
        <v>1</v>
      </c>
      <c r="V1304" s="32">
        <v>2</v>
      </c>
      <c r="W1304" s="32">
        <v>0</v>
      </c>
      <c r="X1304" s="32">
        <v>2.5</v>
      </c>
      <c r="Y1304" s="19">
        <v>0</v>
      </c>
      <c r="Z1304" s="32">
        <v>2800</v>
      </c>
      <c r="AA1304" s="32">
        <v>1</v>
      </c>
      <c r="AB1304" s="32">
        <v>0</v>
      </c>
      <c r="AC1304" s="32">
        <v>0</v>
      </c>
      <c r="AD1304" s="32">
        <v>0</v>
      </c>
      <c r="AE1304" s="32">
        <v>0</v>
      </c>
      <c r="AF1304" s="32">
        <v>30</v>
      </c>
      <c r="AG1304" s="32">
        <v>1</v>
      </c>
      <c r="AH1304" s="32">
        <v>2</v>
      </c>
      <c r="AI1304" s="19">
        <v>2</v>
      </c>
      <c r="AJ1304" s="19">
        <v>0</v>
      </c>
      <c r="AK1304" s="19">
        <v>0</v>
      </c>
      <c r="AL1304" s="19">
        <v>2</v>
      </c>
      <c r="AM1304" s="32">
        <v>0</v>
      </c>
      <c r="AN1304" s="32">
        <v>0</v>
      </c>
      <c r="AO1304" s="32">
        <v>0</v>
      </c>
      <c r="AP1304" s="32">
        <v>0.5</v>
      </c>
      <c r="AQ1304" s="32">
        <v>10000</v>
      </c>
      <c r="AR1304" s="32">
        <v>0.5</v>
      </c>
      <c r="AS1304" s="32">
        <v>100</v>
      </c>
      <c r="AT1304" s="19">
        <v>0</v>
      </c>
      <c r="AU1304" s="339" t="s">
        <v>2699</v>
      </c>
      <c r="AV1304" s="32"/>
      <c r="AW1304" s="35" t="s">
        <v>205</v>
      </c>
      <c r="AX1304" s="32" t="s">
        <v>1047</v>
      </c>
      <c r="AY1304" s="32">
        <v>10004004</v>
      </c>
      <c r="AZ1304" s="32">
        <v>21205030</v>
      </c>
      <c r="BA1304" s="35" t="s">
        <v>1776</v>
      </c>
      <c r="BB1304" s="35" t="s">
        <v>867</v>
      </c>
      <c r="BC1304" s="31">
        <v>0</v>
      </c>
      <c r="BD1304" s="31">
        <v>0</v>
      </c>
      <c r="BE1304" s="185" t="str">
        <f>"释放出3个暗魔之球,释放时对附近单位造成1秒眩晕,并持续对周围造成每秒造成"&amp;X1304*100&amp;"%攻击伤害+"&amp;Z1304&amp;"点固定伤害,并降低目标30%闪避和使其受到的伤害提升30%,持续6秒"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4" s="185" t="s">
        <v>2700</v>
      </c>
      <c r="BG1304" s="32">
        <v>0</v>
      </c>
      <c r="BH1304" s="21">
        <v>0</v>
      </c>
      <c r="BI1304" s="32">
        <v>0</v>
      </c>
      <c r="BJ1304" s="32">
        <v>0</v>
      </c>
      <c r="BK1304" s="32">
        <v>0</v>
      </c>
      <c r="BL1304" s="32">
        <v>0</v>
      </c>
      <c r="BM1304" s="187">
        <v>0</v>
      </c>
      <c r="BN1304" s="19">
        <v>0</v>
      </c>
      <c r="BO1304" s="19">
        <v>0</v>
      </c>
      <c r="BP1304" s="19">
        <v>0</v>
      </c>
      <c r="BQ1304" s="19">
        <v>0</v>
      </c>
      <c r="BR1304" s="19">
        <v>0</v>
      </c>
      <c r="BS1304" s="19">
        <v>0</v>
      </c>
      <c r="BT1304" s="19">
        <v>0</v>
      </c>
      <c r="BU1304" s="23">
        <v>0</v>
      </c>
      <c r="BV1304" s="23"/>
      <c r="BW1304" s="23"/>
      <c r="BX1304" s="23"/>
      <c r="BY1304" s="23"/>
      <c r="BZ1304" s="23"/>
    </row>
    <row r="1305" spans="1:78" ht="19.5" customHeight="1">
      <c r="C1305" s="32">
        <v>61031111</v>
      </c>
      <c r="D1305" s="20" t="s">
        <v>2701</v>
      </c>
      <c r="E1305" s="20" t="s">
        <v>2702</v>
      </c>
      <c r="F1305" s="32">
        <v>1</v>
      </c>
      <c r="G1305" s="32">
        <v>60031111</v>
      </c>
      <c r="H1305" s="32">
        <v>0</v>
      </c>
      <c r="I1305" s="31">
        <v>0</v>
      </c>
      <c r="J1305" s="32">
        <v>60</v>
      </c>
      <c r="K1305" s="32">
        <v>0</v>
      </c>
      <c r="L1305" s="32">
        <v>0</v>
      </c>
      <c r="M1305" s="21">
        <v>0</v>
      </c>
      <c r="N1305" s="21">
        <v>0</v>
      </c>
      <c r="O1305" s="72">
        <v>1</v>
      </c>
      <c r="P1305" s="21">
        <v>0</v>
      </c>
      <c r="Q1305" s="21">
        <v>1</v>
      </c>
      <c r="R1305" s="21">
        <v>0</v>
      </c>
      <c r="S1305" s="19">
        <v>0</v>
      </c>
      <c r="T1305" s="21">
        <v>0</v>
      </c>
      <c r="U1305" s="21">
        <v>1</v>
      </c>
      <c r="V1305" s="21">
        <v>2</v>
      </c>
      <c r="W1305" s="21">
        <v>0</v>
      </c>
      <c r="X1305" s="21">
        <v>3</v>
      </c>
      <c r="Y1305" s="19">
        <v>0</v>
      </c>
      <c r="Z1305" s="21">
        <v>0</v>
      </c>
      <c r="AA1305" s="21">
        <v>1</v>
      </c>
      <c r="AB1305" s="21">
        <v>0</v>
      </c>
      <c r="AC1305" s="21">
        <v>0</v>
      </c>
      <c r="AD1305" s="21">
        <v>0</v>
      </c>
      <c r="AE1305" s="21">
        <v>0</v>
      </c>
      <c r="AF1305" s="21">
        <v>30</v>
      </c>
      <c r="AG1305" s="21">
        <v>1</v>
      </c>
      <c r="AH1305" s="21">
        <v>3</v>
      </c>
      <c r="AI1305" s="19">
        <v>0</v>
      </c>
      <c r="AJ1305" s="19">
        <v>2</v>
      </c>
      <c r="AK1305" s="19">
        <v>0</v>
      </c>
      <c r="AL1305" s="19">
        <v>2</v>
      </c>
      <c r="AM1305" s="21">
        <v>0</v>
      </c>
      <c r="AN1305" s="21">
        <v>0</v>
      </c>
      <c r="AO1305" s="21">
        <v>0</v>
      </c>
      <c r="AP1305" s="21">
        <v>2</v>
      </c>
      <c r="AQ1305" s="21">
        <v>10000</v>
      </c>
      <c r="AR1305" s="21">
        <v>0.5</v>
      </c>
      <c r="AS1305" s="21">
        <v>10</v>
      </c>
      <c r="AT1305" s="19">
        <v>0</v>
      </c>
      <c r="AU1305" s="21" t="s">
        <v>204</v>
      </c>
      <c r="AV1305" s="21"/>
      <c r="AW1305" s="35" t="s">
        <v>2624</v>
      </c>
      <c r="AX1305" s="21" t="s">
        <v>540</v>
      </c>
      <c r="AY1305" s="32">
        <v>10000007</v>
      </c>
      <c r="AZ1305" s="32">
        <v>22001001</v>
      </c>
      <c r="BA1305" s="35" t="s">
        <v>592</v>
      </c>
      <c r="BB1305" s="31" t="s">
        <v>2665</v>
      </c>
      <c r="BC1305" s="31">
        <v>0</v>
      </c>
      <c r="BD1305" s="31">
        <v>1</v>
      </c>
      <c r="BE1305" s="33" t="s">
        <v>2703</v>
      </c>
      <c r="BF1305" s="33" t="s">
        <v>2704</v>
      </c>
      <c r="BG1305" s="21">
        <v>0</v>
      </c>
      <c r="BH1305" s="21">
        <v>0</v>
      </c>
      <c r="BI1305" s="21">
        <v>0</v>
      </c>
      <c r="BJ1305" s="21">
        <v>0</v>
      </c>
      <c r="BK1305" s="21">
        <v>0</v>
      </c>
      <c r="BL1305" s="21">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61031121</v>
      </c>
      <c r="D1306" s="20" t="s">
        <v>2705</v>
      </c>
      <c r="E1306" s="20" t="s">
        <v>2706</v>
      </c>
      <c r="F1306" s="21">
        <v>1</v>
      </c>
      <c r="G1306" s="32">
        <v>60031121</v>
      </c>
      <c r="H1306" s="21">
        <v>0</v>
      </c>
      <c r="I1306" s="31">
        <v>0</v>
      </c>
      <c r="J1306" s="32">
        <v>60</v>
      </c>
      <c r="K1306" s="21">
        <v>0</v>
      </c>
      <c r="L1306" s="21">
        <v>0</v>
      </c>
      <c r="M1306" s="32">
        <v>0</v>
      </c>
      <c r="N1306" s="32">
        <v>0</v>
      </c>
      <c r="O1306" s="32">
        <v>1</v>
      </c>
      <c r="P1306" s="32">
        <v>0</v>
      </c>
      <c r="Q1306" s="32">
        <v>0</v>
      </c>
      <c r="R1306" s="32">
        <v>0</v>
      </c>
      <c r="S1306" s="19">
        <v>0</v>
      </c>
      <c r="T1306" s="31">
        <v>0</v>
      </c>
      <c r="U1306" s="21">
        <v>1</v>
      </c>
      <c r="V1306" s="32">
        <v>2</v>
      </c>
      <c r="W1306" s="32">
        <v>0</v>
      </c>
      <c r="X1306" s="32">
        <v>1.5</v>
      </c>
      <c r="Y1306" s="19">
        <v>0</v>
      </c>
      <c r="Z1306" s="32">
        <v>0</v>
      </c>
      <c r="AA1306" s="32">
        <v>0</v>
      </c>
      <c r="AB1306" s="32">
        <v>0</v>
      </c>
      <c r="AC1306" s="32">
        <v>0</v>
      </c>
      <c r="AD1306" s="32">
        <v>0</v>
      </c>
      <c r="AE1306" s="32">
        <v>0</v>
      </c>
      <c r="AF1306" s="21">
        <v>30</v>
      </c>
      <c r="AG1306" s="32">
        <v>1</v>
      </c>
      <c r="AH1306" s="32">
        <v>5</v>
      </c>
      <c r="AI1306" s="19">
        <v>2</v>
      </c>
      <c r="AJ1306" s="19">
        <v>1</v>
      </c>
      <c r="AK1306" s="19">
        <v>0</v>
      </c>
      <c r="AL1306" s="19">
        <v>6</v>
      </c>
      <c r="AM1306" s="32">
        <v>0</v>
      </c>
      <c r="AN1306" s="32">
        <v>0</v>
      </c>
      <c r="AO1306" s="32">
        <v>0</v>
      </c>
      <c r="AP1306" s="32">
        <v>0.25</v>
      </c>
      <c r="AQ1306" s="32">
        <v>5000</v>
      </c>
      <c r="AR1306" s="32">
        <v>0.25</v>
      </c>
      <c r="AS1306" s="32">
        <v>0</v>
      </c>
      <c r="AT1306" s="19">
        <v>0</v>
      </c>
      <c r="AU1306" s="32">
        <v>0</v>
      </c>
      <c r="AV1306" s="32"/>
      <c r="AW1306" s="35" t="s">
        <v>205</v>
      </c>
      <c r="AX1306" s="32" t="s">
        <v>1415</v>
      </c>
      <c r="AY1306" s="32">
        <v>10002001</v>
      </c>
      <c r="AZ1306" s="32">
        <v>22001002</v>
      </c>
      <c r="BA1306" s="35" t="s">
        <v>321</v>
      </c>
      <c r="BB1306" s="35" t="s">
        <v>1864</v>
      </c>
      <c r="BC1306" s="31">
        <v>0</v>
      </c>
      <c r="BD1306" s="31">
        <v>1</v>
      </c>
      <c r="BE1306" s="185">
        <v>11</v>
      </c>
      <c r="BF1306" s="185">
        <v>11</v>
      </c>
      <c r="BG1306" s="32">
        <v>0</v>
      </c>
      <c r="BH1306" s="21">
        <v>0</v>
      </c>
      <c r="BI1306" s="32">
        <v>0</v>
      </c>
      <c r="BJ1306" s="32">
        <v>0</v>
      </c>
      <c r="BK1306" s="32">
        <v>0</v>
      </c>
      <c r="BL1306" s="32">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61031131</v>
      </c>
      <c r="D1307" s="20" t="s">
        <v>2707</v>
      </c>
      <c r="E1307" s="20" t="s">
        <v>2708</v>
      </c>
      <c r="F1307" s="21">
        <v>1</v>
      </c>
      <c r="G1307" s="32">
        <v>60031131</v>
      </c>
      <c r="H1307" s="32">
        <v>0</v>
      </c>
      <c r="I1307" s="19">
        <v>0</v>
      </c>
      <c r="J1307" s="32">
        <v>60</v>
      </c>
      <c r="K1307" s="32">
        <v>0</v>
      </c>
      <c r="L1307" s="21">
        <v>0</v>
      </c>
      <c r="M1307" s="19">
        <v>0</v>
      </c>
      <c r="N1307" s="19">
        <v>0</v>
      </c>
      <c r="O1307" s="19">
        <v>1</v>
      </c>
      <c r="P1307" s="19">
        <v>0</v>
      </c>
      <c r="Q1307" s="19">
        <v>0</v>
      </c>
      <c r="R1307" s="19">
        <v>0</v>
      </c>
      <c r="S1307" s="19">
        <v>0</v>
      </c>
      <c r="T1307" s="19">
        <v>0</v>
      </c>
      <c r="U1307" s="21">
        <v>1</v>
      </c>
      <c r="V1307" s="19">
        <v>2</v>
      </c>
      <c r="W1307" s="19">
        <v>0</v>
      </c>
      <c r="X1307" s="32">
        <v>2</v>
      </c>
      <c r="Y1307" s="19">
        <v>0</v>
      </c>
      <c r="Z1307" s="32">
        <v>0</v>
      </c>
      <c r="AA1307" s="19">
        <v>0</v>
      </c>
      <c r="AB1307" s="19">
        <v>0</v>
      </c>
      <c r="AC1307" s="19">
        <v>0</v>
      </c>
      <c r="AD1307" s="19">
        <v>0</v>
      </c>
      <c r="AE1307" s="19">
        <v>0</v>
      </c>
      <c r="AF1307" s="21">
        <v>30</v>
      </c>
      <c r="AG1307" s="19">
        <v>0</v>
      </c>
      <c r="AH1307" s="19">
        <v>0</v>
      </c>
      <c r="AI1307" s="19">
        <v>0</v>
      </c>
      <c r="AJ1307" s="19">
        <v>0</v>
      </c>
      <c r="AK1307" s="19">
        <v>0</v>
      </c>
      <c r="AL1307" s="19">
        <v>3</v>
      </c>
      <c r="AM1307" s="19">
        <v>0</v>
      </c>
      <c r="AN1307" s="19">
        <v>0</v>
      </c>
      <c r="AO1307" s="19">
        <v>0</v>
      </c>
      <c r="AP1307" s="19">
        <v>0.25</v>
      </c>
      <c r="AQ1307" s="19">
        <v>1000</v>
      </c>
      <c r="AR1307" s="19">
        <v>0</v>
      </c>
      <c r="AS1307" s="19">
        <v>0</v>
      </c>
      <c r="AT1307" s="19">
        <v>0</v>
      </c>
      <c r="AU1307" s="339" t="s">
        <v>2634</v>
      </c>
      <c r="AV1307" s="32"/>
      <c r="AW1307" s="20" t="s">
        <v>205</v>
      </c>
      <c r="AX1307" s="32" t="s">
        <v>1415</v>
      </c>
      <c r="AY1307" s="19" t="s">
        <v>204</v>
      </c>
      <c r="AZ1307" s="339" t="s">
        <v>2635</v>
      </c>
      <c r="BA1307" s="20" t="s">
        <v>206</v>
      </c>
      <c r="BB1307" s="19">
        <v>0</v>
      </c>
      <c r="BC1307" s="31">
        <v>0</v>
      </c>
      <c r="BD1307" s="31">
        <v>1</v>
      </c>
      <c r="BE1307" s="185" t="s">
        <v>2636</v>
      </c>
      <c r="BF1307" s="185" t="s">
        <v>2637</v>
      </c>
      <c r="BG1307" s="19">
        <v>0</v>
      </c>
      <c r="BH1307" s="21">
        <v>0</v>
      </c>
      <c r="BI1307" s="19">
        <v>0</v>
      </c>
      <c r="BJ1307" s="19">
        <v>0</v>
      </c>
      <c r="BK1307" s="19">
        <v>0</v>
      </c>
      <c r="BL1307" s="19">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61031141</v>
      </c>
      <c r="D1308" s="20" t="s">
        <v>2709</v>
      </c>
      <c r="E1308" s="20" t="s">
        <v>2710</v>
      </c>
      <c r="F1308" s="21">
        <v>1</v>
      </c>
      <c r="G1308" s="32">
        <v>60031141</v>
      </c>
      <c r="H1308" s="21">
        <v>0</v>
      </c>
      <c r="I1308" s="31">
        <v>0</v>
      </c>
      <c r="J1308" s="32">
        <v>60</v>
      </c>
      <c r="K1308" s="21">
        <v>0</v>
      </c>
      <c r="L1308" s="21">
        <v>0</v>
      </c>
      <c r="M1308" s="32">
        <v>0</v>
      </c>
      <c r="N1308" s="32">
        <v>0</v>
      </c>
      <c r="O1308" s="32">
        <v>1</v>
      </c>
      <c r="P1308" s="32">
        <v>0</v>
      </c>
      <c r="Q1308" s="32">
        <v>0</v>
      </c>
      <c r="R1308" s="32">
        <v>0</v>
      </c>
      <c r="S1308" s="19">
        <v>0</v>
      </c>
      <c r="T1308" s="31">
        <v>0</v>
      </c>
      <c r="U1308" s="21">
        <v>1</v>
      </c>
      <c r="V1308" s="32">
        <v>2</v>
      </c>
      <c r="W1308" s="32">
        <v>0</v>
      </c>
      <c r="X1308" s="32">
        <v>1.8</v>
      </c>
      <c r="Y1308" s="19">
        <v>0</v>
      </c>
      <c r="Z1308" s="32">
        <v>0</v>
      </c>
      <c r="AA1308" s="32">
        <v>0</v>
      </c>
      <c r="AB1308" s="32">
        <v>0</v>
      </c>
      <c r="AC1308" s="32">
        <v>0</v>
      </c>
      <c r="AD1308" s="32">
        <v>0</v>
      </c>
      <c r="AE1308" s="32">
        <v>0</v>
      </c>
      <c r="AF1308" s="21">
        <v>30</v>
      </c>
      <c r="AG1308" s="32">
        <v>1</v>
      </c>
      <c r="AH1308" s="32">
        <v>3</v>
      </c>
      <c r="AI1308" s="19">
        <v>2</v>
      </c>
      <c r="AJ1308" s="19">
        <v>1</v>
      </c>
      <c r="AK1308" s="19">
        <v>0</v>
      </c>
      <c r="AL1308" s="19">
        <v>6</v>
      </c>
      <c r="AM1308" s="32">
        <v>0</v>
      </c>
      <c r="AN1308" s="32">
        <v>0</v>
      </c>
      <c r="AO1308" s="32">
        <v>0</v>
      </c>
      <c r="AP1308" s="32">
        <v>0.25</v>
      </c>
      <c r="AQ1308" s="32">
        <v>20000</v>
      </c>
      <c r="AR1308" s="32">
        <v>0.25</v>
      </c>
      <c r="AS1308" s="32">
        <v>2</v>
      </c>
      <c r="AT1308" s="19">
        <v>0</v>
      </c>
      <c r="AU1308" s="32">
        <v>0</v>
      </c>
      <c r="AV1308" s="32"/>
      <c r="AW1308" s="35" t="s">
        <v>205</v>
      </c>
      <c r="AX1308" s="32" t="s">
        <v>1415</v>
      </c>
      <c r="AY1308" s="32">
        <v>10002001</v>
      </c>
      <c r="AZ1308" s="32">
        <v>22001004</v>
      </c>
      <c r="BA1308" s="35" t="s">
        <v>2642</v>
      </c>
      <c r="BB1308" s="35" t="s">
        <v>377</v>
      </c>
      <c r="BC1308" s="31">
        <v>0</v>
      </c>
      <c r="BD1308" s="31">
        <v>1</v>
      </c>
      <c r="BE1308" s="185" t="s">
        <v>2643</v>
      </c>
      <c r="BF1308" s="185" t="s">
        <v>2644</v>
      </c>
      <c r="BG1308" s="32">
        <v>0</v>
      </c>
      <c r="BH1308" s="21">
        <v>0</v>
      </c>
      <c r="BI1308" s="32">
        <v>0</v>
      </c>
      <c r="BJ1308" s="32">
        <v>0</v>
      </c>
      <c r="BK1308" s="32">
        <v>0</v>
      </c>
      <c r="BL1308" s="32">
        <v>0</v>
      </c>
      <c r="BM1308" s="25">
        <v>0</v>
      </c>
      <c r="BN1308" s="19">
        <v>0</v>
      </c>
      <c r="BO1308" s="19">
        <v>0</v>
      </c>
      <c r="BP1308" s="19">
        <v>0</v>
      </c>
      <c r="BQ1308" s="19">
        <v>0</v>
      </c>
      <c r="BR1308" s="19">
        <v>0</v>
      </c>
      <c r="BS1308" s="19">
        <v>0</v>
      </c>
      <c r="BT1308" s="19">
        <v>0</v>
      </c>
      <c r="BU1308" s="23">
        <v>0</v>
      </c>
      <c r="BV1308" s="23"/>
      <c r="BW1308" s="23"/>
      <c r="BX1308" s="23"/>
      <c r="BY1308" s="23"/>
      <c r="BZ1308" s="23"/>
    </row>
    <row r="1309" spans="1:78" ht="20.100000000000001" customHeight="1">
      <c r="C1309" s="32">
        <v>61031151</v>
      </c>
      <c r="D1309" s="20" t="s">
        <v>2711</v>
      </c>
      <c r="E1309" s="20" t="s">
        <v>2712</v>
      </c>
      <c r="F1309" s="21">
        <v>1</v>
      </c>
      <c r="G1309" s="32">
        <v>60031151</v>
      </c>
      <c r="H1309" s="21">
        <v>0</v>
      </c>
      <c r="I1309" s="31">
        <v>0</v>
      </c>
      <c r="J1309" s="32">
        <v>60</v>
      </c>
      <c r="K1309" s="21">
        <v>0</v>
      </c>
      <c r="L1309" s="21">
        <v>0</v>
      </c>
      <c r="M1309" s="21">
        <v>0</v>
      </c>
      <c r="N1309" s="21">
        <v>0</v>
      </c>
      <c r="O1309" s="21">
        <v>1</v>
      </c>
      <c r="P1309" s="21">
        <v>0</v>
      </c>
      <c r="Q1309" s="21">
        <v>0</v>
      </c>
      <c r="R1309" s="21">
        <v>0</v>
      </c>
      <c r="S1309" s="19">
        <v>0</v>
      </c>
      <c r="T1309" s="21">
        <v>0</v>
      </c>
      <c r="U1309" s="21">
        <v>1</v>
      </c>
      <c r="V1309" s="21">
        <v>2</v>
      </c>
      <c r="W1309" s="21">
        <v>0</v>
      </c>
      <c r="X1309" s="21">
        <v>1.5</v>
      </c>
      <c r="Y1309" s="19">
        <v>0</v>
      </c>
      <c r="Z1309" s="32">
        <v>0</v>
      </c>
      <c r="AA1309" s="21">
        <v>1</v>
      </c>
      <c r="AB1309" s="21">
        <v>0</v>
      </c>
      <c r="AC1309" s="21">
        <v>0</v>
      </c>
      <c r="AD1309" s="21">
        <v>0</v>
      </c>
      <c r="AE1309" s="21">
        <v>0</v>
      </c>
      <c r="AF1309" s="21">
        <v>30</v>
      </c>
      <c r="AG1309" s="21">
        <v>1</v>
      </c>
      <c r="AH1309" s="21">
        <v>4</v>
      </c>
      <c r="AI1309" s="19">
        <v>2</v>
      </c>
      <c r="AJ1309" s="19">
        <v>1</v>
      </c>
      <c r="AK1309" s="19">
        <v>0</v>
      </c>
      <c r="AL1309" s="19">
        <v>6</v>
      </c>
      <c r="AM1309" s="21">
        <v>0</v>
      </c>
      <c r="AN1309" s="21">
        <v>0</v>
      </c>
      <c r="AO1309" s="21">
        <v>0</v>
      </c>
      <c r="AP1309" s="21">
        <v>0.5</v>
      </c>
      <c r="AQ1309" s="21">
        <v>8000</v>
      </c>
      <c r="AR1309" s="21">
        <v>0.2</v>
      </c>
      <c r="AS1309" s="21">
        <v>0</v>
      </c>
      <c r="AT1309" s="19">
        <v>0</v>
      </c>
      <c r="AU1309" s="32">
        <v>90001025</v>
      </c>
      <c r="AV1309" s="32"/>
      <c r="AW1309" s="30" t="s">
        <v>623</v>
      </c>
      <c r="AX1309" s="32" t="s">
        <v>1047</v>
      </c>
      <c r="AY1309" s="32">
        <v>10000007</v>
      </c>
      <c r="AZ1309" s="32">
        <v>22001005</v>
      </c>
      <c r="BA1309" s="30" t="s">
        <v>1718</v>
      </c>
      <c r="BB1309" s="21">
        <v>0</v>
      </c>
      <c r="BC1309" s="31">
        <v>0</v>
      </c>
      <c r="BD1309" s="31">
        <v>1</v>
      </c>
      <c r="BE1309" s="185" t="s">
        <v>2647</v>
      </c>
      <c r="BF1309" s="185" t="s">
        <v>2648</v>
      </c>
      <c r="BG1309" s="21">
        <v>0</v>
      </c>
      <c r="BH1309" s="21">
        <v>0</v>
      </c>
      <c r="BI1309" s="21">
        <v>0</v>
      </c>
      <c r="BJ1309" s="21">
        <v>0</v>
      </c>
      <c r="BK1309" s="21">
        <v>0</v>
      </c>
      <c r="BL1309" s="21">
        <v>0</v>
      </c>
      <c r="BM1309" s="25">
        <v>0</v>
      </c>
      <c r="BN1309" s="19">
        <v>0</v>
      </c>
      <c r="BO1309" s="19">
        <v>0</v>
      </c>
      <c r="BP1309" s="19">
        <v>1000</v>
      </c>
      <c r="BQ1309" s="19">
        <v>1</v>
      </c>
      <c r="BR1309" s="19">
        <v>600</v>
      </c>
      <c r="BS1309" s="19">
        <v>600</v>
      </c>
      <c r="BT1309" s="19">
        <v>0</v>
      </c>
      <c r="BU1309" s="23">
        <v>0</v>
      </c>
      <c r="BV1309" s="23"/>
      <c r="BW1309" s="23"/>
      <c r="BX1309" s="23"/>
      <c r="BY1309" s="23"/>
      <c r="BZ1309" s="23"/>
    </row>
    <row r="1310" spans="1:78" ht="20.100000000000001" customHeight="1">
      <c r="C1310" s="32">
        <v>61031161</v>
      </c>
      <c r="D1310" s="20" t="s">
        <v>2713</v>
      </c>
      <c r="E1310" s="20" t="s">
        <v>2714</v>
      </c>
      <c r="F1310" s="21"/>
      <c r="G1310" s="32">
        <v>60031161</v>
      </c>
      <c r="H1310" s="32">
        <v>0</v>
      </c>
      <c r="I1310" s="31">
        <v>0</v>
      </c>
      <c r="J1310" s="32">
        <v>60</v>
      </c>
      <c r="K1310" s="21">
        <v>0</v>
      </c>
      <c r="L1310" s="21">
        <v>0</v>
      </c>
      <c r="M1310" s="32">
        <v>0</v>
      </c>
      <c r="N1310" s="32">
        <v>0</v>
      </c>
      <c r="O1310" s="32">
        <v>1</v>
      </c>
      <c r="P1310" s="32">
        <v>0</v>
      </c>
      <c r="Q1310" s="32">
        <v>0</v>
      </c>
      <c r="R1310" s="32">
        <v>0</v>
      </c>
      <c r="S1310" s="19">
        <v>0</v>
      </c>
      <c r="T1310" s="31">
        <v>0</v>
      </c>
      <c r="U1310" s="21">
        <v>1</v>
      </c>
      <c r="V1310" s="32">
        <v>2</v>
      </c>
      <c r="W1310" s="32">
        <v>0</v>
      </c>
      <c r="X1310" s="32">
        <v>3</v>
      </c>
      <c r="Y1310" s="19">
        <v>0</v>
      </c>
      <c r="Z1310" s="32">
        <v>0</v>
      </c>
      <c r="AA1310" s="32">
        <v>0</v>
      </c>
      <c r="AB1310" s="32">
        <v>0</v>
      </c>
      <c r="AC1310" s="32">
        <v>0</v>
      </c>
      <c r="AD1310" s="32">
        <v>0</v>
      </c>
      <c r="AE1310" s="32">
        <v>0</v>
      </c>
      <c r="AF1310" s="21">
        <v>30</v>
      </c>
      <c r="AG1310" s="32">
        <v>1</v>
      </c>
      <c r="AH1310" s="32">
        <v>8</v>
      </c>
      <c r="AI1310" s="19">
        <v>2</v>
      </c>
      <c r="AJ1310" s="19">
        <v>0</v>
      </c>
      <c r="AK1310" s="19">
        <v>1</v>
      </c>
      <c r="AL1310" s="19">
        <v>0</v>
      </c>
      <c r="AM1310" s="32">
        <v>0</v>
      </c>
      <c r="AN1310" s="32">
        <v>0</v>
      </c>
      <c r="AO1310" s="32">
        <v>0</v>
      </c>
      <c r="AP1310" s="32">
        <v>0.5</v>
      </c>
      <c r="AQ1310" s="32">
        <v>12000</v>
      </c>
      <c r="AR1310" s="32">
        <v>0</v>
      </c>
      <c r="AS1310" s="32">
        <v>0</v>
      </c>
      <c r="AT1310" s="19">
        <v>0</v>
      </c>
      <c r="AU1310" s="339" t="s">
        <v>2651</v>
      </c>
      <c r="AV1310" s="32"/>
      <c r="AW1310" s="35" t="s">
        <v>1705</v>
      </c>
      <c r="AX1310" s="32" t="s">
        <v>1415</v>
      </c>
      <c r="AY1310" s="32">
        <v>10002001</v>
      </c>
      <c r="AZ1310" s="32">
        <v>22001006</v>
      </c>
      <c r="BA1310" s="35" t="s">
        <v>2652</v>
      </c>
      <c r="BB1310" s="31" t="s">
        <v>2653</v>
      </c>
      <c r="BC1310" s="31">
        <v>0</v>
      </c>
      <c r="BD1310" s="31">
        <v>1</v>
      </c>
      <c r="BE1310" s="185" t="s">
        <v>2654</v>
      </c>
      <c r="BF1310" s="185" t="s">
        <v>2655</v>
      </c>
      <c r="BG1310" s="32">
        <v>0</v>
      </c>
      <c r="BH1310" s="21">
        <v>0</v>
      </c>
      <c r="BI1310" s="32">
        <v>0</v>
      </c>
      <c r="BJ1310" s="32">
        <v>0</v>
      </c>
      <c r="BK1310" s="32">
        <v>0</v>
      </c>
      <c r="BL1310" s="32">
        <v>0</v>
      </c>
      <c r="BM1310" s="25">
        <v>0</v>
      </c>
      <c r="BN1310" s="19">
        <v>0</v>
      </c>
      <c r="BO1310" s="19">
        <v>0</v>
      </c>
      <c r="BP1310" s="19">
        <v>0</v>
      </c>
      <c r="BQ1310" s="19">
        <v>0</v>
      </c>
      <c r="BR1310" s="19">
        <v>0</v>
      </c>
      <c r="BS1310" s="19">
        <v>0</v>
      </c>
      <c r="BT1310" s="19">
        <v>0</v>
      </c>
      <c r="BU1310" s="23">
        <v>0</v>
      </c>
      <c r="BV1310" s="23"/>
      <c r="BW1310" s="23"/>
      <c r="BX1310" s="23"/>
      <c r="BY1310" s="23"/>
      <c r="BZ1310" s="23"/>
    </row>
    <row r="1311" spans="1:78" ht="20.100000000000001" customHeight="1">
      <c r="C1311" s="176">
        <v>61031171</v>
      </c>
      <c r="D1311" s="205" t="s">
        <v>2715</v>
      </c>
      <c r="E1311" s="205" t="s">
        <v>2716</v>
      </c>
      <c r="F1311" s="172">
        <v>1</v>
      </c>
      <c r="G1311" s="176">
        <v>60031171</v>
      </c>
      <c r="H1311" s="176">
        <v>0</v>
      </c>
      <c r="I1311" s="174">
        <v>0</v>
      </c>
      <c r="J1311" s="172">
        <v>42</v>
      </c>
      <c r="K1311" s="172">
        <v>2</v>
      </c>
      <c r="L1311" s="172">
        <v>0</v>
      </c>
      <c r="M1311" s="176">
        <v>0</v>
      </c>
      <c r="N1311" s="176">
        <v>0</v>
      </c>
      <c r="O1311" s="176">
        <v>1</v>
      </c>
      <c r="P1311" s="176">
        <v>0</v>
      </c>
      <c r="Q1311" s="176">
        <v>0</v>
      </c>
      <c r="R1311" s="176">
        <v>0</v>
      </c>
      <c r="S1311" s="175">
        <v>0</v>
      </c>
      <c r="T1311" s="174">
        <v>0</v>
      </c>
      <c r="U1311" s="172">
        <v>1</v>
      </c>
      <c r="V1311" s="176">
        <v>2</v>
      </c>
      <c r="W1311" s="176">
        <v>0</v>
      </c>
      <c r="X1311" s="176">
        <v>1</v>
      </c>
      <c r="Y1311" s="19">
        <v>0</v>
      </c>
      <c r="Z1311" s="176">
        <v>500</v>
      </c>
      <c r="AA1311" s="176">
        <v>0</v>
      </c>
      <c r="AB1311" s="176">
        <v>0</v>
      </c>
      <c r="AC1311" s="176">
        <v>0</v>
      </c>
      <c r="AD1311" s="176">
        <v>0</v>
      </c>
      <c r="AE1311" s="176">
        <v>0</v>
      </c>
      <c r="AF1311" s="176">
        <v>30</v>
      </c>
      <c r="AG1311" s="176">
        <v>1</v>
      </c>
      <c r="AH1311" s="176">
        <v>3</v>
      </c>
      <c r="AI1311" s="175">
        <v>2</v>
      </c>
      <c r="AJ1311" s="175">
        <v>0</v>
      </c>
      <c r="AK1311" s="175">
        <v>0</v>
      </c>
      <c r="AL1311" s="175">
        <v>1.5</v>
      </c>
      <c r="AM1311" s="176">
        <v>0</v>
      </c>
      <c r="AN1311" s="176">
        <v>0</v>
      </c>
      <c r="AO1311" s="176">
        <v>0</v>
      </c>
      <c r="AP1311" s="176">
        <v>0.5</v>
      </c>
      <c r="AQ1311" s="176">
        <v>20000</v>
      </c>
      <c r="AR1311" s="176">
        <v>0.5</v>
      </c>
      <c r="AS1311" s="176">
        <v>0</v>
      </c>
      <c r="AT1311" s="175">
        <v>0</v>
      </c>
      <c r="AU1311" s="348" t="s">
        <v>2651</v>
      </c>
      <c r="AV1311" s="176"/>
      <c r="AW1311" s="205" t="s">
        <v>1705</v>
      </c>
      <c r="AX1311" s="176" t="s">
        <v>1415</v>
      </c>
      <c r="AY1311" s="176">
        <v>10002001</v>
      </c>
      <c r="AZ1311" s="176">
        <v>21201090</v>
      </c>
      <c r="BA1311" s="205" t="s">
        <v>321</v>
      </c>
      <c r="BB1311" s="205" t="s">
        <v>377</v>
      </c>
      <c r="BC1311" s="174">
        <v>0</v>
      </c>
      <c r="BD1311" s="174">
        <v>0</v>
      </c>
      <c r="BE1311" s="210" t="str">
        <f>"在脚底下立即释放法术,在此范围内的目标每秒造成"&amp;X1311*100&amp;"%攻击伤害+"&amp;Z1311&amp;"点固定伤害,己方伤害提升20%,目标移动速度降低20%,持续20秒"</f>
        <v>在脚底下立即释放法术,在此范围内的目标每秒造成100%攻击伤害+500点固定伤害,己方伤害提升20%,目标移动速度降低20%,持续20秒</v>
      </c>
      <c r="BF1311" s="210" t="s">
        <v>2717</v>
      </c>
      <c r="BG1311" s="176">
        <v>0</v>
      </c>
      <c r="BH1311" s="172">
        <v>0</v>
      </c>
      <c r="BI1311" s="176">
        <v>0</v>
      </c>
      <c r="BJ1311" s="176">
        <v>0</v>
      </c>
      <c r="BK1311" s="176">
        <v>0</v>
      </c>
      <c r="BL1311" s="176">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19.5" customHeight="1">
      <c r="C1312" s="176">
        <v>61031181</v>
      </c>
      <c r="D1312" s="202" t="s">
        <v>2718</v>
      </c>
      <c r="E1312" s="202" t="s">
        <v>2719</v>
      </c>
      <c r="F1312" s="176">
        <v>1</v>
      </c>
      <c r="G1312" s="176">
        <v>60031181</v>
      </c>
      <c r="H1312" s="176">
        <v>0</v>
      </c>
      <c r="I1312" s="174">
        <v>0</v>
      </c>
      <c r="J1312" s="176">
        <v>60</v>
      </c>
      <c r="K1312" s="176">
        <v>0</v>
      </c>
      <c r="L1312" s="176">
        <v>0</v>
      </c>
      <c r="M1312" s="172">
        <v>0</v>
      </c>
      <c r="N1312" s="172">
        <v>0</v>
      </c>
      <c r="O1312" s="172">
        <v>1</v>
      </c>
      <c r="P1312" s="172">
        <v>0</v>
      </c>
      <c r="Q1312" s="172">
        <v>1</v>
      </c>
      <c r="R1312" s="172">
        <v>0</v>
      </c>
      <c r="S1312" s="175">
        <v>0</v>
      </c>
      <c r="T1312" s="172">
        <v>0</v>
      </c>
      <c r="U1312" s="172">
        <v>1</v>
      </c>
      <c r="V1312" s="172">
        <v>2</v>
      </c>
      <c r="W1312" s="172">
        <v>0</v>
      </c>
      <c r="X1312" s="172">
        <v>3</v>
      </c>
      <c r="Y1312" s="19">
        <v>0</v>
      </c>
      <c r="Z1312" s="172">
        <v>0</v>
      </c>
      <c r="AA1312" s="172">
        <v>1</v>
      </c>
      <c r="AB1312" s="172">
        <v>0</v>
      </c>
      <c r="AC1312" s="172">
        <v>0</v>
      </c>
      <c r="AD1312" s="172">
        <v>0</v>
      </c>
      <c r="AE1312" s="172">
        <v>0</v>
      </c>
      <c r="AF1312" s="172">
        <v>30</v>
      </c>
      <c r="AG1312" s="172">
        <v>1</v>
      </c>
      <c r="AH1312" s="172">
        <v>3</v>
      </c>
      <c r="AI1312" s="175">
        <v>0</v>
      </c>
      <c r="AJ1312" s="175">
        <v>2</v>
      </c>
      <c r="AK1312" s="175">
        <v>0</v>
      </c>
      <c r="AL1312" s="175">
        <v>2</v>
      </c>
      <c r="AM1312" s="172">
        <v>0</v>
      </c>
      <c r="AN1312" s="172">
        <v>0</v>
      </c>
      <c r="AO1312" s="172">
        <v>0</v>
      </c>
      <c r="AP1312" s="172">
        <v>2</v>
      </c>
      <c r="AQ1312" s="172">
        <v>10000</v>
      </c>
      <c r="AR1312" s="172">
        <v>0.5</v>
      </c>
      <c r="AS1312" s="172">
        <v>20</v>
      </c>
      <c r="AT1312" s="175">
        <v>0</v>
      </c>
      <c r="AU1312" s="172" t="s">
        <v>204</v>
      </c>
      <c r="AV1312" s="172"/>
      <c r="AW1312" s="205" t="s">
        <v>2624</v>
      </c>
      <c r="AX1312" s="172" t="s">
        <v>540</v>
      </c>
      <c r="AY1312" s="176">
        <v>10000007</v>
      </c>
      <c r="AZ1312" s="176">
        <v>21202090</v>
      </c>
      <c r="BA1312" s="205" t="s">
        <v>592</v>
      </c>
      <c r="BB1312" s="174" t="s">
        <v>2665</v>
      </c>
      <c r="BC1312" s="174">
        <v>0</v>
      </c>
      <c r="BD1312" s="174">
        <v>1</v>
      </c>
      <c r="BE1312" s="207" t="s">
        <v>2703</v>
      </c>
      <c r="BF1312" s="207" t="s">
        <v>2704</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76">
        <v>61031191</v>
      </c>
      <c r="D1313" s="173" t="s">
        <v>2720</v>
      </c>
      <c r="E1313" s="173" t="s">
        <v>2721</v>
      </c>
      <c r="F1313" s="176">
        <v>1</v>
      </c>
      <c r="G1313" s="176">
        <v>60031191</v>
      </c>
      <c r="H1313" s="176">
        <v>0</v>
      </c>
      <c r="I1313" s="174">
        <v>0</v>
      </c>
      <c r="J1313" s="176">
        <v>1</v>
      </c>
      <c r="K1313" s="176">
        <v>0</v>
      </c>
      <c r="L1313" s="176">
        <v>0</v>
      </c>
      <c r="M1313" s="172">
        <v>0</v>
      </c>
      <c r="N1313" s="172">
        <v>0</v>
      </c>
      <c r="O1313" s="172">
        <v>2</v>
      </c>
      <c r="P1313" s="172">
        <v>1</v>
      </c>
      <c r="Q1313" s="172">
        <v>0.6</v>
      </c>
      <c r="R1313" s="172">
        <v>0</v>
      </c>
      <c r="S1313" s="175">
        <v>0</v>
      </c>
      <c r="T1313" s="172">
        <v>0</v>
      </c>
      <c r="U1313" s="172">
        <v>1</v>
      </c>
      <c r="V1313" s="172">
        <v>2</v>
      </c>
      <c r="W1313" s="172">
        <v>0</v>
      </c>
      <c r="X1313" s="172">
        <v>0</v>
      </c>
      <c r="Y1313" s="19">
        <v>0</v>
      </c>
      <c r="Z1313" s="172">
        <v>0</v>
      </c>
      <c r="AA1313" s="172">
        <v>0</v>
      </c>
      <c r="AB1313" s="172">
        <v>0</v>
      </c>
      <c r="AC1313" s="172">
        <v>0</v>
      </c>
      <c r="AD1313" s="172">
        <v>0</v>
      </c>
      <c r="AE1313" s="172">
        <v>0</v>
      </c>
      <c r="AF1313" s="172">
        <v>20</v>
      </c>
      <c r="AG1313" s="172">
        <v>0</v>
      </c>
      <c r="AH1313" s="172">
        <v>0</v>
      </c>
      <c r="AI1313" s="175">
        <v>2</v>
      </c>
      <c r="AJ1313" s="175">
        <v>2</v>
      </c>
      <c r="AK1313" s="175">
        <v>0</v>
      </c>
      <c r="AL1313" s="175">
        <v>1.5</v>
      </c>
      <c r="AM1313" s="172">
        <v>0</v>
      </c>
      <c r="AN1313" s="172">
        <v>0</v>
      </c>
      <c r="AO1313" s="172">
        <v>0</v>
      </c>
      <c r="AP1313" s="172">
        <v>1</v>
      </c>
      <c r="AQ1313" s="172">
        <v>3000</v>
      </c>
      <c r="AR1313" s="172">
        <v>0.5</v>
      </c>
      <c r="AS1313" s="172">
        <v>0</v>
      </c>
      <c r="AT1313" s="175">
        <v>0</v>
      </c>
      <c r="AU1313" s="172" t="s">
        <v>204</v>
      </c>
      <c r="AV1313" s="172"/>
      <c r="AW1313" s="205" t="s">
        <v>205</v>
      </c>
      <c r="AX1313" s="172" t="s">
        <v>551</v>
      </c>
      <c r="AY1313" s="176">
        <v>0</v>
      </c>
      <c r="AZ1313" s="176">
        <v>21203090</v>
      </c>
      <c r="BA1313" s="173" t="s">
        <v>1180</v>
      </c>
      <c r="BB1313" s="205" t="s">
        <v>2722</v>
      </c>
      <c r="BC1313" s="174">
        <v>0</v>
      </c>
      <c r="BD1313" s="174">
        <v>0</v>
      </c>
      <c r="BE1313" s="207" t="s">
        <v>598</v>
      </c>
      <c r="BF1313" s="207" t="s">
        <v>599</v>
      </c>
      <c r="BG1313" s="172">
        <v>0</v>
      </c>
      <c r="BH1313" s="172">
        <v>0</v>
      </c>
      <c r="BI1313" s="172">
        <v>0</v>
      </c>
      <c r="BJ1313" s="172">
        <v>0</v>
      </c>
      <c r="BK1313" s="172">
        <v>0</v>
      </c>
      <c r="BL1313" s="172">
        <v>0</v>
      </c>
      <c r="BM1313" s="178">
        <v>0</v>
      </c>
      <c r="BN1313" s="175">
        <v>0</v>
      </c>
      <c r="BO1313" s="175">
        <v>0</v>
      </c>
      <c r="BP1313" s="175">
        <v>0</v>
      </c>
      <c r="BQ1313" s="175">
        <v>0</v>
      </c>
      <c r="BR1313" s="175">
        <v>0</v>
      </c>
      <c r="BS1313" s="175">
        <v>0</v>
      </c>
      <c r="BT1313" s="19">
        <v>0</v>
      </c>
      <c r="BU1313" s="23">
        <v>0</v>
      </c>
      <c r="BV1313" s="23"/>
      <c r="BW1313" s="23"/>
      <c r="BX1313" s="23"/>
      <c r="BY1313" s="23"/>
      <c r="BZ1313" s="23"/>
    </row>
    <row r="1314" spans="3:78" ht="20.100000000000001" customHeight="1">
      <c r="C1314" s="19">
        <v>62000000</v>
      </c>
      <c r="D1314" s="20" t="s">
        <v>2723</v>
      </c>
      <c r="E1314" s="20" t="s">
        <v>2724</v>
      </c>
      <c r="F1314" s="19">
        <v>1</v>
      </c>
      <c r="G1314" s="19">
        <v>10001</v>
      </c>
      <c r="H1314" s="19">
        <v>0</v>
      </c>
      <c r="I1314" s="19">
        <v>0</v>
      </c>
      <c r="J1314" s="19">
        <v>1</v>
      </c>
      <c r="K1314" s="19">
        <v>0</v>
      </c>
      <c r="L1314" s="21">
        <v>0</v>
      </c>
      <c r="M1314" s="19">
        <v>0</v>
      </c>
      <c r="N1314" s="19">
        <v>0</v>
      </c>
      <c r="O1314" s="19">
        <v>1</v>
      </c>
      <c r="P1314" s="19">
        <v>0</v>
      </c>
      <c r="Q1314" s="19">
        <v>0</v>
      </c>
      <c r="R1314" s="19">
        <v>0</v>
      </c>
      <c r="S1314" s="19">
        <v>0</v>
      </c>
      <c r="T1314" s="19">
        <v>0</v>
      </c>
      <c r="U1314" s="19">
        <v>1</v>
      </c>
      <c r="V1314" s="19">
        <v>2</v>
      </c>
      <c r="W1314" s="19">
        <v>0</v>
      </c>
      <c r="X1314" s="19">
        <v>0</v>
      </c>
      <c r="Y1314" s="19">
        <v>0</v>
      </c>
      <c r="Z1314" s="19">
        <v>0</v>
      </c>
      <c r="AA1314" s="19">
        <v>0</v>
      </c>
      <c r="AB1314" s="19">
        <v>0</v>
      </c>
      <c r="AC1314" s="19">
        <v>0</v>
      </c>
      <c r="AD1314" s="19">
        <v>1</v>
      </c>
      <c r="AE1314" s="19">
        <v>0</v>
      </c>
      <c r="AF1314" s="19">
        <v>30</v>
      </c>
      <c r="AG1314" s="19">
        <v>0</v>
      </c>
      <c r="AH1314" s="19">
        <v>0</v>
      </c>
      <c r="AI1314" s="19">
        <v>2</v>
      </c>
      <c r="AJ1314" s="19">
        <v>1</v>
      </c>
      <c r="AK1314" s="19">
        <v>0</v>
      </c>
      <c r="AL1314" s="19">
        <v>0</v>
      </c>
      <c r="AM1314" s="19">
        <v>0</v>
      </c>
      <c r="AN1314" s="19">
        <v>0</v>
      </c>
      <c r="AO1314" s="19">
        <v>0</v>
      </c>
      <c r="AP1314" s="19">
        <v>0</v>
      </c>
      <c r="AQ1314" s="19">
        <v>1000</v>
      </c>
      <c r="AR1314" s="19">
        <v>0</v>
      </c>
      <c r="AS1314" s="19">
        <v>0</v>
      </c>
      <c r="AT1314" s="19">
        <v>92000003</v>
      </c>
      <c r="AU1314" s="19" t="s">
        <v>204</v>
      </c>
      <c r="AV1314" s="19"/>
      <c r="AW1314" s="20" t="s">
        <v>205</v>
      </c>
      <c r="AX1314" s="19" t="s">
        <v>1582</v>
      </c>
      <c r="AY1314" s="19">
        <v>0</v>
      </c>
      <c r="AZ1314" s="19">
        <v>40000003</v>
      </c>
      <c r="BA1314" s="20" t="s">
        <v>206</v>
      </c>
      <c r="BB1314" s="20" t="s">
        <v>204</v>
      </c>
      <c r="BC1314" s="19">
        <v>0</v>
      </c>
      <c r="BD1314" s="19">
        <v>0</v>
      </c>
      <c r="BE1314" s="22" t="s">
        <v>2725</v>
      </c>
      <c r="BF1314" s="22" t="s">
        <v>2726</v>
      </c>
      <c r="BG1314" s="19">
        <v>0</v>
      </c>
      <c r="BH1314" s="19">
        <v>0</v>
      </c>
      <c r="BI1314" s="19">
        <v>0</v>
      </c>
      <c r="BJ1314" s="19">
        <v>0</v>
      </c>
      <c r="BK1314" s="19">
        <v>0</v>
      </c>
      <c r="BL1314" s="19">
        <v>0</v>
      </c>
      <c r="BM1314" s="187">
        <v>0</v>
      </c>
      <c r="BN1314" s="1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62000001</v>
      </c>
      <c r="D1315" s="238" t="s">
        <v>387</v>
      </c>
      <c r="E1315" s="238" t="s">
        <v>388</v>
      </c>
      <c r="F1315" s="239">
        <v>1</v>
      </c>
      <c r="G1315" s="19">
        <v>10001</v>
      </c>
      <c r="H1315" s="239">
        <v>0</v>
      </c>
      <c r="I1315" s="239">
        <v>0</v>
      </c>
      <c r="J1315" s="239">
        <v>1</v>
      </c>
      <c r="K1315" s="239">
        <v>0</v>
      </c>
      <c r="L1315" s="239">
        <v>0</v>
      </c>
      <c r="M1315" s="239">
        <v>0</v>
      </c>
      <c r="N1315" s="239">
        <v>0</v>
      </c>
      <c r="O1315" s="239">
        <v>2</v>
      </c>
      <c r="P1315" s="239">
        <v>3</v>
      </c>
      <c r="Q1315" s="239">
        <v>0.2</v>
      </c>
      <c r="R1315" s="239">
        <v>0</v>
      </c>
      <c r="S1315" s="239">
        <v>0</v>
      </c>
      <c r="T1315" s="239">
        <v>0</v>
      </c>
      <c r="U1315" s="239">
        <v>1</v>
      </c>
      <c r="V1315" s="239">
        <v>2</v>
      </c>
      <c r="W1315" s="239">
        <v>0</v>
      </c>
      <c r="X1315" s="239">
        <v>0</v>
      </c>
      <c r="Y1315" s="19">
        <v>0</v>
      </c>
      <c r="Z1315" s="239">
        <v>0</v>
      </c>
      <c r="AA1315" s="239">
        <v>0</v>
      </c>
      <c r="AB1315" s="239">
        <v>0</v>
      </c>
      <c r="AC1315" s="239">
        <v>0</v>
      </c>
      <c r="AD1315" s="239">
        <v>1</v>
      </c>
      <c r="AE1315" s="239">
        <v>0</v>
      </c>
      <c r="AF1315" s="239">
        <v>5</v>
      </c>
      <c r="AG1315" s="239">
        <v>0</v>
      </c>
      <c r="AH1315" s="239">
        <v>0</v>
      </c>
      <c r="AI1315" s="239">
        <v>2</v>
      </c>
      <c r="AJ1315" s="239">
        <v>0</v>
      </c>
      <c r="AK1315" s="239">
        <v>0</v>
      </c>
      <c r="AL1315" s="239">
        <v>0</v>
      </c>
      <c r="AM1315" s="239">
        <v>0</v>
      </c>
      <c r="AN1315" s="239">
        <v>0</v>
      </c>
      <c r="AO1315" s="239">
        <v>0</v>
      </c>
      <c r="AP1315" s="239">
        <v>0</v>
      </c>
      <c r="AQ1315" s="239">
        <v>1000</v>
      </c>
      <c r="AR1315" s="239">
        <v>0</v>
      </c>
      <c r="AS1315" s="239">
        <v>0</v>
      </c>
      <c r="AT1315" s="239">
        <v>92000037</v>
      </c>
      <c r="AU1315" s="239" t="s">
        <v>204</v>
      </c>
      <c r="AV1315" s="239"/>
      <c r="AW1315" s="238" t="s">
        <v>205</v>
      </c>
      <c r="AX1315" s="239" t="s">
        <v>1582</v>
      </c>
      <c r="AY1315" s="239">
        <v>0</v>
      </c>
      <c r="AZ1315" s="239">
        <v>40000003</v>
      </c>
      <c r="BA1315" s="238" t="s">
        <v>206</v>
      </c>
      <c r="BB1315" s="239" t="s">
        <v>204</v>
      </c>
      <c r="BC1315" s="239">
        <v>0</v>
      </c>
      <c r="BD1315" s="239">
        <v>0</v>
      </c>
      <c r="BE1315" s="240" t="s">
        <v>2727</v>
      </c>
      <c r="BF1315" s="240" t="s">
        <v>2728</v>
      </c>
      <c r="BG1315" s="239">
        <v>0</v>
      </c>
      <c r="BH1315" s="239">
        <v>0</v>
      </c>
      <c r="BI1315" s="239">
        <v>0</v>
      </c>
      <c r="BJ1315" s="239">
        <v>0</v>
      </c>
      <c r="BK1315" s="239">
        <v>0</v>
      </c>
      <c r="BL1315" s="239">
        <v>0</v>
      </c>
      <c r="BM1315" s="241">
        <v>0</v>
      </c>
      <c r="BN1315" s="239">
        <v>1</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19">
        <v>62000002</v>
      </c>
      <c r="D1316" s="20" t="s">
        <v>2729</v>
      </c>
      <c r="E1316" s="20" t="s">
        <v>2730</v>
      </c>
      <c r="F1316" s="19">
        <v>1</v>
      </c>
      <c r="G1316" s="19">
        <v>10002</v>
      </c>
      <c r="H1316" s="19">
        <v>0</v>
      </c>
      <c r="I1316" s="19">
        <v>0</v>
      </c>
      <c r="J1316" s="19">
        <v>1</v>
      </c>
      <c r="K1316" s="19">
        <v>0</v>
      </c>
      <c r="L1316" s="21">
        <v>0</v>
      </c>
      <c r="M1316" s="19">
        <v>0</v>
      </c>
      <c r="N1316" s="19">
        <v>0</v>
      </c>
      <c r="O1316" s="19">
        <v>1</v>
      </c>
      <c r="P1316" s="19">
        <v>0</v>
      </c>
      <c r="Q1316" s="19">
        <v>0</v>
      </c>
      <c r="R1316" s="19">
        <v>0</v>
      </c>
      <c r="S1316" s="19">
        <v>0</v>
      </c>
      <c r="T1316" s="19">
        <v>0</v>
      </c>
      <c r="U1316" s="19">
        <v>1</v>
      </c>
      <c r="V1316" s="19">
        <v>2</v>
      </c>
      <c r="W1316" s="19">
        <v>0</v>
      </c>
      <c r="X1316" s="19">
        <v>4</v>
      </c>
      <c r="Y1316" s="19">
        <v>0</v>
      </c>
      <c r="Z1316" s="19">
        <v>1000</v>
      </c>
      <c r="AA1316" s="19">
        <v>0</v>
      </c>
      <c r="AB1316" s="19">
        <v>0</v>
      </c>
      <c r="AC1316" s="19">
        <v>0</v>
      </c>
      <c r="AD1316" s="19">
        <v>0</v>
      </c>
      <c r="AE1316" s="19">
        <v>0</v>
      </c>
      <c r="AF1316" s="19">
        <v>7</v>
      </c>
      <c r="AG1316" s="19">
        <v>0</v>
      </c>
      <c r="AH1316" s="19">
        <v>0</v>
      </c>
      <c r="AI1316" s="19">
        <v>7</v>
      </c>
      <c r="AJ1316" s="19">
        <v>0</v>
      </c>
      <c r="AK1316" s="19">
        <v>0</v>
      </c>
      <c r="AL1316" s="19">
        <v>6</v>
      </c>
      <c r="AM1316" s="19">
        <v>0</v>
      </c>
      <c r="AN1316" s="19">
        <v>0</v>
      </c>
      <c r="AO1316" s="19">
        <v>0</v>
      </c>
      <c r="AP1316" s="19">
        <v>0.5</v>
      </c>
      <c r="AQ1316" s="19">
        <v>1000</v>
      </c>
      <c r="AR1316" s="19">
        <v>0</v>
      </c>
      <c r="AS1316" s="19">
        <v>0</v>
      </c>
      <c r="AT1316" s="19">
        <v>0</v>
      </c>
      <c r="AU1316" s="19">
        <v>0</v>
      </c>
      <c r="AV1316" s="19"/>
      <c r="AW1316" s="20" t="s">
        <v>262</v>
      </c>
      <c r="AX1316" s="19" t="s">
        <v>1802</v>
      </c>
      <c r="AY1316" s="19" t="s">
        <v>204</v>
      </c>
      <c r="AZ1316" s="19" t="s">
        <v>2731</v>
      </c>
      <c r="BA1316" s="20" t="s">
        <v>206</v>
      </c>
      <c r="BB1316" s="19">
        <v>0</v>
      </c>
      <c r="BC1316" s="19">
        <v>0</v>
      </c>
      <c r="BD1316" s="19">
        <v>0</v>
      </c>
      <c r="BE1316" s="22" t="s">
        <v>2732</v>
      </c>
      <c r="BF1316" s="22" t="s">
        <v>2733</v>
      </c>
      <c r="BG1316" s="19">
        <v>0</v>
      </c>
      <c r="BH1316" s="19">
        <v>0</v>
      </c>
      <c r="BI1316" s="19">
        <v>0</v>
      </c>
      <c r="BJ1316" s="19">
        <v>0</v>
      </c>
      <c r="BK1316" s="19">
        <v>0</v>
      </c>
      <c r="BL1316" s="19">
        <v>0</v>
      </c>
      <c r="BM1316" s="187">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73">
        <v>62000003</v>
      </c>
      <c r="D1317" s="131" t="s">
        <v>604</v>
      </c>
      <c r="E1317" s="131" t="s">
        <v>1168</v>
      </c>
      <c r="F1317" s="73">
        <v>1</v>
      </c>
      <c r="G1317" s="73">
        <v>10011</v>
      </c>
      <c r="H1317" s="73">
        <v>0</v>
      </c>
      <c r="I1317" s="73">
        <v>0</v>
      </c>
      <c r="J1317" s="73">
        <v>1</v>
      </c>
      <c r="K1317" s="73">
        <v>0</v>
      </c>
      <c r="L1317" s="72">
        <v>0</v>
      </c>
      <c r="M1317" s="73">
        <v>0</v>
      </c>
      <c r="N1317" s="73">
        <v>0</v>
      </c>
      <c r="O1317" s="73">
        <v>2</v>
      </c>
      <c r="P1317" s="73">
        <v>1</v>
      </c>
      <c r="Q1317" s="73">
        <v>0.15</v>
      </c>
      <c r="R1317" s="73">
        <v>0</v>
      </c>
      <c r="S1317" s="73">
        <v>0</v>
      </c>
      <c r="T1317" s="73">
        <v>0</v>
      </c>
      <c r="U1317" s="73">
        <v>1</v>
      </c>
      <c r="V1317" s="73">
        <v>2</v>
      </c>
      <c r="W1317" s="73">
        <v>0</v>
      </c>
      <c r="X1317" s="73">
        <v>2.5</v>
      </c>
      <c r="Y1317" s="19">
        <v>0</v>
      </c>
      <c r="Z1317" s="73">
        <v>0</v>
      </c>
      <c r="AA1317" s="73">
        <v>0</v>
      </c>
      <c r="AB1317" s="73">
        <v>0</v>
      </c>
      <c r="AC1317" s="73">
        <v>0</v>
      </c>
      <c r="AD1317" s="73">
        <v>1</v>
      </c>
      <c r="AE1317" s="73">
        <v>0</v>
      </c>
      <c r="AF1317" s="73">
        <v>9</v>
      </c>
      <c r="AG1317" s="73">
        <v>2</v>
      </c>
      <c r="AH1317" s="73" t="s">
        <v>219</v>
      </c>
      <c r="AI1317" s="73">
        <v>2</v>
      </c>
      <c r="AJ1317" s="73">
        <v>2</v>
      </c>
      <c r="AK1317" s="19">
        <v>0</v>
      </c>
      <c r="AL1317" s="73">
        <v>1.5</v>
      </c>
      <c r="AM1317" s="73">
        <v>0</v>
      </c>
      <c r="AN1317" s="73">
        <v>0</v>
      </c>
      <c r="AO1317" s="73">
        <v>0</v>
      </c>
      <c r="AP1317" s="73">
        <v>1</v>
      </c>
      <c r="AQ1317" s="73">
        <v>3000</v>
      </c>
      <c r="AR1317" s="73">
        <v>0.5</v>
      </c>
      <c r="AS1317" s="73">
        <v>0</v>
      </c>
      <c r="AT1317" s="73">
        <v>0</v>
      </c>
      <c r="AU1317" s="73" t="s">
        <v>204</v>
      </c>
      <c r="AV1317" s="73"/>
      <c r="AW1317" s="131" t="s">
        <v>293</v>
      </c>
      <c r="AX1317" s="73" t="s">
        <v>551</v>
      </c>
      <c r="AY1317" s="73">
        <v>10000007</v>
      </c>
      <c r="AZ1317" s="73">
        <v>21000110</v>
      </c>
      <c r="BA1317" s="131" t="s">
        <v>206</v>
      </c>
      <c r="BB1317" s="73">
        <v>0</v>
      </c>
      <c r="BC1317" s="73">
        <v>0</v>
      </c>
      <c r="BD1317" s="73">
        <v>0</v>
      </c>
      <c r="BE1317" s="242" t="s">
        <v>2734</v>
      </c>
      <c r="BF1317" s="242" t="s">
        <v>2735</v>
      </c>
      <c r="BG1317" s="73">
        <v>0</v>
      </c>
      <c r="BH1317" s="73">
        <v>0</v>
      </c>
      <c r="BI1317" s="73">
        <v>0</v>
      </c>
      <c r="BJ1317" s="73">
        <v>0</v>
      </c>
      <c r="BK1317" s="73">
        <v>0</v>
      </c>
      <c r="BL1317" s="73">
        <v>0</v>
      </c>
      <c r="BM1317" s="133">
        <v>0</v>
      </c>
      <c r="BN1317" s="19">
        <v>0</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19">
        <v>62000004</v>
      </c>
      <c r="D1318" s="20" t="s">
        <v>2736</v>
      </c>
      <c r="E1318" s="20" t="s">
        <v>2737</v>
      </c>
      <c r="F1318" s="19">
        <v>1</v>
      </c>
      <c r="G1318" s="19">
        <v>10013</v>
      </c>
      <c r="H1318" s="19">
        <v>0</v>
      </c>
      <c r="I1318" s="19">
        <v>0</v>
      </c>
      <c r="J1318" s="19">
        <v>1</v>
      </c>
      <c r="K1318" s="19">
        <v>0</v>
      </c>
      <c r="L1318" s="21">
        <v>0</v>
      </c>
      <c r="M1318" s="19">
        <v>0</v>
      </c>
      <c r="N1318" s="19">
        <v>0</v>
      </c>
      <c r="O1318" s="19">
        <v>1</v>
      </c>
      <c r="P1318" s="19">
        <v>0</v>
      </c>
      <c r="Q1318" s="19">
        <v>0</v>
      </c>
      <c r="R1318" s="19">
        <v>0</v>
      </c>
      <c r="S1318" s="19">
        <v>0</v>
      </c>
      <c r="T1318" s="19">
        <v>0</v>
      </c>
      <c r="U1318" s="19">
        <v>1</v>
      </c>
      <c r="V1318" s="19">
        <v>2</v>
      </c>
      <c r="W1318" s="19">
        <v>0</v>
      </c>
      <c r="X1318" s="19">
        <v>0</v>
      </c>
      <c r="Y1318" s="19">
        <v>0</v>
      </c>
      <c r="Z1318" s="19">
        <v>0</v>
      </c>
      <c r="AA1318" s="19">
        <v>0</v>
      </c>
      <c r="AB1318" s="19">
        <v>0</v>
      </c>
      <c r="AC1318" s="19">
        <v>0</v>
      </c>
      <c r="AD1318" s="19">
        <v>1</v>
      </c>
      <c r="AE1318" s="19">
        <v>0</v>
      </c>
      <c r="AF1318" s="19">
        <v>18</v>
      </c>
      <c r="AG1318" s="19">
        <v>0</v>
      </c>
      <c r="AH1318" s="19">
        <v>0</v>
      </c>
      <c r="AI1318" s="19">
        <v>2</v>
      </c>
      <c r="AJ1318" s="19">
        <v>0</v>
      </c>
      <c r="AK1318" s="19">
        <v>0</v>
      </c>
      <c r="AL1318" s="19">
        <v>0</v>
      </c>
      <c r="AM1318" s="19">
        <v>0</v>
      </c>
      <c r="AN1318" s="19">
        <v>0</v>
      </c>
      <c r="AO1318" s="19">
        <v>0</v>
      </c>
      <c r="AP1318" s="19">
        <v>0.5</v>
      </c>
      <c r="AQ1318" s="19">
        <v>1000</v>
      </c>
      <c r="AR1318" s="19">
        <v>0.5</v>
      </c>
      <c r="AS1318" s="19">
        <v>0</v>
      </c>
      <c r="AT1318" s="329" t="s">
        <v>2738</v>
      </c>
      <c r="AU1318" s="19" t="s">
        <v>204</v>
      </c>
      <c r="AV1318" s="19"/>
      <c r="AW1318" s="20" t="s">
        <v>205</v>
      </c>
      <c r="AX1318" s="19" t="s">
        <v>2189</v>
      </c>
      <c r="AY1318" s="19">
        <v>0</v>
      </c>
      <c r="AZ1318" s="19">
        <v>0</v>
      </c>
      <c r="BA1318" s="20" t="s">
        <v>206</v>
      </c>
      <c r="BB1318" s="20" t="s">
        <v>204</v>
      </c>
      <c r="BC1318" s="19">
        <v>0</v>
      </c>
      <c r="BD1318" s="19">
        <v>0</v>
      </c>
      <c r="BE1318" s="22" t="s">
        <v>2739</v>
      </c>
      <c r="BF1318" s="22" t="s">
        <v>2740</v>
      </c>
      <c r="BG1318" s="19">
        <v>0</v>
      </c>
      <c r="BH1318" s="19">
        <v>0</v>
      </c>
      <c r="BI1318" s="19">
        <v>0</v>
      </c>
      <c r="BJ1318" s="19">
        <v>0</v>
      </c>
      <c r="BK1318" s="19">
        <v>0</v>
      </c>
      <c r="BL1318" s="19">
        <v>0</v>
      </c>
      <c r="BM1318" s="187">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73">
        <v>62000005</v>
      </c>
      <c r="D1319" s="131" t="s">
        <v>2741</v>
      </c>
      <c r="E1319" s="131" t="s">
        <v>2742</v>
      </c>
      <c r="F1319" s="73">
        <v>1</v>
      </c>
      <c r="G1319" s="73">
        <v>10031</v>
      </c>
      <c r="H1319" s="73">
        <v>0</v>
      </c>
      <c r="I1319" s="73">
        <v>0</v>
      </c>
      <c r="J1319" s="73">
        <v>1</v>
      </c>
      <c r="K1319" s="73">
        <v>0</v>
      </c>
      <c r="L1319" s="72">
        <v>0</v>
      </c>
      <c r="M1319" s="73">
        <v>0</v>
      </c>
      <c r="N1319" s="73">
        <v>0</v>
      </c>
      <c r="O1319" s="73">
        <v>2</v>
      </c>
      <c r="P1319" s="73">
        <v>3</v>
      </c>
      <c r="Q1319" s="73">
        <v>0.15</v>
      </c>
      <c r="R1319" s="73">
        <v>0</v>
      </c>
      <c r="S1319" s="73">
        <v>0</v>
      </c>
      <c r="T1319" s="73">
        <v>0</v>
      </c>
      <c r="U1319" s="73">
        <v>1</v>
      </c>
      <c r="V1319" s="73">
        <v>2</v>
      </c>
      <c r="W1319" s="73">
        <v>0</v>
      </c>
      <c r="X1319" s="73">
        <v>0</v>
      </c>
      <c r="Y1319" s="19">
        <v>0</v>
      </c>
      <c r="Z1319" s="73">
        <v>0</v>
      </c>
      <c r="AA1319" s="73">
        <v>0</v>
      </c>
      <c r="AB1319" s="73">
        <v>0</v>
      </c>
      <c r="AC1319" s="73">
        <v>0</v>
      </c>
      <c r="AD1319" s="73">
        <v>1</v>
      </c>
      <c r="AE1319" s="73">
        <v>0</v>
      </c>
      <c r="AF1319" s="73">
        <v>40</v>
      </c>
      <c r="AG1319" s="73">
        <v>0</v>
      </c>
      <c r="AH1319" s="73">
        <v>0</v>
      </c>
      <c r="AI1319" s="73">
        <v>2</v>
      </c>
      <c r="AJ1319" s="73">
        <v>0</v>
      </c>
      <c r="AK1319" s="19">
        <v>0</v>
      </c>
      <c r="AL1319" s="73">
        <v>0</v>
      </c>
      <c r="AM1319" s="73">
        <v>0</v>
      </c>
      <c r="AN1319" s="73">
        <v>0</v>
      </c>
      <c r="AO1319" s="73">
        <v>0</v>
      </c>
      <c r="AP1319" s="73">
        <v>0</v>
      </c>
      <c r="AQ1319" s="73">
        <v>1000</v>
      </c>
      <c r="AR1319" s="73">
        <v>0.5</v>
      </c>
      <c r="AS1319" s="73">
        <v>0</v>
      </c>
      <c r="AT1319" s="73">
        <v>80001064</v>
      </c>
      <c r="AU1319" s="73" t="s">
        <v>204</v>
      </c>
      <c r="AV1319" s="73"/>
      <c r="AW1319" s="131"/>
      <c r="AX1319" s="73" t="s">
        <v>354</v>
      </c>
      <c r="AY1319" s="73">
        <v>0</v>
      </c>
      <c r="AZ1319" s="73">
        <v>0</v>
      </c>
      <c r="BA1319" s="131" t="s">
        <v>206</v>
      </c>
      <c r="BB1319" s="131" t="s">
        <v>204</v>
      </c>
      <c r="BC1319" s="73">
        <v>0</v>
      </c>
      <c r="BD1319" s="73">
        <v>0</v>
      </c>
      <c r="BE1319" s="242" t="s">
        <v>2743</v>
      </c>
      <c r="BF1319" s="242" t="s">
        <v>2744</v>
      </c>
      <c r="BG1319" s="73">
        <v>0</v>
      </c>
      <c r="BH1319" s="73">
        <v>0</v>
      </c>
      <c r="BI1319" s="73">
        <v>0</v>
      </c>
      <c r="BJ1319" s="73">
        <v>0</v>
      </c>
      <c r="BK1319" s="73">
        <v>0</v>
      </c>
      <c r="BL1319" s="73">
        <v>0</v>
      </c>
      <c r="BM1319" s="133">
        <v>0</v>
      </c>
      <c r="BN1319" s="19">
        <v>1</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19">
        <v>62000006</v>
      </c>
      <c r="D1320" s="20" t="s">
        <v>750</v>
      </c>
      <c r="E1320" s="20" t="s">
        <v>751</v>
      </c>
      <c r="F1320" s="19">
        <v>1</v>
      </c>
      <c r="G1320" s="19">
        <v>10032</v>
      </c>
      <c r="H1320" s="19">
        <v>0</v>
      </c>
      <c r="I1320" s="19">
        <v>0</v>
      </c>
      <c r="J1320" s="19">
        <v>1</v>
      </c>
      <c r="K1320" s="19">
        <v>0</v>
      </c>
      <c r="L1320" s="21">
        <v>0</v>
      </c>
      <c r="M1320" s="19">
        <v>0</v>
      </c>
      <c r="N1320" s="19">
        <v>0</v>
      </c>
      <c r="O1320" s="19">
        <v>1</v>
      </c>
      <c r="P1320" s="19">
        <v>0</v>
      </c>
      <c r="Q1320" s="19">
        <v>0</v>
      </c>
      <c r="R1320" s="19">
        <v>0</v>
      </c>
      <c r="S1320" s="19">
        <v>0</v>
      </c>
      <c r="T1320" s="19">
        <v>0</v>
      </c>
      <c r="U1320" s="19">
        <v>1</v>
      </c>
      <c r="V1320" s="19">
        <v>2</v>
      </c>
      <c r="W1320" s="19">
        <v>0</v>
      </c>
      <c r="X1320" s="19">
        <v>3.5</v>
      </c>
      <c r="Y1320" s="19">
        <v>0</v>
      </c>
      <c r="Z1320" s="19">
        <v>1500</v>
      </c>
      <c r="AA1320" s="19">
        <v>0</v>
      </c>
      <c r="AB1320" s="19">
        <v>0</v>
      </c>
      <c r="AC1320" s="19">
        <v>0</v>
      </c>
      <c r="AD1320" s="19">
        <v>0</v>
      </c>
      <c r="AE1320" s="19">
        <v>0</v>
      </c>
      <c r="AF1320" s="19">
        <v>7</v>
      </c>
      <c r="AG1320" s="19">
        <v>0</v>
      </c>
      <c r="AH1320" s="19">
        <v>0</v>
      </c>
      <c r="AI1320" s="19">
        <v>7</v>
      </c>
      <c r="AJ1320" s="19">
        <v>0</v>
      </c>
      <c r="AK1320" s="19">
        <v>0</v>
      </c>
      <c r="AL1320" s="19">
        <v>6</v>
      </c>
      <c r="AM1320" s="19">
        <v>0</v>
      </c>
      <c r="AN1320" s="19">
        <v>0</v>
      </c>
      <c r="AO1320" s="19">
        <v>0</v>
      </c>
      <c r="AP1320" s="19">
        <v>0.5</v>
      </c>
      <c r="AQ1320" s="19">
        <v>1000</v>
      </c>
      <c r="AR1320" s="19">
        <v>0</v>
      </c>
      <c r="AS1320" s="19">
        <v>0</v>
      </c>
      <c r="AT1320" s="19">
        <v>0</v>
      </c>
      <c r="AU1320" s="19" t="s">
        <v>204</v>
      </c>
      <c r="AV1320" s="19"/>
      <c r="AW1320" s="20" t="s">
        <v>262</v>
      </c>
      <c r="AX1320" s="19" t="s">
        <v>1802</v>
      </c>
      <c r="AY1320" s="19" t="s">
        <v>204</v>
      </c>
      <c r="AZ1320" s="19" t="s">
        <v>2731</v>
      </c>
      <c r="BA1320" s="20" t="s">
        <v>206</v>
      </c>
      <c r="BB1320" s="19">
        <v>0</v>
      </c>
      <c r="BC1320" s="19" t="s">
        <v>2745</v>
      </c>
      <c r="BD1320" s="19">
        <v>0</v>
      </c>
      <c r="BE1320" s="22" t="s">
        <v>2746</v>
      </c>
      <c r="BF1320" s="22" t="s">
        <v>2747</v>
      </c>
      <c r="BG1320" s="19">
        <v>0</v>
      </c>
      <c r="BH1320" s="19">
        <v>0</v>
      </c>
      <c r="BI1320" s="19">
        <v>0</v>
      </c>
      <c r="BJ1320" s="19">
        <v>0</v>
      </c>
      <c r="BK1320" s="19">
        <v>0</v>
      </c>
      <c r="BL1320" s="19">
        <v>0</v>
      </c>
      <c r="BM1320" s="187">
        <v>0</v>
      </c>
      <c r="BN1320" s="19">
        <v>0</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239">
        <v>62000007</v>
      </c>
      <c r="D1321" s="238" t="s">
        <v>387</v>
      </c>
      <c r="E1321" s="238" t="s">
        <v>388</v>
      </c>
      <c r="F1321" s="239">
        <v>1</v>
      </c>
      <c r="G1321" s="239">
        <v>10041</v>
      </c>
      <c r="H1321" s="239">
        <v>0</v>
      </c>
      <c r="I1321" s="239">
        <v>0</v>
      </c>
      <c r="J1321" s="239">
        <v>1</v>
      </c>
      <c r="K1321" s="239">
        <v>0</v>
      </c>
      <c r="L1321" s="239">
        <v>0</v>
      </c>
      <c r="M1321" s="239">
        <v>0</v>
      </c>
      <c r="N1321" s="239">
        <v>0</v>
      </c>
      <c r="O1321" s="239">
        <v>2</v>
      </c>
      <c r="P1321" s="239">
        <v>1</v>
      </c>
      <c r="Q1321" s="239">
        <v>0.2</v>
      </c>
      <c r="R1321" s="239">
        <v>0</v>
      </c>
      <c r="S1321" s="239">
        <v>0</v>
      </c>
      <c r="T1321" s="239">
        <v>0</v>
      </c>
      <c r="U1321" s="239">
        <v>1</v>
      </c>
      <c r="V1321" s="239">
        <v>2</v>
      </c>
      <c r="W1321" s="239">
        <v>0</v>
      </c>
      <c r="X1321" s="239">
        <v>0</v>
      </c>
      <c r="Y1321" s="19">
        <v>0</v>
      </c>
      <c r="Z1321" s="239">
        <v>0</v>
      </c>
      <c r="AA1321" s="239">
        <v>0</v>
      </c>
      <c r="AB1321" s="239">
        <v>0</v>
      </c>
      <c r="AC1321" s="239">
        <v>0</v>
      </c>
      <c r="AD1321" s="239">
        <v>1</v>
      </c>
      <c r="AE1321" s="239">
        <v>0</v>
      </c>
      <c r="AF1321" s="239">
        <v>1</v>
      </c>
      <c r="AG1321" s="239">
        <v>0</v>
      </c>
      <c r="AH1321" s="239">
        <v>0</v>
      </c>
      <c r="AI1321" s="239">
        <v>2</v>
      </c>
      <c r="AJ1321" s="239">
        <v>0</v>
      </c>
      <c r="AK1321" s="239">
        <v>0</v>
      </c>
      <c r="AL1321" s="239">
        <v>0</v>
      </c>
      <c r="AM1321" s="239">
        <v>0</v>
      </c>
      <c r="AN1321" s="239">
        <v>0</v>
      </c>
      <c r="AO1321" s="239">
        <v>0</v>
      </c>
      <c r="AP1321" s="239">
        <v>0</v>
      </c>
      <c r="AQ1321" s="239">
        <v>1000</v>
      </c>
      <c r="AR1321" s="239">
        <v>0</v>
      </c>
      <c r="AS1321" s="239">
        <v>0</v>
      </c>
      <c r="AT1321" s="239">
        <v>92000005</v>
      </c>
      <c r="AU1321" s="239" t="s">
        <v>204</v>
      </c>
      <c r="AV1321" s="239"/>
      <c r="AW1321" s="238" t="s">
        <v>205</v>
      </c>
      <c r="AX1321" s="239" t="s">
        <v>1582</v>
      </c>
      <c r="AY1321" s="239">
        <v>0</v>
      </c>
      <c r="AZ1321" s="239">
        <v>40000003</v>
      </c>
      <c r="BA1321" s="238" t="s">
        <v>206</v>
      </c>
      <c r="BB1321" s="239" t="s">
        <v>204</v>
      </c>
      <c r="BC1321" s="239">
        <v>0</v>
      </c>
      <c r="BD1321" s="239">
        <v>0</v>
      </c>
      <c r="BE1321" s="240" t="s">
        <v>2748</v>
      </c>
      <c r="BF1321" s="240" t="s">
        <v>2749</v>
      </c>
      <c r="BG1321" s="239">
        <v>0</v>
      </c>
      <c r="BH1321" s="239">
        <v>0</v>
      </c>
      <c r="BI1321" s="239">
        <v>0</v>
      </c>
      <c r="BJ1321" s="239">
        <v>0</v>
      </c>
      <c r="BK1321" s="239">
        <v>0</v>
      </c>
      <c r="BL1321" s="239">
        <v>0</v>
      </c>
      <c r="BM1321" s="241">
        <v>0</v>
      </c>
      <c r="BN1321" s="23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73">
        <v>62000008</v>
      </c>
      <c r="D1322" s="131" t="s">
        <v>2750</v>
      </c>
      <c r="E1322" s="131" t="s">
        <v>2751</v>
      </c>
      <c r="F1322" s="73">
        <v>1</v>
      </c>
      <c r="G1322" s="73">
        <v>10042</v>
      </c>
      <c r="H1322" s="73">
        <v>0</v>
      </c>
      <c r="I1322" s="73">
        <v>0</v>
      </c>
      <c r="J1322" s="73">
        <v>1</v>
      </c>
      <c r="K1322" s="73">
        <v>0</v>
      </c>
      <c r="L1322" s="72">
        <v>0</v>
      </c>
      <c r="M1322" s="73">
        <v>0</v>
      </c>
      <c r="N1322" s="73">
        <v>0</v>
      </c>
      <c r="O1322" s="73">
        <v>2</v>
      </c>
      <c r="P1322" s="73">
        <v>2</v>
      </c>
      <c r="Q1322" s="73">
        <v>0.3</v>
      </c>
      <c r="R1322" s="73">
        <v>0</v>
      </c>
      <c r="S1322" s="73">
        <v>0</v>
      </c>
      <c r="T1322" s="73">
        <v>0</v>
      </c>
      <c r="U1322" s="73">
        <v>1</v>
      </c>
      <c r="V1322" s="73">
        <v>2</v>
      </c>
      <c r="W1322" s="73">
        <v>0</v>
      </c>
      <c r="X1322" s="73">
        <v>0</v>
      </c>
      <c r="Y1322" s="19">
        <v>0</v>
      </c>
      <c r="Z1322" s="73">
        <v>0</v>
      </c>
      <c r="AA1322" s="73">
        <v>0</v>
      </c>
      <c r="AB1322" s="73">
        <v>0</v>
      </c>
      <c r="AC1322" s="73">
        <v>0</v>
      </c>
      <c r="AD1322" s="73">
        <v>1</v>
      </c>
      <c r="AE1322" s="73">
        <v>0</v>
      </c>
      <c r="AF1322" s="73">
        <v>120</v>
      </c>
      <c r="AG1322" s="73">
        <v>0</v>
      </c>
      <c r="AH1322" s="73">
        <v>0</v>
      </c>
      <c r="AI1322" s="73">
        <v>2</v>
      </c>
      <c r="AJ1322" s="73">
        <v>0</v>
      </c>
      <c r="AK1322" s="19">
        <v>0</v>
      </c>
      <c r="AL1322" s="73">
        <v>0</v>
      </c>
      <c r="AM1322" s="73">
        <v>0</v>
      </c>
      <c r="AN1322" s="73">
        <v>0</v>
      </c>
      <c r="AO1322" s="73">
        <v>0</v>
      </c>
      <c r="AP1322" s="73">
        <v>0</v>
      </c>
      <c r="AQ1322" s="73">
        <v>1000</v>
      </c>
      <c r="AR1322" s="73">
        <v>0.5</v>
      </c>
      <c r="AS1322" s="73">
        <v>0</v>
      </c>
      <c r="AT1322" s="330" t="s">
        <v>2752</v>
      </c>
      <c r="AU1322" s="73" t="s">
        <v>204</v>
      </c>
      <c r="AV1322" s="73"/>
      <c r="AW1322" s="131" t="s">
        <v>205</v>
      </c>
      <c r="AX1322" s="73" t="s">
        <v>1582</v>
      </c>
      <c r="AY1322" s="73">
        <v>0</v>
      </c>
      <c r="AZ1322" s="74">
        <v>21030020</v>
      </c>
      <c r="BA1322" s="131" t="s">
        <v>206</v>
      </c>
      <c r="BB1322" s="131" t="s">
        <v>204</v>
      </c>
      <c r="BC1322" s="73">
        <v>0</v>
      </c>
      <c r="BD1322" s="73">
        <v>0</v>
      </c>
      <c r="BE1322" s="242" t="s">
        <v>2753</v>
      </c>
      <c r="BF1322" s="242" t="s">
        <v>2754</v>
      </c>
      <c r="BG1322" s="73">
        <v>0</v>
      </c>
      <c r="BH1322" s="73">
        <v>0</v>
      </c>
      <c r="BI1322" s="73">
        <v>0</v>
      </c>
      <c r="BJ1322" s="73">
        <v>0</v>
      </c>
      <c r="BK1322" s="73">
        <v>0</v>
      </c>
      <c r="BL1322" s="73">
        <v>0</v>
      </c>
      <c r="BM1322" s="133">
        <v>0</v>
      </c>
      <c r="BN1322" s="19">
        <v>1</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62000009</v>
      </c>
      <c r="D1323" s="20" t="s">
        <v>2755</v>
      </c>
      <c r="E1323" s="20" t="s">
        <v>2756</v>
      </c>
      <c r="F1323" s="19">
        <v>1</v>
      </c>
      <c r="G1323" s="19">
        <v>10051</v>
      </c>
      <c r="H1323" s="19">
        <v>0</v>
      </c>
      <c r="I1323" s="19">
        <v>0</v>
      </c>
      <c r="J1323" s="19">
        <v>1</v>
      </c>
      <c r="K1323" s="19">
        <v>0</v>
      </c>
      <c r="L1323" s="21">
        <v>0</v>
      </c>
      <c r="M1323" s="19">
        <v>0</v>
      </c>
      <c r="N1323" s="19">
        <v>0</v>
      </c>
      <c r="O1323" s="19">
        <v>2</v>
      </c>
      <c r="P1323" s="19">
        <v>2</v>
      </c>
      <c r="Q1323" s="19">
        <v>0.1</v>
      </c>
      <c r="R1323" s="19">
        <v>0</v>
      </c>
      <c r="S1323" s="19">
        <v>0</v>
      </c>
      <c r="T1323" s="19">
        <v>0</v>
      </c>
      <c r="U1323" s="19">
        <v>1</v>
      </c>
      <c r="V1323" s="19">
        <v>2</v>
      </c>
      <c r="W1323" s="19">
        <v>0</v>
      </c>
      <c r="X1323" s="19">
        <v>0</v>
      </c>
      <c r="Y1323" s="19">
        <v>0</v>
      </c>
      <c r="Z1323" s="19">
        <v>0</v>
      </c>
      <c r="AA1323" s="19">
        <v>0</v>
      </c>
      <c r="AB1323" s="19">
        <v>0</v>
      </c>
      <c r="AC1323" s="19">
        <v>0</v>
      </c>
      <c r="AD1323" s="19">
        <v>0</v>
      </c>
      <c r="AE1323" s="19">
        <v>0</v>
      </c>
      <c r="AF1323" s="19">
        <v>120</v>
      </c>
      <c r="AG1323" s="19">
        <v>0</v>
      </c>
      <c r="AH1323" s="19">
        <v>0</v>
      </c>
      <c r="AI1323" s="19">
        <v>2</v>
      </c>
      <c r="AJ1323" s="19">
        <v>0</v>
      </c>
      <c r="AK1323" s="19">
        <v>0</v>
      </c>
      <c r="AL1323" s="19">
        <v>0</v>
      </c>
      <c r="AM1323" s="19">
        <v>0</v>
      </c>
      <c r="AN1323" s="19">
        <v>0</v>
      </c>
      <c r="AO1323" s="19">
        <v>0</v>
      </c>
      <c r="AP1323" s="19">
        <v>0</v>
      </c>
      <c r="AQ1323" s="19">
        <v>1000</v>
      </c>
      <c r="AR1323" s="19">
        <v>0</v>
      </c>
      <c r="AS1323" s="19">
        <v>0</v>
      </c>
      <c r="AT1323" s="329" t="s">
        <v>2757</v>
      </c>
      <c r="AU1323" s="19" t="s">
        <v>204</v>
      </c>
      <c r="AV1323" s="19"/>
      <c r="AW1323" s="20" t="s">
        <v>205</v>
      </c>
      <c r="AX1323" s="19" t="s">
        <v>354</v>
      </c>
      <c r="AY1323" s="19">
        <v>0</v>
      </c>
      <c r="AZ1323" s="19">
        <v>22000040</v>
      </c>
      <c r="BA1323" s="20" t="s">
        <v>206</v>
      </c>
      <c r="BB1323" s="20" t="s">
        <v>204</v>
      </c>
      <c r="BC1323" s="19">
        <v>0</v>
      </c>
      <c r="BD1323" s="19">
        <v>0</v>
      </c>
      <c r="BE1323" s="22" t="s">
        <v>2758</v>
      </c>
      <c r="BF1323" s="22" t="s">
        <v>2759</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62000010</v>
      </c>
      <c r="D1324" s="20" t="s">
        <v>2760</v>
      </c>
      <c r="E1324" s="20" t="s">
        <v>2761</v>
      </c>
      <c r="F1324" s="19">
        <v>1</v>
      </c>
      <c r="G1324" s="19">
        <v>10052</v>
      </c>
      <c r="H1324" s="19">
        <v>0</v>
      </c>
      <c r="I1324" s="19">
        <v>0</v>
      </c>
      <c r="J1324" s="19">
        <v>1</v>
      </c>
      <c r="K1324" s="19">
        <v>0</v>
      </c>
      <c r="L1324" s="21">
        <v>0</v>
      </c>
      <c r="M1324" s="19">
        <v>0</v>
      </c>
      <c r="N1324" s="19">
        <v>0</v>
      </c>
      <c r="O1324" s="19">
        <v>1</v>
      </c>
      <c r="P1324" s="19">
        <v>0</v>
      </c>
      <c r="Q1324" s="19">
        <v>0</v>
      </c>
      <c r="R1324" s="19">
        <v>0</v>
      </c>
      <c r="S1324" s="19">
        <v>0</v>
      </c>
      <c r="T1324" s="19">
        <v>0</v>
      </c>
      <c r="U1324" s="19">
        <v>1</v>
      </c>
      <c r="V1324" s="19">
        <v>2</v>
      </c>
      <c r="W1324" s="19">
        <v>0</v>
      </c>
      <c r="X1324" s="19">
        <v>1.5</v>
      </c>
      <c r="Y1324" s="19">
        <v>0</v>
      </c>
      <c r="Z1324" s="19">
        <v>0</v>
      </c>
      <c r="AA1324" s="19">
        <v>0</v>
      </c>
      <c r="AB1324" s="19">
        <v>0</v>
      </c>
      <c r="AC1324" s="19">
        <v>0</v>
      </c>
      <c r="AD1324" s="19">
        <v>0</v>
      </c>
      <c r="AE1324" s="19">
        <v>0</v>
      </c>
      <c r="AF1324" s="19">
        <v>18</v>
      </c>
      <c r="AG1324" s="19">
        <v>1</v>
      </c>
      <c r="AH1324" s="19">
        <v>3</v>
      </c>
      <c r="AI1324" s="19">
        <v>2</v>
      </c>
      <c r="AJ1324" s="19">
        <v>1</v>
      </c>
      <c r="AK1324" s="19">
        <v>0</v>
      </c>
      <c r="AL1324" s="19">
        <v>4</v>
      </c>
      <c r="AM1324" s="19">
        <v>0</v>
      </c>
      <c r="AN1324" s="19">
        <v>0</v>
      </c>
      <c r="AO1324" s="19">
        <v>0</v>
      </c>
      <c r="AP1324" s="19">
        <v>0.5</v>
      </c>
      <c r="AQ1324" s="19">
        <v>6000</v>
      </c>
      <c r="AR1324" s="19">
        <v>0.5</v>
      </c>
      <c r="AS1324" s="19">
        <v>0</v>
      </c>
      <c r="AT1324" s="19">
        <v>0</v>
      </c>
      <c r="AU1324" s="19" t="s">
        <v>204</v>
      </c>
      <c r="AV1324" s="19"/>
      <c r="AW1324" s="20" t="s">
        <v>1740</v>
      </c>
      <c r="AX1324" s="19" t="s">
        <v>551</v>
      </c>
      <c r="AY1324" s="19">
        <v>10001006</v>
      </c>
      <c r="AZ1324" s="19">
        <v>22000020</v>
      </c>
      <c r="BA1324" s="20" t="s">
        <v>321</v>
      </c>
      <c r="BB1324" s="20" t="s">
        <v>377</v>
      </c>
      <c r="BC1324" s="19">
        <v>0</v>
      </c>
      <c r="BD1324" s="19">
        <v>0</v>
      </c>
      <c r="BE1324" s="22" t="s">
        <v>2762</v>
      </c>
      <c r="BF1324" s="22" t="s">
        <v>2763</v>
      </c>
      <c r="BG1324" s="19">
        <v>0</v>
      </c>
      <c r="BH1324" s="19">
        <v>0</v>
      </c>
      <c r="BI1324" s="19">
        <v>0</v>
      </c>
      <c r="BJ1324" s="19">
        <v>0</v>
      </c>
      <c r="BK1324" s="19">
        <v>0</v>
      </c>
      <c r="BL1324" s="19">
        <v>0</v>
      </c>
      <c r="BM1324" s="187">
        <v>0</v>
      </c>
      <c r="BN1324" s="19">
        <v>0</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62000011</v>
      </c>
      <c r="D1325" s="20" t="s">
        <v>2764</v>
      </c>
      <c r="E1325" s="20" t="s">
        <v>2765</v>
      </c>
      <c r="F1325" s="19">
        <v>1</v>
      </c>
      <c r="G1325" s="19">
        <v>10061</v>
      </c>
      <c r="H1325" s="19">
        <v>0</v>
      </c>
      <c r="I1325" s="19">
        <v>0</v>
      </c>
      <c r="J1325" s="19">
        <v>1</v>
      </c>
      <c r="K1325" s="19">
        <v>0</v>
      </c>
      <c r="L1325" s="21">
        <v>0</v>
      </c>
      <c r="M1325" s="19">
        <v>0</v>
      </c>
      <c r="N1325" s="19">
        <v>0</v>
      </c>
      <c r="O1325" s="19">
        <v>2</v>
      </c>
      <c r="P1325" s="19">
        <v>5</v>
      </c>
      <c r="Q1325" s="19">
        <v>1</v>
      </c>
      <c r="R1325" s="19">
        <v>0</v>
      </c>
      <c r="S1325" s="19">
        <v>0</v>
      </c>
      <c r="T1325" s="19">
        <v>0</v>
      </c>
      <c r="U1325" s="19">
        <v>1</v>
      </c>
      <c r="V1325" s="19">
        <v>2</v>
      </c>
      <c r="W1325" s="19">
        <v>0</v>
      </c>
      <c r="X1325" s="19">
        <v>1.5</v>
      </c>
      <c r="Y1325" s="19">
        <v>0</v>
      </c>
      <c r="Z1325" s="19">
        <v>0</v>
      </c>
      <c r="AA1325" s="19">
        <v>0</v>
      </c>
      <c r="AB1325" s="19">
        <v>0</v>
      </c>
      <c r="AC1325" s="19">
        <v>0</v>
      </c>
      <c r="AD1325" s="19">
        <v>1</v>
      </c>
      <c r="AE1325" s="19">
        <v>0</v>
      </c>
      <c r="AF1325" s="19">
        <v>1</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0</v>
      </c>
      <c r="AV1325" s="19"/>
      <c r="AW1325" s="20" t="s">
        <v>205</v>
      </c>
      <c r="AX1325" s="19">
        <v>0</v>
      </c>
      <c r="AY1325" s="19">
        <v>0</v>
      </c>
      <c r="AZ1325" s="19">
        <v>0</v>
      </c>
      <c r="BA1325" s="20" t="s">
        <v>206</v>
      </c>
      <c r="BB1325" s="20">
        <v>0</v>
      </c>
      <c r="BC1325" s="19">
        <v>0</v>
      </c>
      <c r="BD1325" s="19">
        <v>0</v>
      </c>
      <c r="BE1325" s="22" t="s">
        <v>2766</v>
      </c>
      <c r="BF1325" s="22" t="s">
        <v>2767</v>
      </c>
      <c r="BG1325" s="19">
        <v>0</v>
      </c>
      <c r="BH1325" s="19">
        <v>0</v>
      </c>
      <c r="BI1325" s="19">
        <v>0</v>
      </c>
      <c r="BJ1325" s="19">
        <v>0</v>
      </c>
      <c r="BK1325" s="19">
        <v>0</v>
      </c>
      <c r="BL1325" s="19">
        <v>0</v>
      </c>
      <c r="BM1325" s="187">
        <v>0</v>
      </c>
      <c r="BN1325" s="19">
        <v>1</v>
      </c>
      <c r="BO1325" s="19">
        <v>0</v>
      </c>
      <c r="BP1325" s="19">
        <v>0</v>
      </c>
      <c r="BQ1325" s="19">
        <v>0</v>
      </c>
      <c r="BR1325" s="19">
        <v>0</v>
      </c>
      <c r="BS1325" s="19">
        <v>0</v>
      </c>
      <c r="BT1325" s="19">
        <v>0</v>
      </c>
      <c r="BU1325" s="23">
        <v>0</v>
      </c>
      <c r="BV1325" s="23"/>
      <c r="BW1325" s="23"/>
      <c r="BX1325" s="23"/>
      <c r="BY1325" s="23"/>
      <c r="BZ1325" s="23"/>
    </row>
    <row r="1326" spans="3:78" ht="20.100000000000001" customHeight="1">
      <c r="C1326" s="19">
        <v>62000012</v>
      </c>
      <c r="D1326" s="20" t="s">
        <v>2768</v>
      </c>
      <c r="E1326" s="20" t="s">
        <v>2769</v>
      </c>
      <c r="F1326" s="19">
        <v>1</v>
      </c>
      <c r="G1326" s="19">
        <v>20063</v>
      </c>
      <c r="H1326" s="19">
        <v>0</v>
      </c>
      <c r="I1326" s="19">
        <v>0</v>
      </c>
      <c r="J1326" s="19">
        <v>1</v>
      </c>
      <c r="K1326" s="19">
        <v>0</v>
      </c>
      <c r="L1326" s="21">
        <v>0</v>
      </c>
      <c r="M1326" s="19">
        <v>0</v>
      </c>
      <c r="N1326" s="19">
        <v>0</v>
      </c>
      <c r="O1326" s="19">
        <v>2</v>
      </c>
      <c r="P1326" s="19">
        <v>3</v>
      </c>
      <c r="Q1326" s="19">
        <v>0.2</v>
      </c>
      <c r="R1326" s="19">
        <v>0</v>
      </c>
      <c r="S1326" s="19">
        <v>0</v>
      </c>
      <c r="T1326" s="19">
        <v>0</v>
      </c>
      <c r="U1326" s="19">
        <v>1</v>
      </c>
      <c r="V1326" s="19">
        <v>2</v>
      </c>
      <c r="W1326" s="19">
        <v>0</v>
      </c>
      <c r="X1326" s="19">
        <v>0</v>
      </c>
      <c r="Y1326" s="19">
        <v>0</v>
      </c>
      <c r="Z1326" s="19">
        <v>0</v>
      </c>
      <c r="AA1326" s="19">
        <v>0</v>
      </c>
      <c r="AB1326" s="19">
        <v>0</v>
      </c>
      <c r="AC1326" s="19">
        <v>0</v>
      </c>
      <c r="AD1326" s="19">
        <v>1</v>
      </c>
      <c r="AE1326" s="19">
        <v>0</v>
      </c>
      <c r="AF1326" s="19">
        <v>10</v>
      </c>
      <c r="AG1326" s="19">
        <v>0</v>
      </c>
      <c r="AH1326" s="19">
        <v>0</v>
      </c>
      <c r="AI1326" s="19">
        <v>7</v>
      </c>
      <c r="AJ1326" s="19">
        <v>0</v>
      </c>
      <c r="AK1326" s="19">
        <v>0</v>
      </c>
      <c r="AL1326" s="19">
        <v>3</v>
      </c>
      <c r="AM1326" s="19">
        <v>0</v>
      </c>
      <c r="AN1326" s="19">
        <v>0</v>
      </c>
      <c r="AO1326" s="19">
        <v>0</v>
      </c>
      <c r="AP1326" s="19">
        <v>0</v>
      </c>
      <c r="AQ1326" s="19">
        <v>3000</v>
      </c>
      <c r="AR1326" s="19">
        <v>0.5</v>
      </c>
      <c r="AS1326" s="19">
        <v>0</v>
      </c>
      <c r="AT1326" s="19">
        <v>0</v>
      </c>
      <c r="AU1326" s="19">
        <v>90000008</v>
      </c>
      <c r="AV1326" s="19"/>
      <c r="AW1326" s="20" t="s">
        <v>205</v>
      </c>
      <c r="AX1326" s="19">
        <v>0</v>
      </c>
      <c r="AY1326" s="19">
        <v>0</v>
      </c>
      <c r="AZ1326" s="19">
        <v>0</v>
      </c>
      <c r="BA1326" s="20" t="s">
        <v>206</v>
      </c>
      <c r="BB1326" s="20">
        <v>0</v>
      </c>
      <c r="BC1326" s="19">
        <v>0</v>
      </c>
      <c r="BD1326" s="19">
        <v>0</v>
      </c>
      <c r="BE1326" s="22" t="s">
        <v>2770</v>
      </c>
      <c r="BF1326" s="22" t="s">
        <v>2771</v>
      </c>
      <c r="BG1326" s="19">
        <v>0</v>
      </c>
      <c r="BH1326" s="19">
        <v>0</v>
      </c>
      <c r="BI1326" s="19">
        <v>0</v>
      </c>
      <c r="BJ1326" s="19">
        <v>0</v>
      </c>
      <c r="BK1326" s="19">
        <v>0</v>
      </c>
      <c r="BL1326" s="19">
        <v>0</v>
      </c>
      <c r="BM1326" s="187">
        <v>0</v>
      </c>
      <c r="BN1326" s="19">
        <v>0</v>
      </c>
      <c r="BO1326" s="19">
        <v>0</v>
      </c>
      <c r="BP1326" s="19">
        <v>0</v>
      </c>
      <c r="BQ1326" s="19">
        <v>0</v>
      </c>
      <c r="BR1326" s="19">
        <v>0</v>
      </c>
      <c r="BS1326" s="19">
        <v>0</v>
      </c>
      <c r="BT1326" s="19">
        <v>0</v>
      </c>
      <c r="BU1326" s="23">
        <v>0</v>
      </c>
      <c r="BV1326" s="23"/>
      <c r="BW1326" s="23"/>
      <c r="BX1326" s="23"/>
      <c r="BY1326" s="23"/>
      <c r="BZ1326" s="23"/>
    </row>
    <row r="1327" spans="3:78" ht="19.5" customHeight="1">
      <c r="C1327" s="19">
        <v>62000013</v>
      </c>
      <c r="D1327" s="35" t="s">
        <v>2508</v>
      </c>
      <c r="E1327" s="35" t="s">
        <v>1712</v>
      </c>
      <c r="F1327" s="21">
        <v>1</v>
      </c>
      <c r="G1327" s="19">
        <v>65021101</v>
      </c>
      <c r="H1327" s="172">
        <v>0</v>
      </c>
      <c r="I1327" s="31">
        <v>0</v>
      </c>
      <c r="J1327" s="21">
        <v>1</v>
      </c>
      <c r="K1327" s="21">
        <v>0</v>
      </c>
      <c r="L1327" s="21">
        <v>0</v>
      </c>
      <c r="M1327" s="32">
        <v>0</v>
      </c>
      <c r="N1327" s="32">
        <v>0</v>
      </c>
      <c r="O1327" s="32">
        <v>2</v>
      </c>
      <c r="P1327" s="32">
        <v>1</v>
      </c>
      <c r="Q1327" s="32">
        <v>0.15</v>
      </c>
      <c r="R1327" s="32">
        <v>0</v>
      </c>
      <c r="S1327" s="19">
        <v>0</v>
      </c>
      <c r="T1327" s="31">
        <v>0</v>
      </c>
      <c r="U1327" s="21">
        <v>1</v>
      </c>
      <c r="V1327" s="32">
        <v>2</v>
      </c>
      <c r="W1327" s="32">
        <v>0</v>
      </c>
      <c r="X1327" s="32">
        <v>3</v>
      </c>
      <c r="Y1327" s="19">
        <v>0</v>
      </c>
      <c r="Z1327" s="32">
        <v>1500</v>
      </c>
      <c r="AA1327" s="32">
        <v>0</v>
      </c>
      <c r="AB1327" s="32">
        <v>0</v>
      </c>
      <c r="AC1327" s="32">
        <v>0</v>
      </c>
      <c r="AD1327" s="32">
        <v>0</v>
      </c>
      <c r="AE1327" s="32">
        <v>0</v>
      </c>
      <c r="AF1327" s="32">
        <v>10</v>
      </c>
      <c r="AG1327" s="32">
        <v>2</v>
      </c>
      <c r="AH1327" s="32" t="s">
        <v>807</v>
      </c>
      <c r="AI1327" s="19">
        <v>2</v>
      </c>
      <c r="AJ1327" s="19">
        <v>3</v>
      </c>
      <c r="AK1327" s="19">
        <v>0</v>
      </c>
      <c r="AL1327" s="19">
        <v>2</v>
      </c>
      <c r="AM1327" s="32">
        <v>0</v>
      </c>
      <c r="AN1327" s="32">
        <v>0</v>
      </c>
      <c r="AO1327" s="32">
        <v>0</v>
      </c>
      <c r="AP1327" s="32">
        <v>0.25</v>
      </c>
      <c r="AQ1327" s="32">
        <v>3000</v>
      </c>
      <c r="AR1327" s="32">
        <v>0.1</v>
      </c>
      <c r="AS1327" s="32">
        <v>0</v>
      </c>
      <c r="AT1327" s="19">
        <v>0</v>
      </c>
      <c r="AU1327" s="339" t="s">
        <v>2510</v>
      </c>
      <c r="AV1327" s="32"/>
      <c r="AW1327" s="35" t="s">
        <v>262</v>
      </c>
      <c r="AX1327" s="32" t="s">
        <v>551</v>
      </c>
      <c r="AY1327" s="32">
        <v>10001007</v>
      </c>
      <c r="AZ1327" s="32">
        <v>21401010</v>
      </c>
      <c r="BA1327" s="35" t="s">
        <v>206</v>
      </c>
      <c r="BB1327" s="35">
        <v>0</v>
      </c>
      <c r="BC1327" s="31">
        <v>0</v>
      </c>
      <c r="BD1327" s="31">
        <v>0</v>
      </c>
      <c r="BE1327" s="185" t="str">
        <f t="shared" ref="BE1327" si="144">"立即对前方范围内的敌人造成"&amp;X1327*100&amp;"%攻击伤害+"&amp;Z1327&amp;"点固定伤害,并将其置空1秒"</f>
        <v>立即对前方范围内的敌人造成300%攻击伤害+1500点固定伤害,并将其置空1秒</v>
      </c>
      <c r="BF1327" s="185" t="s">
        <v>1715</v>
      </c>
      <c r="BG1327" s="32">
        <v>0</v>
      </c>
      <c r="BH1327" s="21">
        <v>0</v>
      </c>
      <c r="BI1327" s="32">
        <v>0</v>
      </c>
      <c r="BJ1327" s="32">
        <v>0</v>
      </c>
      <c r="BK1327" s="32">
        <v>0</v>
      </c>
      <c r="BL1327" s="32">
        <v>0</v>
      </c>
      <c r="BM1327" s="25">
        <v>0</v>
      </c>
      <c r="BN1327" s="19">
        <v>0</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62000031</v>
      </c>
      <c r="D1328" s="20" t="s">
        <v>2772</v>
      </c>
      <c r="E1328" s="20" t="s">
        <v>2773</v>
      </c>
      <c r="F1328" s="19">
        <v>1</v>
      </c>
      <c r="G1328" s="19">
        <v>30001</v>
      </c>
      <c r="H1328" s="19">
        <v>0</v>
      </c>
      <c r="I1328" s="19">
        <v>0</v>
      </c>
      <c r="J1328" s="19">
        <v>1</v>
      </c>
      <c r="K1328" s="19">
        <v>0</v>
      </c>
      <c r="L1328" s="21">
        <v>0</v>
      </c>
      <c r="M1328" s="19">
        <v>0</v>
      </c>
      <c r="N1328" s="19">
        <v>0</v>
      </c>
      <c r="O1328" s="19">
        <v>2</v>
      </c>
      <c r="P1328" s="19">
        <v>10</v>
      </c>
      <c r="Q1328" s="19">
        <v>0.05</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3</v>
      </c>
      <c r="AG1328" s="19">
        <v>0</v>
      </c>
      <c r="AH1328" s="19">
        <v>0</v>
      </c>
      <c r="AI1328" s="19">
        <v>2</v>
      </c>
      <c r="AJ1328" s="19">
        <v>0</v>
      </c>
      <c r="AK1328" s="19">
        <v>0</v>
      </c>
      <c r="AL1328" s="19">
        <v>0</v>
      </c>
      <c r="AM1328" s="19">
        <v>0</v>
      </c>
      <c r="AN1328" s="19">
        <v>0</v>
      </c>
      <c r="AO1328" s="19">
        <v>0</v>
      </c>
      <c r="AP1328" s="19">
        <v>0</v>
      </c>
      <c r="AQ1328" s="19">
        <v>1000</v>
      </c>
      <c r="AR1328" s="19">
        <v>0</v>
      </c>
      <c r="AS1328" s="19">
        <v>0</v>
      </c>
      <c r="AT1328" s="19">
        <v>92000021</v>
      </c>
      <c r="AU1328" s="19" t="s">
        <v>204</v>
      </c>
      <c r="AV1328" s="19"/>
      <c r="AW1328" s="20" t="s">
        <v>205</v>
      </c>
      <c r="AX1328" s="19" t="s">
        <v>1582</v>
      </c>
      <c r="AY1328" s="19">
        <v>0</v>
      </c>
      <c r="AZ1328" s="19">
        <v>40000003</v>
      </c>
      <c r="BA1328" s="20" t="s">
        <v>206</v>
      </c>
      <c r="BB1328" s="20" t="s">
        <v>204</v>
      </c>
      <c r="BC1328" s="19">
        <v>0</v>
      </c>
      <c r="BD1328" s="19">
        <v>0</v>
      </c>
      <c r="BE1328" s="22" t="s">
        <v>2774</v>
      </c>
      <c r="BF1328" s="22" t="s">
        <v>2775</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9">
        <v>62000032</v>
      </c>
      <c r="D1329" s="20" t="s">
        <v>2776</v>
      </c>
      <c r="E1329" s="20" t="s">
        <v>2777</v>
      </c>
      <c r="F1329" s="19">
        <v>1</v>
      </c>
      <c r="G1329" s="19">
        <v>30002</v>
      </c>
      <c r="H1329" s="19">
        <v>0</v>
      </c>
      <c r="I1329" s="19">
        <v>0</v>
      </c>
      <c r="J1329" s="19">
        <v>1</v>
      </c>
      <c r="K1329" s="19">
        <v>0</v>
      </c>
      <c r="L1329" s="21">
        <v>0</v>
      </c>
      <c r="M1329" s="19">
        <v>0</v>
      </c>
      <c r="N1329" s="19">
        <v>0</v>
      </c>
      <c r="O1329" s="19">
        <v>1</v>
      </c>
      <c r="P1329" s="19">
        <v>0</v>
      </c>
      <c r="Q1329" s="19">
        <v>0</v>
      </c>
      <c r="R1329" s="19">
        <v>0</v>
      </c>
      <c r="S1329" s="19">
        <v>0</v>
      </c>
      <c r="T1329" s="19">
        <v>0</v>
      </c>
      <c r="U1329" s="19">
        <v>1</v>
      </c>
      <c r="V1329" s="19">
        <v>2</v>
      </c>
      <c r="W1329" s="19">
        <v>0</v>
      </c>
      <c r="X1329" s="19">
        <v>0</v>
      </c>
      <c r="Y1329" s="19">
        <v>0</v>
      </c>
      <c r="Z1329" s="19">
        <v>0</v>
      </c>
      <c r="AA1329" s="19">
        <v>0</v>
      </c>
      <c r="AB1329" s="19">
        <v>0</v>
      </c>
      <c r="AC1329" s="19">
        <v>0</v>
      </c>
      <c r="AD1329" s="19">
        <v>1</v>
      </c>
      <c r="AE1329" s="19">
        <v>0</v>
      </c>
      <c r="AF1329" s="19">
        <v>20</v>
      </c>
      <c r="AG1329" s="19">
        <v>0</v>
      </c>
      <c r="AH1329" s="19">
        <v>20</v>
      </c>
      <c r="AI1329" s="19">
        <v>2</v>
      </c>
      <c r="AJ1329" s="19">
        <v>0</v>
      </c>
      <c r="AK1329" s="19">
        <v>0</v>
      </c>
      <c r="AL1329" s="19">
        <v>0</v>
      </c>
      <c r="AM1329" s="19">
        <v>0</v>
      </c>
      <c r="AN1329" s="19">
        <v>0</v>
      </c>
      <c r="AO1329" s="19">
        <v>0</v>
      </c>
      <c r="AP1329" s="19">
        <v>0</v>
      </c>
      <c r="AQ1329" s="19">
        <v>1000</v>
      </c>
      <c r="AR1329" s="19">
        <v>0</v>
      </c>
      <c r="AS1329" s="19">
        <v>0</v>
      </c>
      <c r="AT1329" s="19">
        <v>92000022</v>
      </c>
      <c r="AU1329" s="19">
        <v>92000032</v>
      </c>
      <c r="AV1329" s="19"/>
      <c r="AW1329" s="20" t="s">
        <v>205</v>
      </c>
      <c r="AX1329" s="19" t="s">
        <v>1582</v>
      </c>
      <c r="AY1329" s="19">
        <v>0</v>
      </c>
      <c r="AZ1329" s="19">
        <v>40000003</v>
      </c>
      <c r="BA1329" s="20" t="s">
        <v>206</v>
      </c>
      <c r="BB1329" s="20" t="s">
        <v>204</v>
      </c>
      <c r="BC1329" s="19">
        <v>0</v>
      </c>
      <c r="BD1329" s="19">
        <v>0</v>
      </c>
      <c r="BE1329" s="22" t="s">
        <v>2778</v>
      </c>
      <c r="BF1329" s="22" t="s">
        <v>2779</v>
      </c>
      <c r="BG1329" s="19">
        <v>0</v>
      </c>
      <c r="BH1329" s="19">
        <v>0</v>
      </c>
      <c r="BI1329" s="19">
        <v>0</v>
      </c>
      <c r="BJ1329" s="19">
        <v>0</v>
      </c>
      <c r="BK1329" s="19">
        <v>0</v>
      </c>
      <c r="BL1329" s="19">
        <v>0</v>
      </c>
      <c r="BM1329" s="187">
        <v>0</v>
      </c>
      <c r="BN1329" s="19">
        <v>1</v>
      </c>
      <c r="BO1329" s="19">
        <v>0</v>
      </c>
      <c r="BP1329" s="19">
        <v>0</v>
      </c>
      <c r="BQ1329" s="19">
        <v>0</v>
      </c>
      <c r="BR1329" s="19">
        <v>0</v>
      </c>
      <c r="BS1329" s="19">
        <v>0</v>
      </c>
      <c r="BT1329" s="19">
        <v>0</v>
      </c>
      <c r="BU1329" s="23">
        <v>0</v>
      </c>
      <c r="BV1329" s="23"/>
      <c r="BW1329" s="23"/>
      <c r="BX1329" s="23"/>
      <c r="BY1329" s="23"/>
      <c r="BZ1329" s="23"/>
    </row>
    <row r="1330" spans="3:78" ht="20.100000000000001" customHeight="1">
      <c r="C1330" s="180">
        <v>62000033</v>
      </c>
      <c r="D1330" s="179" t="s">
        <v>2780</v>
      </c>
      <c r="E1330" s="179" t="s">
        <v>2781</v>
      </c>
      <c r="F1330" s="180">
        <v>1</v>
      </c>
      <c r="G1330" s="180">
        <v>30011</v>
      </c>
      <c r="H1330" s="180">
        <v>0</v>
      </c>
      <c r="I1330" s="180">
        <v>0</v>
      </c>
      <c r="J1330" s="180">
        <v>1</v>
      </c>
      <c r="K1330" s="180">
        <v>0</v>
      </c>
      <c r="L1330" s="180">
        <v>0</v>
      </c>
      <c r="M1330" s="180">
        <v>0</v>
      </c>
      <c r="N1330" s="180">
        <v>0</v>
      </c>
      <c r="O1330" s="180">
        <v>2</v>
      </c>
      <c r="P1330" s="180">
        <v>1</v>
      </c>
      <c r="Q1330" s="180">
        <v>0.05</v>
      </c>
      <c r="R1330" s="180">
        <v>0</v>
      </c>
      <c r="S1330" s="180">
        <v>0</v>
      </c>
      <c r="T1330" s="180">
        <v>0</v>
      </c>
      <c r="U1330" s="180">
        <v>1</v>
      </c>
      <c r="V1330" s="180">
        <v>2</v>
      </c>
      <c r="W1330" s="180">
        <v>0</v>
      </c>
      <c r="X1330" s="180">
        <v>0</v>
      </c>
      <c r="Y1330" s="19">
        <v>0</v>
      </c>
      <c r="Z1330" s="180">
        <v>0</v>
      </c>
      <c r="AA1330" s="180">
        <v>0</v>
      </c>
      <c r="AB1330" s="180">
        <v>0</v>
      </c>
      <c r="AC1330" s="180">
        <v>0</v>
      </c>
      <c r="AD1330" s="180">
        <v>1</v>
      </c>
      <c r="AE1330" s="180">
        <v>0</v>
      </c>
      <c r="AF1330" s="180">
        <v>1</v>
      </c>
      <c r="AG1330" s="180">
        <v>0</v>
      </c>
      <c r="AH1330" s="180">
        <v>0</v>
      </c>
      <c r="AI1330" s="180">
        <v>7</v>
      </c>
      <c r="AJ1330" s="180">
        <v>0</v>
      </c>
      <c r="AK1330" s="180">
        <v>0</v>
      </c>
      <c r="AL1330" s="180">
        <v>0</v>
      </c>
      <c r="AM1330" s="180">
        <v>0</v>
      </c>
      <c r="AN1330" s="180">
        <v>0</v>
      </c>
      <c r="AO1330" s="180">
        <v>0</v>
      </c>
      <c r="AP1330" s="180">
        <v>0</v>
      </c>
      <c r="AQ1330" s="180">
        <v>1000</v>
      </c>
      <c r="AR1330" s="180">
        <v>0</v>
      </c>
      <c r="AS1330" s="180">
        <v>0</v>
      </c>
      <c r="AT1330" s="180">
        <v>0</v>
      </c>
      <c r="AU1330" s="180">
        <v>92000033</v>
      </c>
      <c r="AV1330" s="180"/>
      <c r="AW1330" s="179" t="s">
        <v>205</v>
      </c>
      <c r="AX1330" s="180" t="s">
        <v>1582</v>
      </c>
      <c r="AY1330" s="180">
        <v>0</v>
      </c>
      <c r="AZ1330" s="180">
        <v>40000003</v>
      </c>
      <c r="BA1330" s="179" t="s">
        <v>206</v>
      </c>
      <c r="BB1330" s="179" t="s">
        <v>204</v>
      </c>
      <c r="BC1330" s="180">
        <v>0</v>
      </c>
      <c r="BD1330" s="180">
        <v>0</v>
      </c>
      <c r="BE1330" s="243" t="s">
        <v>2782</v>
      </c>
      <c r="BF1330" s="243" t="s">
        <v>2783</v>
      </c>
      <c r="BG1330" s="180">
        <v>0</v>
      </c>
      <c r="BH1330" s="180">
        <v>0</v>
      </c>
      <c r="BI1330" s="180">
        <v>0</v>
      </c>
      <c r="BJ1330" s="180">
        <v>0</v>
      </c>
      <c r="BK1330" s="180">
        <v>0</v>
      </c>
      <c r="BL1330" s="180">
        <v>0</v>
      </c>
      <c r="BM1330" s="244">
        <v>0</v>
      </c>
      <c r="BN1330" s="180">
        <v>1</v>
      </c>
      <c r="BO1330" s="180">
        <v>0</v>
      </c>
      <c r="BP1330" s="180">
        <v>0</v>
      </c>
      <c r="BQ1330" s="180">
        <v>0</v>
      </c>
      <c r="BR1330" s="180">
        <v>0</v>
      </c>
      <c r="BS1330" s="180">
        <v>0</v>
      </c>
      <c r="BT1330" s="19">
        <v>0</v>
      </c>
      <c r="BU1330" s="23">
        <v>0</v>
      </c>
      <c r="BV1330" s="23"/>
      <c r="BW1330" s="23"/>
      <c r="BX1330" s="23"/>
      <c r="BY1330" s="23"/>
      <c r="BZ1330" s="23"/>
    </row>
    <row r="1331" spans="3:78" ht="19.5" customHeight="1">
      <c r="C1331" s="180">
        <v>62000034</v>
      </c>
      <c r="D1331" s="179" t="s">
        <v>2784</v>
      </c>
      <c r="E1331" s="179" t="s">
        <v>2785</v>
      </c>
      <c r="F1331" s="32">
        <v>1</v>
      </c>
      <c r="G1331" s="21">
        <v>60010100</v>
      </c>
      <c r="H1331" s="32">
        <v>0</v>
      </c>
      <c r="I1331" s="31">
        <v>0</v>
      </c>
      <c r="J1331" s="32">
        <v>1</v>
      </c>
      <c r="K1331" s="32">
        <v>0</v>
      </c>
      <c r="L1331" s="32">
        <v>0</v>
      </c>
      <c r="M1331" s="21">
        <v>0</v>
      </c>
      <c r="N1331" s="21">
        <v>0</v>
      </c>
      <c r="O1331" s="21">
        <v>2</v>
      </c>
      <c r="P1331" s="21">
        <v>1</v>
      </c>
      <c r="Q1331" s="21">
        <v>1</v>
      </c>
      <c r="R1331" s="21">
        <v>0</v>
      </c>
      <c r="S1331" s="19">
        <v>0</v>
      </c>
      <c r="T1331" s="21">
        <v>0</v>
      </c>
      <c r="U1331" s="21">
        <v>1</v>
      </c>
      <c r="V1331" s="21">
        <v>2</v>
      </c>
      <c r="W1331" s="21">
        <v>0</v>
      </c>
      <c r="X1331" s="21">
        <v>3</v>
      </c>
      <c r="Y1331" s="19">
        <v>0</v>
      </c>
      <c r="Z1331" s="21">
        <v>1000</v>
      </c>
      <c r="AA1331" s="21">
        <v>0</v>
      </c>
      <c r="AB1331" s="21">
        <v>0</v>
      </c>
      <c r="AC1331" s="21">
        <v>0</v>
      </c>
      <c r="AD1331" s="21">
        <v>0</v>
      </c>
      <c r="AE1331" s="21">
        <v>0</v>
      </c>
      <c r="AF1331" s="21">
        <v>1</v>
      </c>
      <c r="AG1331" s="21">
        <v>1</v>
      </c>
      <c r="AH1331" s="21">
        <v>3</v>
      </c>
      <c r="AI1331" s="19">
        <v>1</v>
      </c>
      <c r="AJ1331" s="19">
        <v>0</v>
      </c>
      <c r="AK1331" s="19">
        <v>0</v>
      </c>
      <c r="AL1331" s="19">
        <v>0</v>
      </c>
      <c r="AM1331" s="21">
        <v>0</v>
      </c>
      <c r="AN1331" s="21">
        <v>0</v>
      </c>
      <c r="AO1331" s="21">
        <v>0</v>
      </c>
      <c r="AP1331" s="21">
        <v>0</v>
      </c>
      <c r="AQ1331" s="21">
        <v>5000</v>
      </c>
      <c r="AR1331" s="21">
        <v>0</v>
      </c>
      <c r="AS1331" s="21">
        <v>0</v>
      </c>
      <c r="AT1331" s="19">
        <v>0</v>
      </c>
      <c r="AU1331" s="21">
        <v>0</v>
      </c>
      <c r="AV1331" s="21"/>
      <c r="AW1331" s="35" t="s">
        <v>262</v>
      </c>
      <c r="AX1331" s="21" t="s">
        <v>540</v>
      </c>
      <c r="AY1331" s="32">
        <v>10000007</v>
      </c>
      <c r="AZ1331" s="32">
        <v>70403005</v>
      </c>
      <c r="BA1331" s="30" t="s">
        <v>206</v>
      </c>
      <c r="BB1331" s="21">
        <v>0</v>
      </c>
      <c r="BC1331" s="31">
        <v>0</v>
      </c>
      <c r="BD1331" s="31">
        <v>0</v>
      </c>
      <c r="BE1331" s="33" t="s">
        <v>2786</v>
      </c>
      <c r="BF1331" s="33" t="s">
        <v>2787</v>
      </c>
      <c r="BG1331" s="21">
        <v>0</v>
      </c>
      <c r="BH1331" s="21">
        <v>0</v>
      </c>
      <c r="BI1331" s="21">
        <v>0</v>
      </c>
      <c r="BJ1331" s="21">
        <v>0</v>
      </c>
      <c r="BK1331" s="21">
        <v>0</v>
      </c>
      <c r="BL1331" s="21">
        <v>0</v>
      </c>
      <c r="BM1331" s="25">
        <v>0</v>
      </c>
      <c r="BN1331" s="19">
        <v>0</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62000035</v>
      </c>
      <c r="D1332" s="20" t="s">
        <v>2788</v>
      </c>
      <c r="E1332" s="20" t="s">
        <v>2789</v>
      </c>
      <c r="F1332" s="19">
        <v>1</v>
      </c>
      <c r="G1332" s="19">
        <v>30022</v>
      </c>
      <c r="H1332" s="19">
        <v>0</v>
      </c>
      <c r="I1332" s="19">
        <v>0</v>
      </c>
      <c r="J1332" s="19">
        <v>1</v>
      </c>
      <c r="K1332" s="19">
        <v>0</v>
      </c>
      <c r="L1332" s="21">
        <v>0</v>
      </c>
      <c r="M1332" s="19">
        <v>0</v>
      </c>
      <c r="N1332" s="19">
        <v>0</v>
      </c>
      <c r="O1332" s="19">
        <v>2</v>
      </c>
      <c r="P1332" s="19">
        <v>1</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1</v>
      </c>
      <c r="AH1332" s="19">
        <v>2</v>
      </c>
      <c r="AI1332" s="19">
        <v>7</v>
      </c>
      <c r="AJ1332" s="19">
        <v>0</v>
      </c>
      <c r="AK1332" s="19">
        <v>0</v>
      </c>
      <c r="AL1332" s="19">
        <v>0</v>
      </c>
      <c r="AM1332" s="19">
        <v>0</v>
      </c>
      <c r="AN1332" s="19">
        <v>0</v>
      </c>
      <c r="AO1332" s="19">
        <v>0</v>
      </c>
      <c r="AP1332" s="19">
        <v>0</v>
      </c>
      <c r="AQ1332" s="19">
        <v>1000</v>
      </c>
      <c r="AR1332" s="19">
        <v>0</v>
      </c>
      <c r="AS1332" s="19">
        <v>0</v>
      </c>
      <c r="AT1332" s="19">
        <v>0</v>
      </c>
      <c r="AU1332" s="19">
        <v>92000023</v>
      </c>
      <c r="AV1332" s="19"/>
      <c r="AW1332" s="20" t="s">
        <v>205</v>
      </c>
      <c r="AX1332" s="19" t="s">
        <v>1582</v>
      </c>
      <c r="AY1332" s="19">
        <v>0</v>
      </c>
      <c r="AZ1332" s="19">
        <v>0</v>
      </c>
      <c r="BA1332" s="20" t="s">
        <v>206</v>
      </c>
      <c r="BB1332" s="20" t="s">
        <v>204</v>
      </c>
      <c r="BC1332" s="19">
        <v>0</v>
      </c>
      <c r="BD1332" s="19">
        <v>0</v>
      </c>
      <c r="BE1332" s="22" t="s">
        <v>2790</v>
      </c>
      <c r="BF1332" s="22" t="s">
        <v>2791</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9">
        <v>62000036</v>
      </c>
      <c r="D1333" s="20" t="s">
        <v>2792</v>
      </c>
      <c r="E1333" s="20" t="s">
        <v>2793</v>
      </c>
      <c r="F1333" s="19">
        <v>1</v>
      </c>
      <c r="G1333" s="19">
        <v>30031</v>
      </c>
      <c r="H1333" s="19">
        <v>0</v>
      </c>
      <c r="I1333" s="19">
        <v>0</v>
      </c>
      <c r="J1333" s="19">
        <v>1</v>
      </c>
      <c r="K1333" s="19">
        <v>0</v>
      </c>
      <c r="L1333" s="21">
        <v>0</v>
      </c>
      <c r="M1333" s="19">
        <v>0</v>
      </c>
      <c r="N1333" s="19">
        <v>0</v>
      </c>
      <c r="O1333" s="19">
        <v>2</v>
      </c>
      <c r="P1333" s="19">
        <v>19</v>
      </c>
      <c r="Q1333" s="19">
        <v>1</v>
      </c>
      <c r="R1333" s="19">
        <v>0</v>
      </c>
      <c r="S1333" s="19">
        <v>0</v>
      </c>
      <c r="T1333" s="19">
        <v>0</v>
      </c>
      <c r="U1333" s="19">
        <v>1</v>
      </c>
      <c r="V1333" s="19">
        <v>2</v>
      </c>
      <c r="W1333" s="19">
        <v>0</v>
      </c>
      <c r="X1333" s="19">
        <v>0</v>
      </c>
      <c r="Y1333" s="19">
        <v>0</v>
      </c>
      <c r="Z1333" s="19">
        <v>0</v>
      </c>
      <c r="AA1333" s="19">
        <v>0</v>
      </c>
      <c r="AB1333" s="19">
        <v>0</v>
      </c>
      <c r="AC1333" s="19">
        <v>0</v>
      </c>
      <c r="AD1333" s="19">
        <v>1</v>
      </c>
      <c r="AE1333" s="19">
        <v>0</v>
      </c>
      <c r="AF1333" s="19">
        <v>1</v>
      </c>
      <c r="AG1333" s="19">
        <v>0</v>
      </c>
      <c r="AH1333" s="19">
        <v>0</v>
      </c>
      <c r="AI1333" s="19">
        <v>2</v>
      </c>
      <c r="AJ1333" s="19">
        <v>0</v>
      </c>
      <c r="AK1333" s="19">
        <v>0</v>
      </c>
      <c r="AL1333" s="19">
        <v>0</v>
      </c>
      <c r="AM1333" s="19">
        <v>0</v>
      </c>
      <c r="AN1333" s="19">
        <v>0</v>
      </c>
      <c r="AO1333" s="19">
        <v>0</v>
      </c>
      <c r="AP1333" s="19">
        <v>0</v>
      </c>
      <c r="AQ1333" s="19">
        <v>1000</v>
      </c>
      <c r="AR1333" s="19">
        <v>0</v>
      </c>
      <c r="AS1333" s="19">
        <v>0</v>
      </c>
      <c r="AT1333" s="19">
        <v>92000024</v>
      </c>
      <c r="AU1333" s="19" t="s">
        <v>204</v>
      </c>
      <c r="AV1333" s="19"/>
      <c r="AW1333" s="20" t="s">
        <v>205</v>
      </c>
      <c r="AX1333" s="19" t="s">
        <v>1582</v>
      </c>
      <c r="AY1333" s="19">
        <v>0</v>
      </c>
      <c r="AZ1333" s="19">
        <v>40000003</v>
      </c>
      <c r="BA1333" s="20" t="s">
        <v>206</v>
      </c>
      <c r="BB1333" s="20" t="s">
        <v>204</v>
      </c>
      <c r="BC1333" s="19">
        <v>0</v>
      </c>
      <c r="BD1333" s="19">
        <v>0</v>
      </c>
      <c r="BE1333" s="22" t="s">
        <v>2794</v>
      </c>
      <c r="BF1333" s="22" t="s">
        <v>2795</v>
      </c>
      <c r="BG1333" s="19">
        <v>0</v>
      </c>
      <c r="BH1333" s="19">
        <v>0</v>
      </c>
      <c r="BI1333" s="19">
        <v>0</v>
      </c>
      <c r="BJ1333" s="19">
        <v>0</v>
      </c>
      <c r="BK1333" s="19">
        <v>0</v>
      </c>
      <c r="BL1333" s="19">
        <v>0</v>
      </c>
      <c r="BM1333" s="187">
        <v>0</v>
      </c>
      <c r="BN1333" s="19">
        <v>1</v>
      </c>
      <c r="BO1333" s="19">
        <v>0</v>
      </c>
      <c r="BP1333" s="19">
        <v>0</v>
      </c>
      <c r="BQ1333" s="19">
        <v>0</v>
      </c>
      <c r="BR1333" s="19">
        <v>0</v>
      </c>
      <c r="BS1333" s="19">
        <v>0</v>
      </c>
      <c r="BT1333" s="19">
        <v>0</v>
      </c>
      <c r="BU1333" s="23">
        <v>0</v>
      </c>
      <c r="BV1333" s="23"/>
      <c r="BW1333" s="23"/>
      <c r="BX1333" s="23"/>
      <c r="BY1333" s="23"/>
      <c r="BZ1333" s="23"/>
    </row>
    <row r="1334" spans="3:78" ht="20.100000000000001" customHeight="1">
      <c r="C1334" s="180">
        <v>62000037</v>
      </c>
      <c r="D1334" s="179" t="s">
        <v>2796</v>
      </c>
      <c r="E1334" s="179" t="s">
        <v>2797</v>
      </c>
      <c r="F1334" s="180">
        <v>1</v>
      </c>
      <c r="G1334" s="180">
        <v>30052</v>
      </c>
      <c r="H1334" s="180">
        <v>0</v>
      </c>
      <c r="I1334" s="180">
        <v>0</v>
      </c>
      <c r="J1334" s="180">
        <v>1</v>
      </c>
      <c r="K1334" s="180">
        <v>0</v>
      </c>
      <c r="L1334" s="180">
        <v>0</v>
      </c>
      <c r="M1334" s="180">
        <v>0</v>
      </c>
      <c r="N1334" s="180">
        <v>0</v>
      </c>
      <c r="O1334" s="180">
        <v>2</v>
      </c>
      <c r="P1334" s="180">
        <v>1</v>
      </c>
      <c r="Q1334" s="180">
        <v>0.1</v>
      </c>
      <c r="R1334" s="180">
        <v>0</v>
      </c>
      <c r="S1334" s="180">
        <v>0</v>
      </c>
      <c r="T1334" s="180">
        <v>0</v>
      </c>
      <c r="U1334" s="180">
        <v>1</v>
      </c>
      <c r="V1334" s="180">
        <v>2</v>
      </c>
      <c r="W1334" s="180">
        <v>0</v>
      </c>
      <c r="X1334" s="180">
        <v>0</v>
      </c>
      <c r="Y1334" s="19">
        <v>0</v>
      </c>
      <c r="Z1334" s="180">
        <v>0</v>
      </c>
      <c r="AA1334" s="180">
        <v>0</v>
      </c>
      <c r="AB1334" s="180">
        <v>0</v>
      </c>
      <c r="AC1334" s="180">
        <v>0</v>
      </c>
      <c r="AD1334" s="180">
        <v>1</v>
      </c>
      <c r="AE1334" s="180">
        <v>0</v>
      </c>
      <c r="AF1334" s="180">
        <v>1</v>
      </c>
      <c r="AG1334" s="180">
        <v>0</v>
      </c>
      <c r="AH1334" s="180">
        <v>0</v>
      </c>
      <c r="AI1334" s="180">
        <v>2</v>
      </c>
      <c r="AJ1334" s="180">
        <v>0</v>
      </c>
      <c r="AK1334" s="180">
        <v>0</v>
      </c>
      <c r="AL1334" s="180">
        <v>0</v>
      </c>
      <c r="AM1334" s="180">
        <v>0</v>
      </c>
      <c r="AN1334" s="180">
        <v>0</v>
      </c>
      <c r="AO1334" s="180">
        <v>0</v>
      </c>
      <c r="AP1334" s="180">
        <v>0</v>
      </c>
      <c r="AQ1334" s="180">
        <v>1000</v>
      </c>
      <c r="AR1334" s="180">
        <v>0</v>
      </c>
      <c r="AS1334" s="180">
        <v>0</v>
      </c>
      <c r="AT1334" s="180">
        <v>92000031</v>
      </c>
      <c r="AU1334" s="180" t="s">
        <v>204</v>
      </c>
      <c r="AV1334" s="180"/>
      <c r="AW1334" s="179" t="s">
        <v>205</v>
      </c>
      <c r="AX1334" s="180" t="s">
        <v>1582</v>
      </c>
      <c r="AY1334" s="180">
        <v>0</v>
      </c>
      <c r="AZ1334" s="180">
        <v>40000003</v>
      </c>
      <c r="BA1334" s="179" t="s">
        <v>206</v>
      </c>
      <c r="BB1334" s="179" t="s">
        <v>204</v>
      </c>
      <c r="BC1334" s="180">
        <v>0</v>
      </c>
      <c r="BD1334" s="180">
        <v>0</v>
      </c>
      <c r="BE1334" s="243" t="s">
        <v>2798</v>
      </c>
      <c r="BF1334" s="243" t="s">
        <v>2799</v>
      </c>
      <c r="BG1334" s="180">
        <v>0</v>
      </c>
      <c r="BH1334" s="180">
        <v>0</v>
      </c>
      <c r="BI1334" s="180">
        <v>0</v>
      </c>
      <c r="BJ1334" s="180">
        <v>0</v>
      </c>
      <c r="BK1334" s="180">
        <v>0</v>
      </c>
      <c r="BL1334" s="180">
        <v>0</v>
      </c>
      <c r="BM1334" s="244">
        <v>0</v>
      </c>
      <c r="BN1334" s="180">
        <v>1</v>
      </c>
      <c r="BO1334" s="180">
        <v>0</v>
      </c>
      <c r="BP1334" s="180">
        <v>0</v>
      </c>
      <c r="BQ1334" s="180">
        <v>0</v>
      </c>
      <c r="BR1334" s="180">
        <v>0</v>
      </c>
      <c r="BS1334" s="180">
        <v>0</v>
      </c>
      <c r="BT1334" s="19">
        <v>0</v>
      </c>
      <c r="BU1334" s="23">
        <v>0</v>
      </c>
      <c r="BV1334" s="23"/>
      <c r="BW1334" s="23"/>
      <c r="BX1334" s="23"/>
      <c r="BY1334" s="23"/>
      <c r="BZ1334" s="23"/>
    </row>
    <row r="1335" spans="3:78" ht="20.100000000000001" customHeight="1">
      <c r="C1335" s="19">
        <v>62000038</v>
      </c>
      <c r="D1335" s="20" t="s">
        <v>2800</v>
      </c>
      <c r="E1335" s="20" t="s">
        <v>2801</v>
      </c>
      <c r="F1335" s="19">
        <v>1</v>
      </c>
      <c r="G1335" s="19">
        <v>30061</v>
      </c>
      <c r="H1335" s="19">
        <v>0</v>
      </c>
      <c r="I1335" s="19">
        <v>0</v>
      </c>
      <c r="J1335" s="19">
        <v>1</v>
      </c>
      <c r="K1335" s="19">
        <v>0</v>
      </c>
      <c r="L1335" s="21">
        <v>0</v>
      </c>
      <c r="M1335" s="19">
        <v>0</v>
      </c>
      <c r="N1335" s="19">
        <v>0</v>
      </c>
      <c r="O1335" s="19">
        <v>2</v>
      </c>
      <c r="P1335" s="19">
        <v>1</v>
      </c>
      <c r="Q1335" s="19">
        <v>0.1</v>
      </c>
      <c r="R1335" s="19">
        <v>0</v>
      </c>
      <c r="S1335" s="19">
        <v>0</v>
      </c>
      <c r="T1335" s="19">
        <v>0</v>
      </c>
      <c r="U1335" s="19">
        <v>1</v>
      </c>
      <c r="V1335" s="19">
        <v>2</v>
      </c>
      <c r="W1335" s="19">
        <v>0</v>
      </c>
      <c r="X1335" s="19">
        <v>0</v>
      </c>
      <c r="Y1335" s="19">
        <v>0</v>
      </c>
      <c r="Z1335" s="19">
        <v>0</v>
      </c>
      <c r="AA1335" s="19">
        <v>0</v>
      </c>
      <c r="AB1335" s="19">
        <v>0</v>
      </c>
      <c r="AC1335" s="19">
        <v>0</v>
      </c>
      <c r="AD1335" s="19">
        <v>1</v>
      </c>
      <c r="AE1335" s="19">
        <v>0</v>
      </c>
      <c r="AF1335" s="19">
        <v>1</v>
      </c>
      <c r="AG1335" s="19">
        <v>0</v>
      </c>
      <c r="AH1335" s="19">
        <v>0</v>
      </c>
      <c r="AI1335" s="19">
        <v>7</v>
      </c>
      <c r="AJ1335" s="19">
        <v>0</v>
      </c>
      <c r="AK1335" s="19">
        <v>0</v>
      </c>
      <c r="AL1335" s="19">
        <v>0</v>
      </c>
      <c r="AM1335" s="19">
        <v>0</v>
      </c>
      <c r="AN1335" s="19">
        <v>0</v>
      </c>
      <c r="AO1335" s="19">
        <v>0</v>
      </c>
      <c r="AP1335" s="19">
        <v>0</v>
      </c>
      <c r="AQ1335" s="19">
        <v>1000</v>
      </c>
      <c r="AR1335" s="19">
        <v>0</v>
      </c>
      <c r="AS1335" s="19">
        <v>0</v>
      </c>
      <c r="AT1335" s="19">
        <v>0</v>
      </c>
      <c r="AU1335" s="329" t="s">
        <v>2802</v>
      </c>
      <c r="AV1335" s="19"/>
      <c r="AW1335" s="20" t="s">
        <v>205</v>
      </c>
      <c r="AX1335" s="19" t="s">
        <v>1582</v>
      </c>
      <c r="AY1335" s="19">
        <v>0</v>
      </c>
      <c r="AZ1335" s="19">
        <v>0</v>
      </c>
      <c r="BA1335" s="20" t="s">
        <v>206</v>
      </c>
      <c r="BB1335" s="20" t="s">
        <v>204</v>
      </c>
      <c r="BC1335" s="19">
        <v>0</v>
      </c>
      <c r="BD1335" s="19">
        <v>0</v>
      </c>
      <c r="BE1335" s="22" t="s">
        <v>2803</v>
      </c>
      <c r="BF1335" s="22" t="s">
        <v>2804</v>
      </c>
      <c r="BG1335" s="19">
        <v>0</v>
      </c>
      <c r="BH1335" s="19">
        <v>0</v>
      </c>
      <c r="BI1335" s="19">
        <v>0</v>
      </c>
      <c r="BJ1335" s="19">
        <v>0</v>
      </c>
      <c r="BK1335" s="19">
        <v>0</v>
      </c>
      <c r="BL1335" s="19">
        <v>0</v>
      </c>
      <c r="BM1335" s="187">
        <v>0</v>
      </c>
      <c r="BN1335" s="19">
        <v>1</v>
      </c>
      <c r="BO1335" s="19">
        <v>0</v>
      </c>
      <c r="BP1335" s="19">
        <v>0</v>
      </c>
      <c r="BQ1335" s="19">
        <v>0</v>
      </c>
      <c r="BR1335" s="19">
        <v>0</v>
      </c>
      <c r="BS1335" s="19">
        <v>0</v>
      </c>
      <c r="BT1335" s="19">
        <v>0</v>
      </c>
      <c r="BU1335" s="23">
        <v>0</v>
      </c>
      <c r="BV1335" s="23"/>
      <c r="BW1335" s="23"/>
      <c r="BX1335" s="23"/>
      <c r="BY1335" s="23"/>
      <c r="BZ1335" s="23"/>
    </row>
    <row r="1336" spans="3:78" ht="20.100000000000001" customHeight="1">
      <c r="C1336" s="19">
        <v>62000039</v>
      </c>
      <c r="D1336" s="30" t="s">
        <v>2805</v>
      </c>
      <c r="E1336" s="30" t="s">
        <v>2806</v>
      </c>
      <c r="F1336" s="21">
        <v>1</v>
      </c>
      <c r="G1336" s="21">
        <v>80002002</v>
      </c>
      <c r="H1336" s="32">
        <v>0</v>
      </c>
      <c r="I1336" s="31">
        <v>0</v>
      </c>
      <c r="J1336" s="32">
        <v>1</v>
      </c>
      <c r="K1336" s="32">
        <v>0</v>
      </c>
      <c r="L1336" s="32">
        <v>0</v>
      </c>
      <c r="M1336" s="21">
        <v>0</v>
      </c>
      <c r="N1336" s="21">
        <v>0</v>
      </c>
      <c r="O1336" s="21">
        <v>5</v>
      </c>
      <c r="P1336" s="21">
        <v>0</v>
      </c>
      <c r="Q1336" s="21">
        <v>0</v>
      </c>
      <c r="R1336" s="21">
        <v>0</v>
      </c>
      <c r="S1336" s="19">
        <v>0</v>
      </c>
      <c r="T1336" s="21">
        <v>0</v>
      </c>
      <c r="U1336" s="21">
        <v>1</v>
      </c>
      <c r="V1336" s="21">
        <v>2</v>
      </c>
      <c r="W1336" s="21">
        <v>0</v>
      </c>
      <c r="X1336" s="21">
        <v>0</v>
      </c>
      <c r="Y1336" s="19">
        <v>0</v>
      </c>
      <c r="Z1336" s="21">
        <v>0</v>
      </c>
      <c r="AA1336" s="21">
        <v>0</v>
      </c>
      <c r="AB1336" s="21">
        <v>0</v>
      </c>
      <c r="AC1336" s="21">
        <v>0</v>
      </c>
      <c r="AD1336" s="21">
        <v>0</v>
      </c>
      <c r="AE1336" s="21">
        <v>0</v>
      </c>
      <c r="AF1336" s="21">
        <v>9</v>
      </c>
      <c r="AG1336" s="21">
        <v>2</v>
      </c>
      <c r="AH1336" s="21" t="s">
        <v>219</v>
      </c>
      <c r="AI1336" s="19">
        <v>2</v>
      </c>
      <c r="AJ1336" s="19">
        <v>2</v>
      </c>
      <c r="AK1336" s="19">
        <v>0</v>
      </c>
      <c r="AL1336" s="19">
        <v>1.5</v>
      </c>
      <c r="AM1336" s="21">
        <v>0</v>
      </c>
      <c r="AN1336" s="21">
        <v>0</v>
      </c>
      <c r="AO1336" s="21">
        <v>0</v>
      </c>
      <c r="AP1336" s="21">
        <v>1</v>
      </c>
      <c r="AQ1336" s="21">
        <v>3000</v>
      </c>
      <c r="AR1336" s="21">
        <v>0.5</v>
      </c>
      <c r="AS1336" s="21">
        <v>0</v>
      </c>
      <c r="AT1336" s="19">
        <v>0</v>
      </c>
      <c r="AU1336" s="21" t="s">
        <v>204</v>
      </c>
      <c r="AV1336" s="21"/>
      <c r="AW1336" s="30" t="s">
        <v>205</v>
      </c>
      <c r="AX1336" s="21">
        <v>0</v>
      </c>
      <c r="AY1336" s="32">
        <v>0</v>
      </c>
      <c r="AZ1336" s="32">
        <v>0</v>
      </c>
      <c r="BA1336" s="30" t="s">
        <v>206</v>
      </c>
      <c r="BB1336" s="21" t="s">
        <v>2807</v>
      </c>
      <c r="BC1336" s="31">
        <v>0</v>
      </c>
      <c r="BD1336" s="31">
        <v>1</v>
      </c>
      <c r="BE1336" s="33" t="s">
        <v>2808</v>
      </c>
      <c r="BF1336" s="33" t="s">
        <v>2809</v>
      </c>
      <c r="BG1336" s="21"/>
      <c r="BH1336" s="21">
        <v>0</v>
      </c>
      <c r="BI1336" s="21"/>
      <c r="BJ1336" s="21"/>
      <c r="BK1336" s="21"/>
      <c r="BL1336" s="32"/>
      <c r="BM1336" s="21">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62000040</v>
      </c>
      <c r="D1337" s="179" t="s">
        <v>2810</v>
      </c>
      <c r="E1337" s="179" t="s">
        <v>2811</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1</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0</v>
      </c>
      <c r="AV1337" s="21"/>
      <c r="AW1337" s="35" t="s">
        <v>262</v>
      </c>
      <c r="AX1337" s="21" t="s">
        <v>540</v>
      </c>
      <c r="AY1337" s="32">
        <v>10000007</v>
      </c>
      <c r="AZ1337" s="32">
        <v>70403006</v>
      </c>
      <c r="BA1337" s="30" t="s">
        <v>206</v>
      </c>
      <c r="BB1337" s="21">
        <v>0</v>
      </c>
      <c r="BC1337" s="31">
        <v>0</v>
      </c>
      <c r="BD1337" s="31">
        <v>0</v>
      </c>
      <c r="BE1337" s="33" t="s">
        <v>2812</v>
      </c>
      <c r="BF1337" s="33" t="s">
        <v>2813</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19.5" customHeight="1">
      <c r="C1338" s="180">
        <v>62000041</v>
      </c>
      <c r="D1338" s="179" t="s">
        <v>2814</v>
      </c>
      <c r="E1338" s="179" t="s">
        <v>2815</v>
      </c>
      <c r="F1338" s="32">
        <v>1</v>
      </c>
      <c r="G1338" s="21">
        <v>60010100</v>
      </c>
      <c r="H1338" s="32">
        <v>0</v>
      </c>
      <c r="I1338" s="31">
        <v>0</v>
      </c>
      <c r="J1338" s="32">
        <v>1</v>
      </c>
      <c r="K1338" s="32">
        <v>0</v>
      </c>
      <c r="L1338" s="32">
        <v>0</v>
      </c>
      <c r="M1338" s="21">
        <v>0</v>
      </c>
      <c r="N1338" s="21">
        <v>0</v>
      </c>
      <c r="O1338" s="21">
        <v>2</v>
      </c>
      <c r="P1338" s="21">
        <v>1</v>
      </c>
      <c r="Q1338" s="21">
        <v>1</v>
      </c>
      <c r="R1338" s="21">
        <v>0</v>
      </c>
      <c r="S1338" s="19">
        <v>0</v>
      </c>
      <c r="T1338" s="21">
        <v>0</v>
      </c>
      <c r="U1338" s="21">
        <v>1</v>
      </c>
      <c r="V1338" s="21">
        <v>2</v>
      </c>
      <c r="W1338" s="21">
        <v>0</v>
      </c>
      <c r="X1338" s="21">
        <v>2.5</v>
      </c>
      <c r="Y1338" s="19">
        <v>0</v>
      </c>
      <c r="Z1338" s="21">
        <v>0</v>
      </c>
      <c r="AA1338" s="21">
        <v>0</v>
      </c>
      <c r="AB1338" s="21">
        <v>0</v>
      </c>
      <c r="AC1338" s="21">
        <v>0</v>
      </c>
      <c r="AD1338" s="21">
        <v>0</v>
      </c>
      <c r="AE1338" s="21">
        <v>0</v>
      </c>
      <c r="AF1338" s="21">
        <v>1</v>
      </c>
      <c r="AG1338" s="21">
        <v>1</v>
      </c>
      <c r="AH1338" s="21">
        <v>2</v>
      </c>
      <c r="AI1338" s="19">
        <v>1</v>
      </c>
      <c r="AJ1338" s="19">
        <v>0</v>
      </c>
      <c r="AK1338" s="19">
        <v>0</v>
      </c>
      <c r="AL1338" s="19">
        <v>0</v>
      </c>
      <c r="AM1338" s="21">
        <v>0</v>
      </c>
      <c r="AN1338" s="21">
        <v>0</v>
      </c>
      <c r="AO1338" s="21">
        <v>0</v>
      </c>
      <c r="AP1338" s="21">
        <v>0</v>
      </c>
      <c r="AQ1338" s="21">
        <v>5000</v>
      </c>
      <c r="AR1338" s="21">
        <v>0</v>
      </c>
      <c r="AS1338" s="21">
        <v>0</v>
      </c>
      <c r="AT1338" s="19">
        <v>0</v>
      </c>
      <c r="AU1338" s="21">
        <v>92000036</v>
      </c>
      <c r="AV1338" s="21"/>
      <c r="AW1338" s="35" t="s">
        <v>262</v>
      </c>
      <c r="AX1338" s="21" t="s">
        <v>540</v>
      </c>
      <c r="AY1338" s="32">
        <v>10000007</v>
      </c>
      <c r="AZ1338" s="32">
        <v>70403006</v>
      </c>
      <c r="BA1338" s="30" t="s">
        <v>206</v>
      </c>
      <c r="BB1338" s="21">
        <v>0</v>
      </c>
      <c r="BC1338" s="31">
        <v>0</v>
      </c>
      <c r="BD1338" s="31">
        <v>0</v>
      </c>
      <c r="BE1338" s="33" t="s">
        <v>2812</v>
      </c>
      <c r="BF1338" s="33" t="s">
        <v>2813</v>
      </c>
      <c r="BG1338" s="21">
        <v>0</v>
      </c>
      <c r="BH1338" s="21">
        <v>0</v>
      </c>
      <c r="BI1338" s="21">
        <v>0</v>
      </c>
      <c r="BJ1338" s="21">
        <v>0</v>
      </c>
      <c r="BK1338" s="21">
        <v>0</v>
      </c>
      <c r="BL1338" s="21">
        <v>0</v>
      </c>
      <c r="BM1338" s="25">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80">
        <v>62000042</v>
      </c>
      <c r="D1339" s="30" t="s">
        <v>2816</v>
      </c>
      <c r="E1339" s="30" t="s">
        <v>2817</v>
      </c>
      <c r="F1339" s="21">
        <v>1</v>
      </c>
      <c r="G1339" s="21">
        <v>60011301</v>
      </c>
      <c r="H1339" s="32">
        <v>0</v>
      </c>
      <c r="I1339" s="31">
        <v>0</v>
      </c>
      <c r="J1339" s="32">
        <v>1</v>
      </c>
      <c r="K1339" s="32">
        <v>0</v>
      </c>
      <c r="L1339" s="32">
        <v>0</v>
      </c>
      <c r="M1339" s="21">
        <v>0</v>
      </c>
      <c r="N1339" s="21">
        <v>0</v>
      </c>
      <c r="O1339" s="21">
        <v>5</v>
      </c>
      <c r="P1339" s="21">
        <v>0</v>
      </c>
      <c r="Q1339" s="21">
        <v>0</v>
      </c>
      <c r="R1339" s="21">
        <v>0</v>
      </c>
      <c r="S1339" s="19">
        <v>0</v>
      </c>
      <c r="T1339" s="21">
        <v>0</v>
      </c>
      <c r="U1339" s="21">
        <v>1</v>
      </c>
      <c r="V1339" s="21">
        <v>2</v>
      </c>
      <c r="W1339" s="21">
        <v>0</v>
      </c>
      <c r="X1339" s="21">
        <v>0</v>
      </c>
      <c r="Y1339" s="19">
        <v>0</v>
      </c>
      <c r="Z1339" s="21">
        <v>0</v>
      </c>
      <c r="AA1339" s="21">
        <v>0</v>
      </c>
      <c r="AB1339" s="21">
        <v>0</v>
      </c>
      <c r="AC1339" s="21">
        <v>0</v>
      </c>
      <c r="AD1339" s="21">
        <v>0</v>
      </c>
      <c r="AE1339" s="21">
        <v>0</v>
      </c>
      <c r="AF1339" s="21">
        <v>9</v>
      </c>
      <c r="AG1339" s="21">
        <v>2</v>
      </c>
      <c r="AH1339" s="21" t="s">
        <v>219</v>
      </c>
      <c r="AI1339" s="19">
        <v>2</v>
      </c>
      <c r="AJ1339" s="19">
        <v>2</v>
      </c>
      <c r="AK1339" s="19">
        <v>0</v>
      </c>
      <c r="AL1339" s="19">
        <v>1.5</v>
      </c>
      <c r="AM1339" s="21">
        <v>0</v>
      </c>
      <c r="AN1339" s="21">
        <v>0</v>
      </c>
      <c r="AO1339" s="21">
        <v>0</v>
      </c>
      <c r="AP1339" s="21">
        <v>0</v>
      </c>
      <c r="AQ1339" s="21">
        <v>3000</v>
      </c>
      <c r="AR1339" s="21">
        <v>0.5</v>
      </c>
      <c r="AS1339" s="21">
        <v>0</v>
      </c>
      <c r="AT1339" s="19">
        <v>0</v>
      </c>
      <c r="AU1339" s="21" t="s">
        <v>204</v>
      </c>
      <c r="AV1339" s="21"/>
      <c r="AW1339" s="30" t="s">
        <v>205</v>
      </c>
      <c r="AX1339" s="21">
        <v>0</v>
      </c>
      <c r="AY1339" s="32">
        <v>0</v>
      </c>
      <c r="AZ1339" s="32">
        <v>0</v>
      </c>
      <c r="BA1339" s="30" t="s">
        <v>206</v>
      </c>
      <c r="BB1339" s="21" t="s">
        <v>2818</v>
      </c>
      <c r="BC1339" s="31">
        <v>0</v>
      </c>
      <c r="BD1339" s="31">
        <v>0</v>
      </c>
      <c r="BE1339" s="33" t="s">
        <v>2819</v>
      </c>
      <c r="BF1339" s="33" t="s">
        <v>2820</v>
      </c>
      <c r="BG1339" s="21"/>
      <c r="BH1339" s="21">
        <v>0</v>
      </c>
      <c r="BI1339" s="21"/>
      <c r="BJ1339" s="21"/>
      <c r="BK1339" s="21"/>
      <c r="BL1339" s="32"/>
      <c r="BM1339" s="21">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62000061</v>
      </c>
      <c r="D1340" s="20" t="s">
        <v>2821</v>
      </c>
      <c r="E1340" s="20" t="s">
        <v>1801</v>
      </c>
      <c r="F1340" s="19">
        <v>1</v>
      </c>
      <c r="G1340" s="19">
        <v>40001</v>
      </c>
      <c r="H1340" s="19">
        <v>0</v>
      </c>
      <c r="I1340" s="19">
        <v>0</v>
      </c>
      <c r="J1340" s="19">
        <v>1</v>
      </c>
      <c r="K1340" s="19">
        <v>0</v>
      </c>
      <c r="L1340" s="21">
        <v>0</v>
      </c>
      <c r="M1340" s="19">
        <v>0</v>
      </c>
      <c r="N1340" s="19">
        <v>0</v>
      </c>
      <c r="O1340" s="19">
        <v>1</v>
      </c>
      <c r="P1340" s="19">
        <v>0</v>
      </c>
      <c r="Q1340" s="19">
        <v>0</v>
      </c>
      <c r="R1340" s="19">
        <v>0</v>
      </c>
      <c r="S1340" s="19">
        <v>0</v>
      </c>
      <c r="T1340" s="19">
        <v>0</v>
      </c>
      <c r="U1340" s="19">
        <v>1</v>
      </c>
      <c r="V1340" s="19">
        <v>2</v>
      </c>
      <c r="W1340" s="19">
        <v>0</v>
      </c>
      <c r="X1340" s="19">
        <v>4</v>
      </c>
      <c r="Y1340" s="19">
        <v>0</v>
      </c>
      <c r="Z1340" s="19">
        <v>0</v>
      </c>
      <c r="AA1340" s="19">
        <v>0</v>
      </c>
      <c r="AB1340" s="19">
        <v>0</v>
      </c>
      <c r="AC1340" s="19">
        <v>0</v>
      </c>
      <c r="AD1340" s="19">
        <v>0</v>
      </c>
      <c r="AE1340" s="19">
        <v>0</v>
      </c>
      <c r="AF1340" s="19">
        <v>7</v>
      </c>
      <c r="AG1340" s="19">
        <v>0</v>
      </c>
      <c r="AH1340" s="19">
        <v>0</v>
      </c>
      <c r="AI1340" s="19">
        <v>7</v>
      </c>
      <c r="AJ1340" s="19">
        <v>0</v>
      </c>
      <c r="AK1340" s="19">
        <v>0</v>
      </c>
      <c r="AL1340" s="19">
        <v>6</v>
      </c>
      <c r="AM1340" s="19">
        <v>0</v>
      </c>
      <c r="AN1340" s="19">
        <v>0</v>
      </c>
      <c r="AO1340" s="19">
        <v>0</v>
      </c>
      <c r="AP1340" s="19">
        <v>0.5</v>
      </c>
      <c r="AQ1340" s="19">
        <v>1000</v>
      </c>
      <c r="AR1340" s="19">
        <v>0</v>
      </c>
      <c r="AS1340" s="19">
        <v>0</v>
      </c>
      <c r="AT1340" s="19">
        <v>0</v>
      </c>
      <c r="AU1340" s="19">
        <v>0</v>
      </c>
      <c r="AV1340" s="19"/>
      <c r="AW1340" s="20" t="s">
        <v>262</v>
      </c>
      <c r="AX1340" s="19" t="s">
        <v>1802</v>
      </c>
      <c r="AY1340" s="19" t="s">
        <v>204</v>
      </c>
      <c r="AZ1340" s="19" t="s">
        <v>2731</v>
      </c>
      <c r="BA1340" s="20" t="s">
        <v>206</v>
      </c>
      <c r="BB1340" s="19">
        <v>0</v>
      </c>
      <c r="BC1340" s="19">
        <v>0</v>
      </c>
      <c r="BD1340" s="19">
        <v>0</v>
      </c>
      <c r="BE1340" s="22" t="s">
        <v>2822</v>
      </c>
      <c r="BF1340" s="22" t="s">
        <v>2823</v>
      </c>
      <c r="BG1340" s="19">
        <v>0</v>
      </c>
      <c r="BH1340" s="19">
        <v>0</v>
      </c>
      <c r="BI1340" s="19">
        <v>0</v>
      </c>
      <c r="BJ1340" s="19">
        <v>0</v>
      </c>
      <c r="BK1340" s="19">
        <v>0</v>
      </c>
      <c r="BL1340" s="19">
        <v>0</v>
      </c>
      <c r="BM1340" s="187">
        <v>0</v>
      </c>
      <c r="BN1340" s="19">
        <v>0</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62000062</v>
      </c>
      <c r="D1341" s="238" t="s">
        <v>2824</v>
      </c>
      <c r="E1341" s="238" t="s">
        <v>2825</v>
      </c>
      <c r="F1341" s="239">
        <v>1</v>
      </c>
      <c r="G1341" s="19">
        <v>40003</v>
      </c>
      <c r="H1341" s="239">
        <v>0</v>
      </c>
      <c r="I1341" s="239">
        <v>0</v>
      </c>
      <c r="J1341" s="239">
        <v>1</v>
      </c>
      <c r="K1341" s="239">
        <v>0</v>
      </c>
      <c r="L1341" s="239">
        <v>0</v>
      </c>
      <c r="M1341" s="239">
        <v>0</v>
      </c>
      <c r="N1341" s="239">
        <v>0</v>
      </c>
      <c r="O1341" s="239">
        <v>2</v>
      </c>
      <c r="P1341" s="239">
        <v>7</v>
      </c>
      <c r="Q1341" s="239">
        <v>0.2</v>
      </c>
      <c r="R1341" s="239">
        <v>0</v>
      </c>
      <c r="S1341" s="239">
        <v>0</v>
      </c>
      <c r="T1341" s="239">
        <v>0</v>
      </c>
      <c r="U1341" s="239">
        <v>1</v>
      </c>
      <c r="V1341" s="239">
        <v>2</v>
      </c>
      <c r="W1341" s="239">
        <v>0</v>
      </c>
      <c r="X1341" s="239">
        <v>0</v>
      </c>
      <c r="Y1341" s="19">
        <v>0</v>
      </c>
      <c r="Z1341" s="239">
        <v>0</v>
      </c>
      <c r="AA1341" s="239">
        <v>0</v>
      </c>
      <c r="AB1341" s="239">
        <v>0</v>
      </c>
      <c r="AC1341" s="239">
        <v>0</v>
      </c>
      <c r="AD1341" s="239">
        <v>1</v>
      </c>
      <c r="AE1341" s="239">
        <v>0</v>
      </c>
      <c r="AF1341" s="239">
        <v>3</v>
      </c>
      <c r="AG1341" s="239">
        <v>0</v>
      </c>
      <c r="AH1341" s="239">
        <v>0</v>
      </c>
      <c r="AI1341" s="239">
        <v>2</v>
      </c>
      <c r="AJ1341" s="239">
        <v>0</v>
      </c>
      <c r="AK1341" s="239">
        <v>0</v>
      </c>
      <c r="AL1341" s="239">
        <v>0</v>
      </c>
      <c r="AM1341" s="239">
        <v>0</v>
      </c>
      <c r="AN1341" s="239">
        <v>0</v>
      </c>
      <c r="AO1341" s="239">
        <v>0</v>
      </c>
      <c r="AP1341" s="239">
        <v>0</v>
      </c>
      <c r="AQ1341" s="239">
        <v>1000</v>
      </c>
      <c r="AR1341" s="239">
        <v>0</v>
      </c>
      <c r="AS1341" s="239">
        <v>0</v>
      </c>
      <c r="AT1341" s="239">
        <v>92000038</v>
      </c>
      <c r="AU1341" s="239" t="s">
        <v>204</v>
      </c>
      <c r="AV1341" s="239"/>
      <c r="AW1341" s="238" t="s">
        <v>205</v>
      </c>
      <c r="AX1341" s="239" t="s">
        <v>1582</v>
      </c>
      <c r="AY1341" s="239">
        <v>0</v>
      </c>
      <c r="AZ1341" s="239">
        <v>40000003</v>
      </c>
      <c r="BA1341" s="238" t="s">
        <v>206</v>
      </c>
      <c r="BB1341" s="239" t="s">
        <v>204</v>
      </c>
      <c r="BC1341" s="239">
        <v>0</v>
      </c>
      <c r="BD1341" s="239">
        <v>0</v>
      </c>
      <c r="BE1341" s="240" t="s">
        <v>2826</v>
      </c>
      <c r="BF1341" s="240" t="s">
        <v>2827</v>
      </c>
      <c r="BG1341" s="239">
        <v>0</v>
      </c>
      <c r="BH1341" s="239">
        <v>0</v>
      </c>
      <c r="BI1341" s="239">
        <v>0</v>
      </c>
      <c r="BJ1341" s="239">
        <v>0</v>
      </c>
      <c r="BK1341" s="239">
        <v>0</v>
      </c>
      <c r="BL1341" s="239">
        <v>0</v>
      </c>
      <c r="BM1341" s="241">
        <v>0</v>
      </c>
      <c r="BN1341" s="239">
        <v>1</v>
      </c>
      <c r="BO1341" s="19">
        <v>0</v>
      </c>
      <c r="BP1341" s="19">
        <v>0</v>
      </c>
      <c r="BQ1341" s="19">
        <v>0</v>
      </c>
      <c r="BR1341" s="19">
        <v>0</v>
      </c>
      <c r="BS1341" s="19">
        <v>0</v>
      </c>
      <c r="BT1341" s="19">
        <v>0</v>
      </c>
      <c r="BU1341" s="23">
        <v>0</v>
      </c>
      <c r="BV1341" s="23"/>
      <c r="BW1341" s="23"/>
      <c r="BX1341" s="23"/>
      <c r="BY1341" s="23"/>
      <c r="BZ1341" s="23"/>
    </row>
    <row r="1342" spans="3:78" ht="20.100000000000001" customHeight="1">
      <c r="C1342" s="19">
        <v>62000063</v>
      </c>
      <c r="D1342" s="20" t="s">
        <v>2828</v>
      </c>
      <c r="E1342" s="20" t="s">
        <v>2829</v>
      </c>
      <c r="F1342" s="19">
        <v>1</v>
      </c>
      <c r="G1342" s="19">
        <v>40011</v>
      </c>
      <c r="H1342" s="19">
        <v>0</v>
      </c>
      <c r="I1342" s="19">
        <v>0</v>
      </c>
      <c r="J1342" s="19">
        <v>1</v>
      </c>
      <c r="K1342" s="19">
        <v>0</v>
      </c>
      <c r="L1342" s="21">
        <v>0</v>
      </c>
      <c r="M1342" s="19">
        <v>0</v>
      </c>
      <c r="N1342" s="19">
        <v>0</v>
      </c>
      <c r="O1342" s="19">
        <v>2</v>
      </c>
      <c r="P1342" s="19">
        <v>1</v>
      </c>
      <c r="Q1342" s="19">
        <v>0.1</v>
      </c>
      <c r="R1342" s="19">
        <v>0</v>
      </c>
      <c r="S1342" s="19">
        <v>0</v>
      </c>
      <c r="T1342" s="19">
        <v>0</v>
      </c>
      <c r="U1342" s="19">
        <v>1</v>
      </c>
      <c r="V1342" s="19">
        <v>2</v>
      </c>
      <c r="W1342" s="19">
        <v>0</v>
      </c>
      <c r="X1342" s="19">
        <v>0</v>
      </c>
      <c r="Y1342" s="19">
        <v>0</v>
      </c>
      <c r="Z1342" s="19">
        <v>0</v>
      </c>
      <c r="AA1342" s="19">
        <v>0</v>
      </c>
      <c r="AB1342" s="19">
        <v>0</v>
      </c>
      <c r="AC1342" s="19">
        <v>0</v>
      </c>
      <c r="AD1342" s="19">
        <v>1</v>
      </c>
      <c r="AE1342" s="19">
        <v>0</v>
      </c>
      <c r="AF1342" s="19">
        <v>1</v>
      </c>
      <c r="AG1342" s="19">
        <v>0</v>
      </c>
      <c r="AH1342" s="19">
        <v>0</v>
      </c>
      <c r="AI1342" s="19">
        <v>7</v>
      </c>
      <c r="AJ1342" s="19">
        <v>0</v>
      </c>
      <c r="AK1342" s="19">
        <v>0</v>
      </c>
      <c r="AL1342" s="19">
        <v>0</v>
      </c>
      <c r="AM1342" s="19">
        <v>0</v>
      </c>
      <c r="AN1342" s="19">
        <v>0</v>
      </c>
      <c r="AO1342" s="19">
        <v>0</v>
      </c>
      <c r="AP1342" s="19">
        <v>0</v>
      </c>
      <c r="AQ1342" s="19">
        <v>1000</v>
      </c>
      <c r="AR1342" s="19">
        <v>0</v>
      </c>
      <c r="AS1342" s="19">
        <v>0</v>
      </c>
      <c r="AT1342" s="19">
        <v>0</v>
      </c>
      <c r="AU1342" s="19">
        <v>95100001</v>
      </c>
      <c r="AV1342" s="19"/>
      <c r="AW1342" s="20" t="s">
        <v>205</v>
      </c>
      <c r="AX1342" s="19" t="s">
        <v>1582</v>
      </c>
      <c r="AY1342" s="19">
        <v>0</v>
      </c>
      <c r="AZ1342" s="19">
        <v>0</v>
      </c>
      <c r="BA1342" s="20" t="s">
        <v>206</v>
      </c>
      <c r="BB1342" s="20" t="s">
        <v>204</v>
      </c>
      <c r="BC1342" s="19">
        <v>0</v>
      </c>
      <c r="BD1342" s="19">
        <v>0</v>
      </c>
      <c r="BE1342" s="22" t="s">
        <v>2830</v>
      </c>
      <c r="BF1342" s="22" t="s">
        <v>2831</v>
      </c>
      <c r="BG1342" s="19">
        <v>0</v>
      </c>
      <c r="BH1342" s="19">
        <v>0</v>
      </c>
      <c r="BI1342" s="19">
        <v>0</v>
      </c>
      <c r="BJ1342" s="19">
        <v>0</v>
      </c>
      <c r="BK1342" s="19">
        <v>0</v>
      </c>
      <c r="BL1342" s="19">
        <v>0</v>
      </c>
      <c r="BM1342" s="187">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62000064</v>
      </c>
      <c r="D1343" s="88" t="s">
        <v>2832</v>
      </c>
      <c r="E1343" s="88" t="s">
        <v>2833</v>
      </c>
      <c r="F1343" s="74">
        <v>1</v>
      </c>
      <c r="G1343" s="74">
        <v>40062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5</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0</v>
      </c>
      <c r="AU1343" s="74">
        <v>92005001</v>
      </c>
      <c r="AV1343" s="74"/>
      <c r="AW1343" s="71" t="s">
        <v>205</v>
      </c>
      <c r="AX1343" s="74" t="s">
        <v>540</v>
      </c>
      <c r="AY1343" s="74">
        <v>10000009</v>
      </c>
      <c r="AZ1343" s="74">
        <v>21100050</v>
      </c>
      <c r="BA1343" s="88" t="s">
        <v>206</v>
      </c>
      <c r="BB1343" s="88">
        <v>0</v>
      </c>
      <c r="BC1343" s="75">
        <v>0</v>
      </c>
      <c r="BD1343" s="75">
        <v>0</v>
      </c>
      <c r="BE1343" s="114" t="str">
        <f>"受到伤害有一定概率立即对自身范围内的怪物造成"&amp;X1343*100&amp;"%攻击伤害+"&amp;Z1343&amp;",并击退周围附近敌方目标"</f>
        <v>受到伤害有一定概率立即对自身范围内的怪物造成350%攻击伤害+2000,并击退周围附近敌方目标</v>
      </c>
      <c r="BF1343" s="114" t="s">
        <v>2834</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25" customHeight="1">
      <c r="C1344" s="19">
        <v>62000065</v>
      </c>
      <c r="D1344" s="88" t="s">
        <v>2835</v>
      </c>
      <c r="E1344" s="88" t="s">
        <v>2836</v>
      </c>
      <c r="F1344" s="74">
        <v>1</v>
      </c>
      <c r="G1344" s="74">
        <v>40012</v>
      </c>
      <c r="H1344" s="74">
        <v>0</v>
      </c>
      <c r="I1344" s="75">
        <v>0</v>
      </c>
      <c r="J1344" s="74">
        <v>1</v>
      </c>
      <c r="K1344" s="74">
        <v>0</v>
      </c>
      <c r="L1344" s="72">
        <v>0</v>
      </c>
      <c r="M1344" s="74">
        <v>0</v>
      </c>
      <c r="N1344" s="74">
        <v>0</v>
      </c>
      <c r="O1344" s="74">
        <v>2</v>
      </c>
      <c r="P1344" s="74">
        <v>3</v>
      </c>
      <c r="Q1344" s="74">
        <v>0.15</v>
      </c>
      <c r="R1344" s="74">
        <v>0</v>
      </c>
      <c r="S1344" s="73">
        <v>0</v>
      </c>
      <c r="T1344" s="75">
        <v>0</v>
      </c>
      <c r="U1344" s="72">
        <v>1</v>
      </c>
      <c r="V1344" s="74">
        <v>2</v>
      </c>
      <c r="W1344" s="74">
        <v>0</v>
      </c>
      <c r="X1344" s="74">
        <v>3.5</v>
      </c>
      <c r="Y1344" s="19">
        <v>0</v>
      </c>
      <c r="Z1344" s="74">
        <v>2000</v>
      </c>
      <c r="AA1344" s="74">
        <v>0</v>
      </c>
      <c r="AB1344" s="74">
        <v>0</v>
      </c>
      <c r="AC1344" s="74">
        <v>0</v>
      </c>
      <c r="AD1344" s="74">
        <v>1</v>
      </c>
      <c r="AE1344" s="74">
        <v>0</v>
      </c>
      <c r="AF1344" s="74">
        <v>18</v>
      </c>
      <c r="AG1344" s="74">
        <v>1</v>
      </c>
      <c r="AH1344" s="74">
        <v>3.5</v>
      </c>
      <c r="AI1344" s="73">
        <v>0</v>
      </c>
      <c r="AJ1344" s="73">
        <v>0</v>
      </c>
      <c r="AK1344" s="19">
        <v>0</v>
      </c>
      <c r="AL1344" s="73">
        <v>4</v>
      </c>
      <c r="AM1344" s="74">
        <v>0</v>
      </c>
      <c r="AN1344" s="74">
        <v>0</v>
      </c>
      <c r="AO1344" s="74">
        <v>0</v>
      </c>
      <c r="AP1344" s="74">
        <v>0</v>
      </c>
      <c r="AQ1344" s="74">
        <v>3000</v>
      </c>
      <c r="AR1344" s="74">
        <v>0</v>
      </c>
      <c r="AS1344" s="74">
        <v>0</v>
      </c>
      <c r="AT1344" s="73">
        <v>92000039</v>
      </c>
      <c r="AU1344" s="74">
        <v>92000040</v>
      </c>
      <c r="AV1344" s="74"/>
      <c r="AW1344" s="71" t="s">
        <v>205</v>
      </c>
      <c r="AX1344" s="74" t="s">
        <v>540</v>
      </c>
      <c r="AY1344" s="74">
        <v>10000009</v>
      </c>
      <c r="AZ1344" s="74">
        <v>21100050</v>
      </c>
      <c r="BA1344" s="88" t="s">
        <v>206</v>
      </c>
      <c r="BB1344" s="88">
        <v>0</v>
      </c>
      <c r="BC1344" s="75">
        <v>0</v>
      </c>
      <c r="BD1344" s="75">
        <v>0</v>
      </c>
      <c r="BE1344" s="114" t="str">
        <f>"立即恢复自身10%血量,受到伤害有一定概率立即对自身范围内的怪物造成"&amp;X1344*100&amp;"%攻击伤害+"&amp;Z1344&amp;",并对造成2秒眩晕"</f>
        <v>立即恢复自身10%血量,受到伤害有一定概率立即对自身范围内的怪物造成350%攻击伤害+2000,并对造成2秒眩晕</v>
      </c>
      <c r="BF1344" s="114" t="s">
        <v>2837</v>
      </c>
      <c r="BG1344" s="74">
        <v>0</v>
      </c>
      <c r="BH1344" s="72">
        <v>0</v>
      </c>
      <c r="BI1344" s="74">
        <v>0</v>
      </c>
      <c r="BJ1344" s="74">
        <v>0</v>
      </c>
      <c r="BK1344" s="74">
        <v>0</v>
      </c>
      <c r="BL1344" s="74">
        <v>0</v>
      </c>
      <c r="BM1344" s="90">
        <v>0</v>
      </c>
      <c r="BN1344" s="19">
        <v>1</v>
      </c>
      <c r="BO1344" s="19">
        <v>0</v>
      </c>
      <c r="BP1344" s="19">
        <v>0</v>
      </c>
      <c r="BQ1344" s="19">
        <v>0</v>
      </c>
      <c r="BR1344" s="19">
        <v>0</v>
      </c>
      <c r="BS1344" s="19">
        <v>0</v>
      </c>
      <c r="BT1344" s="19">
        <v>0</v>
      </c>
      <c r="BU1344" s="23">
        <v>0</v>
      </c>
      <c r="BV1344" s="23"/>
      <c r="BW1344" s="23"/>
      <c r="BX1344" s="23"/>
      <c r="BY1344" s="23"/>
      <c r="BZ1344" s="23"/>
    </row>
    <row r="1345" spans="1:78" ht="20.100000000000001" customHeight="1">
      <c r="C1345" s="239">
        <v>62000066</v>
      </c>
      <c r="D1345" s="238" t="s">
        <v>2838</v>
      </c>
      <c r="E1345" s="238" t="s">
        <v>2839</v>
      </c>
      <c r="F1345" s="239">
        <v>1</v>
      </c>
      <c r="G1345" s="239">
        <v>40021</v>
      </c>
      <c r="H1345" s="239">
        <v>0</v>
      </c>
      <c r="I1345" s="239">
        <v>0</v>
      </c>
      <c r="J1345" s="239">
        <v>1</v>
      </c>
      <c r="K1345" s="239">
        <v>0</v>
      </c>
      <c r="L1345" s="239">
        <v>0</v>
      </c>
      <c r="M1345" s="239">
        <v>0</v>
      </c>
      <c r="N1345" s="239">
        <v>0</v>
      </c>
      <c r="O1345" s="239">
        <v>2</v>
      </c>
      <c r="P1345" s="239">
        <v>1</v>
      </c>
      <c r="Q1345" s="239">
        <v>1</v>
      </c>
      <c r="R1345" s="239">
        <v>0</v>
      </c>
      <c r="S1345" s="239">
        <v>0</v>
      </c>
      <c r="T1345" s="239">
        <v>0</v>
      </c>
      <c r="U1345" s="239">
        <v>1</v>
      </c>
      <c r="V1345" s="239">
        <v>2</v>
      </c>
      <c r="W1345" s="239">
        <v>0</v>
      </c>
      <c r="X1345" s="239">
        <v>0</v>
      </c>
      <c r="Y1345" s="19">
        <v>0</v>
      </c>
      <c r="Z1345" s="239">
        <v>0</v>
      </c>
      <c r="AA1345" s="239">
        <v>0</v>
      </c>
      <c r="AB1345" s="239">
        <v>0</v>
      </c>
      <c r="AC1345" s="239">
        <v>0</v>
      </c>
      <c r="AD1345" s="239">
        <v>1</v>
      </c>
      <c r="AE1345" s="239">
        <v>0</v>
      </c>
      <c r="AF1345" s="239">
        <v>1</v>
      </c>
      <c r="AG1345" s="239">
        <v>0</v>
      </c>
      <c r="AH1345" s="239">
        <v>0</v>
      </c>
      <c r="AI1345" s="239">
        <v>2</v>
      </c>
      <c r="AJ1345" s="239">
        <v>0</v>
      </c>
      <c r="AK1345" s="239">
        <v>0</v>
      </c>
      <c r="AL1345" s="239">
        <v>0</v>
      </c>
      <c r="AM1345" s="239">
        <v>0</v>
      </c>
      <c r="AN1345" s="239">
        <v>0</v>
      </c>
      <c r="AO1345" s="239">
        <v>0</v>
      </c>
      <c r="AP1345" s="239">
        <v>0</v>
      </c>
      <c r="AQ1345" s="239">
        <v>1000</v>
      </c>
      <c r="AR1345" s="239">
        <v>0</v>
      </c>
      <c r="AS1345" s="239">
        <v>0</v>
      </c>
      <c r="AT1345" s="349" t="s">
        <v>2840</v>
      </c>
      <c r="AU1345" s="239" t="s">
        <v>204</v>
      </c>
      <c r="AV1345" s="239"/>
      <c r="AW1345" s="238" t="s">
        <v>205</v>
      </c>
      <c r="AX1345" s="239" t="s">
        <v>1582</v>
      </c>
      <c r="AY1345" s="239">
        <v>0</v>
      </c>
      <c r="AZ1345" s="239">
        <v>40000003</v>
      </c>
      <c r="BA1345" s="238" t="s">
        <v>206</v>
      </c>
      <c r="BB1345" s="239" t="s">
        <v>204</v>
      </c>
      <c r="BC1345" s="239">
        <v>0</v>
      </c>
      <c r="BD1345" s="239">
        <v>0</v>
      </c>
      <c r="BE1345" s="240" t="s">
        <v>2841</v>
      </c>
      <c r="BF1345" s="240" t="s">
        <v>2842</v>
      </c>
      <c r="BG1345" s="239">
        <v>0</v>
      </c>
      <c r="BH1345" s="239">
        <v>0</v>
      </c>
      <c r="BI1345" s="239">
        <v>0</v>
      </c>
      <c r="BJ1345" s="239">
        <v>0</v>
      </c>
      <c r="BK1345" s="239">
        <v>0</v>
      </c>
      <c r="BL1345" s="239">
        <v>0</v>
      </c>
      <c r="BM1345" s="241">
        <v>0</v>
      </c>
      <c r="BN1345" s="239">
        <v>1</v>
      </c>
      <c r="BO1345" s="19">
        <v>0</v>
      </c>
      <c r="BP1345" s="19">
        <v>0</v>
      </c>
      <c r="BQ1345" s="19">
        <v>0</v>
      </c>
      <c r="BR1345" s="19">
        <v>0</v>
      </c>
      <c r="BS1345" s="19">
        <v>0</v>
      </c>
      <c r="BT1345" s="19">
        <v>0</v>
      </c>
      <c r="BU1345" s="23">
        <v>0</v>
      </c>
      <c r="BV1345" s="23"/>
      <c r="BW1345" s="23"/>
      <c r="BX1345" s="23"/>
      <c r="BY1345" s="23"/>
      <c r="BZ1345" s="23"/>
    </row>
    <row r="1346" spans="1:78" s="4" customFormat="1" ht="20.100000000000001" customHeight="1">
      <c r="A1346" s="231"/>
      <c r="B1346" s="231"/>
      <c r="C1346" s="19">
        <v>62000067</v>
      </c>
      <c r="D1346" s="49" t="s">
        <v>2446</v>
      </c>
      <c r="E1346" s="49" t="s">
        <v>2447</v>
      </c>
      <c r="F1346" s="216">
        <v>1</v>
      </c>
      <c r="G1346" s="50">
        <v>40042</v>
      </c>
      <c r="H1346" s="50">
        <v>0</v>
      </c>
      <c r="I1346" s="50">
        <v>0</v>
      </c>
      <c r="J1346" s="21">
        <v>1</v>
      </c>
      <c r="K1346" s="50">
        <v>0</v>
      </c>
      <c r="L1346" s="50">
        <v>0</v>
      </c>
      <c r="M1346" s="50">
        <v>0</v>
      </c>
      <c r="N1346" s="50">
        <v>0</v>
      </c>
      <c r="O1346" s="50">
        <v>1</v>
      </c>
      <c r="P1346" s="50">
        <v>0</v>
      </c>
      <c r="Q1346" s="50">
        <v>0</v>
      </c>
      <c r="R1346" s="50">
        <v>0</v>
      </c>
      <c r="S1346" s="50">
        <v>0</v>
      </c>
      <c r="T1346" s="50">
        <v>0</v>
      </c>
      <c r="U1346" s="50">
        <v>1</v>
      </c>
      <c r="V1346" s="50">
        <v>1</v>
      </c>
      <c r="W1346" s="50">
        <v>0</v>
      </c>
      <c r="X1346" s="50">
        <v>3.5</v>
      </c>
      <c r="Y1346" s="19">
        <v>0</v>
      </c>
      <c r="Z1346" s="50">
        <v>0</v>
      </c>
      <c r="AA1346" s="50">
        <v>0</v>
      </c>
      <c r="AB1346" s="50">
        <v>0</v>
      </c>
      <c r="AC1346" s="50">
        <v>0</v>
      </c>
      <c r="AD1346" s="50">
        <v>0</v>
      </c>
      <c r="AE1346" s="50">
        <v>0</v>
      </c>
      <c r="AF1346" s="50">
        <v>12</v>
      </c>
      <c r="AG1346" s="50">
        <v>1</v>
      </c>
      <c r="AH1346" s="50">
        <v>3</v>
      </c>
      <c r="AI1346" s="50">
        <v>3</v>
      </c>
      <c r="AJ1346" s="50">
        <v>0</v>
      </c>
      <c r="AK1346" s="50">
        <v>0</v>
      </c>
      <c r="AL1346" s="50">
        <v>1.5</v>
      </c>
      <c r="AM1346" s="50">
        <v>0</v>
      </c>
      <c r="AN1346" s="50">
        <v>0</v>
      </c>
      <c r="AO1346" s="50">
        <v>0</v>
      </c>
      <c r="AP1346" s="50">
        <v>0.2</v>
      </c>
      <c r="AQ1346" s="50">
        <v>2000</v>
      </c>
      <c r="AR1346" s="50">
        <v>0.4</v>
      </c>
      <c r="AS1346" s="50">
        <v>0</v>
      </c>
      <c r="AT1346" s="50">
        <v>0</v>
      </c>
      <c r="AU1346" s="350" t="s">
        <v>2843</v>
      </c>
      <c r="AV1346" s="245"/>
      <c r="AW1346" s="35" t="s">
        <v>204</v>
      </c>
      <c r="AX1346" s="50" t="s">
        <v>551</v>
      </c>
      <c r="AY1346" s="50">
        <v>10000001</v>
      </c>
      <c r="AZ1346" s="50">
        <v>77005302</v>
      </c>
      <c r="BA1346" s="49" t="s">
        <v>206</v>
      </c>
      <c r="BB1346" s="50" t="s">
        <v>2844</v>
      </c>
      <c r="BC1346" s="50">
        <v>0</v>
      </c>
      <c r="BD1346" s="50">
        <v>0</v>
      </c>
      <c r="BE1346" s="52" t="s">
        <v>2845</v>
      </c>
      <c r="BF1346" s="52" t="s">
        <v>2846</v>
      </c>
      <c r="BG1346" s="50">
        <v>0</v>
      </c>
      <c r="BH1346" s="50">
        <v>0</v>
      </c>
      <c r="BI1346" s="50">
        <v>0</v>
      </c>
      <c r="BJ1346" s="50">
        <v>0</v>
      </c>
      <c r="BK1346" s="50">
        <v>0</v>
      </c>
      <c r="BL1346" s="50">
        <v>0</v>
      </c>
      <c r="BM1346" s="233">
        <v>0</v>
      </c>
      <c r="BN1346" s="50">
        <v>0</v>
      </c>
      <c r="BO1346" s="50">
        <v>0</v>
      </c>
      <c r="BP1346" s="50">
        <v>0</v>
      </c>
      <c r="BQ1346" s="50">
        <v>0</v>
      </c>
      <c r="BR1346" s="50">
        <v>0</v>
      </c>
      <c r="BS1346" s="50">
        <v>1</v>
      </c>
      <c r="BT1346" s="50">
        <v>0</v>
      </c>
      <c r="BU1346" s="50">
        <v>0</v>
      </c>
      <c r="BV1346" s="23"/>
      <c r="BW1346" s="23"/>
      <c r="BX1346" s="23"/>
      <c r="BY1346" s="23"/>
      <c r="BZ1346" s="23"/>
    </row>
    <row r="1347" spans="1:78" ht="20.100000000000001" customHeight="1">
      <c r="C1347" s="19">
        <v>62000068</v>
      </c>
      <c r="D1347" s="30" t="s">
        <v>2805</v>
      </c>
      <c r="E1347" s="30" t="s">
        <v>2806</v>
      </c>
      <c r="F1347" s="21">
        <v>1</v>
      </c>
      <c r="G1347" s="21">
        <v>40033</v>
      </c>
      <c r="H1347" s="32">
        <v>0</v>
      </c>
      <c r="I1347" s="31">
        <v>0</v>
      </c>
      <c r="J1347" s="32">
        <v>1</v>
      </c>
      <c r="K1347" s="32">
        <v>0</v>
      </c>
      <c r="L1347" s="32">
        <v>0</v>
      </c>
      <c r="M1347" s="21">
        <v>0</v>
      </c>
      <c r="N1347" s="21">
        <v>0</v>
      </c>
      <c r="O1347" s="21">
        <v>5</v>
      </c>
      <c r="P1347" s="21">
        <v>0</v>
      </c>
      <c r="Q1347" s="21">
        <v>0</v>
      </c>
      <c r="R1347" s="21">
        <v>0</v>
      </c>
      <c r="S1347" s="19">
        <v>0</v>
      </c>
      <c r="T1347" s="21">
        <v>0</v>
      </c>
      <c r="U1347" s="21">
        <v>1</v>
      </c>
      <c r="V1347" s="21">
        <v>2</v>
      </c>
      <c r="W1347" s="21">
        <v>0</v>
      </c>
      <c r="X1347" s="21">
        <v>0</v>
      </c>
      <c r="Y1347" s="19">
        <v>0</v>
      </c>
      <c r="Z1347" s="21">
        <v>0</v>
      </c>
      <c r="AA1347" s="21">
        <v>0</v>
      </c>
      <c r="AB1347" s="21">
        <v>0</v>
      </c>
      <c r="AC1347" s="21">
        <v>0</v>
      </c>
      <c r="AD1347" s="21">
        <v>0</v>
      </c>
      <c r="AE1347" s="21">
        <v>0</v>
      </c>
      <c r="AF1347" s="21">
        <v>9</v>
      </c>
      <c r="AG1347" s="21">
        <v>2</v>
      </c>
      <c r="AH1347" s="21" t="s">
        <v>219</v>
      </c>
      <c r="AI1347" s="19">
        <v>2</v>
      </c>
      <c r="AJ1347" s="19">
        <v>2</v>
      </c>
      <c r="AK1347" s="19">
        <v>0</v>
      </c>
      <c r="AL1347" s="19">
        <v>1.5</v>
      </c>
      <c r="AM1347" s="21">
        <v>0</v>
      </c>
      <c r="AN1347" s="21">
        <v>0</v>
      </c>
      <c r="AO1347" s="21">
        <v>0</v>
      </c>
      <c r="AP1347" s="21">
        <v>1</v>
      </c>
      <c r="AQ1347" s="21">
        <v>3000</v>
      </c>
      <c r="AR1347" s="21">
        <v>0.5</v>
      </c>
      <c r="AS1347" s="21">
        <v>0</v>
      </c>
      <c r="AT1347" s="19">
        <v>0</v>
      </c>
      <c r="AU1347" s="21" t="s">
        <v>204</v>
      </c>
      <c r="AV1347" s="21"/>
      <c r="AW1347" s="30" t="s">
        <v>205</v>
      </c>
      <c r="AX1347" s="21">
        <v>0</v>
      </c>
      <c r="AY1347" s="32">
        <v>0</v>
      </c>
      <c r="AZ1347" s="32">
        <v>0</v>
      </c>
      <c r="BA1347" s="30" t="s">
        <v>206</v>
      </c>
      <c r="BB1347" s="21" t="s">
        <v>2807</v>
      </c>
      <c r="BC1347" s="31">
        <v>0</v>
      </c>
      <c r="BD1347" s="31">
        <v>1</v>
      </c>
      <c r="BE1347" s="33" t="s">
        <v>2808</v>
      </c>
      <c r="BF1347" s="33" t="s">
        <v>2809</v>
      </c>
      <c r="BG1347" s="21"/>
      <c r="BH1347" s="21">
        <v>0</v>
      </c>
      <c r="BI1347" s="21"/>
      <c r="BJ1347" s="21"/>
      <c r="BK1347" s="21"/>
      <c r="BL1347" s="32"/>
      <c r="BM1347" s="21">
        <v>0</v>
      </c>
      <c r="BN1347" s="19">
        <v>0</v>
      </c>
      <c r="BO1347" s="19">
        <v>0</v>
      </c>
      <c r="BP1347" s="19">
        <v>0</v>
      </c>
      <c r="BQ1347" s="19">
        <v>0</v>
      </c>
      <c r="BR1347" s="19">
        <v>0</v>
      </c>
      <c r="BS1347" s="19">
        <v>0</v>
      </c>
      <c r="BT1347" s="19">
        <v>0</v>
      </c>
      <c r="BU1347" s="23">
        <v>0</v>
      </c>
      <c r="BV1347" s="23"/>
      <c r="BW1347" s="23"/>
      <c r="BX1347" s="23"/>
      <c r="BY1347" s="23"/>
      <c r="BZ1347" s="23"/>
    </row>
    <row r="1348" spans="1:78" ht="20.100000000000001" customHeight="1">
      <c r="C1348" s="19">
        <v>62000069</v>
      </c>
      <c r="D1348" s="20" t="s">
        <v>2792</v>
      </c>
      <c r="E1348" s="20" t="s">
        <v>2793</v>
      </c>
      <c r="F1348" s="19">
        <v>1</v>
      </c>
      <c r="G1348" s="19">
        <v>40051</v>
      </c>
      <c r="H1348" s="19">
        <v>0</v>
      </c>
      <c r="I1348" s="19">
        <v>0</v>
      </c>
      <c r="J1348" s="19">
        <v>1</v>
      </c>
      <c r="K1348" s="19">
        <v>0</v>
      </c>
      <c r="L1348" s="21">
        <v>0</v>
      </c>
      <c r="M1348" s="19">
        <v>0</v>
      </c>
      <c r="N1348" s="19">
        <v>0</v>
      </c>
      <c r="O1348" s="19">
        <v>2</v>
      </c>
      <c r="P1348" s="19">
        <v>19</v>
      </c>
      <c r="Q1348" s="19">
        <v>1</v>
      </c>
      <c r="R1348" s="19">
        <v>0</v>
      </c>
      <c r="S1348" s="19">
        <v>0</v>
      </c>
      <c r="T1348" s="19">
        <v>0</v>
      </c>
      <c r="U1348" s="19">
        <v>1</v>
      </c>
      <c r="V1348" s="19">
        <v>2</v>
      </c>
      <c r="W1348" s="19">
        <v>0</v>
      </c>
      <c r="X1348" s="19">
        <v>0</v>
      </c>
      <c r="Y1348" s="19">
        <v>0</v>
      </c>
      <c r="Z1348" s="19">
        <v>0</v>
      </c>
      <c r="AA1348" s="19">
        <v>0</v>
      </c>
      <c r="AB1348" s="19">
        <v>0</v>
      </c>
      <c r="AC1348" s="19">
        <v>0</v>
      </c>
      <c r="AD1348" s="19">
        <v>1</v>
      </c>
      <c r="AE1348" s="19">
        <v>0</v>
      </c>
      <c r="AF1348" s="19">
        <v>1</v>
      </c>
      <c r="AG1348" s="19">
        <v>0</v>
      </c>
      <c r="AH1348" s="19">
        <v>0</v>
      </c>
      <c r="AI1348" s="19">
        <v>2</v>
      </c>
      <c r="AJ1348" s="19">
        <v>0</v>
      </c>
      <c r="AK1348" s="19">
        <v>0</v>
      </c>
      <c r="AL1348" s="19">
        <v>0</v>
      </c>
      <c r="AM1348" s="19">
        <v>0</v>
      </c>
      <c r="AN1348" s="19">
        <v>0</v>
      </c>
      <c r="AO1348" s="19">
        <v>0</v>
      </c>
      <c r="AP1348" s="19">
        <v>0</v>
      </c>
      <c r="AQ1348" s="19">
        <v>1000</v>
      </c>
      <c r="AR1348" s="19">
        <v>0</v>
      </c>
      <c r="AS1348" s="19">
        <v>0</v>
      </c>
      <c r="AT1348" s="19">
        <v>92000043</v>
      </c>
      <c r="AU1348" s="19" t="s">
        <v>204</v>
      </c>
      <c r="AV1348" s="19"/>
      <c r="AW1348" s="20" t="s">
        <v>205</v>
      </c>
      <c r="AX1348" s="19" t="s">
        <v>1582</v>
      </c>
      <c r="AY1348" s="19">
        <v>0</v>
      </c>
      <c r="AZ1348" s="19">
        <v>40000003</v>
      </c>
      <c r="BA1348" s="20" t="s">
        <v>206</v>
      </c>
      <c r="BB1348" s="20" t="s">
        <v>204</v>
      </c>
      <c r="BC1348" s="19">
        <v>0</v>
      </c>
      <c r="BD1348" s="19">
        <v>0</v>
      </c>
      <c r="BE1348" s="22" t="s">
        <v>2794</v>
      </c>
      <c r="BF1348" s="22" t="s">
        <v>2795</v>
      </c>
      <c r="BG1348" s="19">
        <v>0</v>
      </c>
      <c r="BH1348" s="19">
        <v>0</v>
      </c>
      <c r="BI1348" s="19">
        <v>0</v>
      </c>
      <c r="BJ1348" s="19">
        <v>0</v>
      </c>
      <c r="BK1348" s="19">
        <v>0</v>
      </c>
      <c r="BL1348" s="19">
        <v>0</v>
      </c>
      <c r="BM1348" s="187">
        <v>0</v>
      </c>
      <c r="BN1348" s="19">
        <v>1</v>
      </c>
      <c r="BO1348" s="19">
        <v>0</v>
      </c>
      <c r="BP1348" s="19">
        <v>0</v>
      </c>
      <c r="BQ1348" s="19">
        <v>0</v>
      </c>
      <c r="BR1348" s="19">
        <v>0</v>
      </c>
      <c r="BS1348" s="19">
        <v>0</v>
      </c>
      <c r="BT1348" s="19">
        <v>0</v>
      </c>
      <c r="BU1348" s="23">
        <v>0</v>
      </c>
      <c r="BV1348" s="23"/>
      <c r="BW1348" s="23"/>
      <c r="BX1348" s="23"/>
      <c r="BY1348" s="23"/>
      <c r="BZ1348" s="23"/>
    </row>
    <row r="1349" spans="1:78" s="1" customFormat="1" ht="19.5" customHeight="1">
      <c r="A1349" s="218"/>
      <c r="B1349" s="218"/>
      <c r="C1349" s="19">
        <v>62000070</v>
      </c>
      <c r="D1349" s="71" t="s">
        <v>2277</v>
      </c>
      <c r="E1349" s="71" t="s">
        <v>2278</v>
      </c>
      <c r="F1349" s="172">
        <v>1</v>
      </c>
      <c r="G1349" s="74">
        <v>40061</v>
      </c>
      <c r="H1349" s="74">
        <v>0</v>
      </c>
      <c r="I1349" s="75">
        <v>0</v>
      </c>
      <c r="J1349" s="21">
        <v>1</v>
      </c>
      <c r="K1349" s="21">
        <v>0</v>
      </c>
      <c r="L1349" s="74">
        <v>0</v>
      </c>
      <c r="M1349" s="72">
        <v>0</v>
      </c>
      <c r="N1349" s="72">
        <v>0</v>
      </c>
      <c r="O1349" s="72">
        <v>2</v>
      </c>
      <c r="P1349" s="72">
        <v>7</v>
      </c>
      <c r="Q1349" s="72">
        <v>0.05</v>
      </c>
      <c r="R1349" s="72">
        <v>0</v>
      </c>
      <c r="S1349" s="73">
        <v>0</v>
      </c>
      <c r="T1349" s="72">
        <v>0</v>
      </c>
      <c r="U1349" s="72">
        <v>1</v>
      </c>
      <c r="V1349" s="72">
        <v>1</v>
      </c>
      <c r="W1349" s="72">
        <v>0</v>
      </c>
      <c r="X1349" s="72">
        <v>0</v>
      </c>
      <c r="Y1349" s="19">
        <v>0</v>
      </c>
      <c r="Z1349" s="72">
        <v>0</v>
      </c>
      <c r="AA1349" s="72">
        <v>0</v>
      </c>
      <c r="AB1349" s="72">
        <v>0</v>
      </c>
      <c r="AC1349" s="72">
        <v>0</v>
      </c>
      <c r="AD1349" s="72">
        <v>0</v>
      </c>
      <c r="AE1349" s="72">
        <v>0</v>
      </c>
      <c r="AF1349" s="72">
        <v>10</v>
      </c>
      <c r="AG1349" s="72">
        <v>0</v>
      </c>
      <c r="AH1349" s="72">
        <v>0</v>
      </c>
      <c r="AI1349" s="73">
        <v>0</v>
      </c>
      <c r="AJ1349" s="73">
        <v>0</v>
      </c>
      <c r="AK1349" s="73">
        <v>0</v>
      </c>
      <c r="AL1349" s="73">
        <v>1.5</v>
      </c>
      <c r="AM1349" s="72">
        <v>0</v>
      </c>
      <c r="AN1349" s="72">
        <v>0</v>
      </c>
      <c r="AO1349" s="72">
        <v>0</v>
      </c>
      <c r="AP1349" s="74">
        <v>0.2</v>
      </c>
      <c r="AQ1349" s="72">
        <v>3000</v>
      </c>
      <c r="AR1349" s="72">
        <v>0.2</v>
      </c>
      <c r="AS1349" s="72">
        <v>0</v>
      </c>
      <c r="AT1349" s="73">
        <v>0</v>
      </c>
      <c r="AU1349" s="72" t="s">
        <v>204</v>
      </c>
      <c r="AV1349" s="72"/>
      <c r="AW1349" s="35" t="s">
        <v>205</v>
      </c>
      <c r="AX1349" s="72" t="s">
        <v>551</v>
      </c>
      <c r="AY1349" s="74">
        <v>0</v>
      </c>
      <c r="AZ1349" s="74">
        <v>21300030</v>
      </c>
      <c r="BA1349" s="71" t="s">
        <v>1180</v>
      </c>
      <c r="BB1349" s="344" t="s">
        <v>2847</v>
      </c>
      <c r="BC1349" s="75">
        <v>0</v>
      </c>
      <c r="BD1349" s="75">
        <v>0</v>
      </c>
      <c r="BE1349" s="76" t="s">
        <v>2280</v>
      </c>
      <c r="BF1349" s="76" t="s">
        <v>2281</v>
      </c>
      <c r="BG1349" s="72">
        <v>0</v>
      </c>
      <c r="BH1349" s="72">
        <v>0</v>
      </c>
      <c r="BI1349" s="72">
        <v>0</v>
      </c>
      <c r="BJ1349" s="72">
        <v>0</v>
      </c>
      <c r="BK1349" s="72">
        <v>0</v>
      </c>
      <c r="BL1349" s="72">
        <v>0</v>
      </c>
      <c r="BM1349" s="90">
        <v>0</v>
      </c>
      <c r="BN1349" s="73">
        <v>0</v>
      </c>
      <c r="BO1349" s="73">
        <v>0</v>
      </c>
      <c r="BP1349" s="73">
        <v>0</v>
      </c>
      <c r="BQ1349" s="73">
        <v>0</v>
      </c>
      <c r="BR1349" s="73">
        <v>0</v>
      </c>
      <c r="BS1349" s="73">
        <v>0</v>
      </c>
      <c r="BT1349" s="73">
        <v>0</v>
      </c>
      <c r="BU1349" s="73">
        <v>0</v>
      </c>
      <c r="BV1349" s="23"/>
      <c r="BW1349" s="23"/>
      <c r="BX1349" s="23"/>
      <c r="BY1349" s="23"/>
      <c r="BZ1349" s="23"/>
    </row>
    <row r="1350" spans="1:78" ht="20.25" customHeight="1">
      <c r="C1350" s="32">
        <v>62000101</v>
      </c>
      <c r="D1350" s="35" t="s">
        <v>2848</v>
      </c>
      <c r="E1350" s="35" t="s">
        <v>2849</v>
      </c>
      <c r="F1350" s="32">
        <v>1</v>
      </c>
      <c r="G1350" s="32">
        <v>62000101</v>
      </c>
      <c r="H1350" s="32">
        <v>0</v>
      </c>
      <c r="I1350" s="31">
        <v>0</v>
      </c>
      <c r="J1350" s="32">
        <v>1</v>
      </c>
      <c r="K1350" s="32">
        <v>0</v>
      </c>
      <c r="L1350" s="21">
        <v>0</v>
      </c>
      <c r="M1350" s="32">
        <v>0</v>
      </c>
      <c r="N1350" s="32">
        <v>0</v>
      </c>
      <c r="O1350" s="32">
        <v>1</v>
      </c>
      <c r="P1350" s="32">
        <v>0</v>
      </c>
      <c r="Q1350" s="32">
        <v>0</v>
      </c>
      <c r="R1350" s="32">
        <v>0</v>
      </c>
      <c r="S1350" s="19">
        <v>0</v>
      </c>
      <c r="T1350" s="31">
        <v>0</v>
      </c>
      <c r="U1350" s="21">
        <v>1</v>
      </c>
      <c r="V1350" s="32">
        <v>1</v>
      </c>
      <c r="W1350" s="32">
        <v>0</v>
      </c>
      <c r="X1350" s="32">
        <v>3.5</v>
      </c>
      <c r="Y1350" s="19">
        <v>0</v>
      </c>
      <c r="Z1350" s="32">
        <v>1000</v>
      </c>
      <c r="AA1350" s="32">
        <v>0</v>
      </c>
      <c r="AB1350" s="32">
        <v>0</v>
      </c>
      <c r="AC1350" s="32">
        <v>0</v>
      </c>
      <c r="AD1350" s="32">
        <v>0</v>
      </c>
      <c r="AE1350" s="32">
        <v>0</v>
      </c>
      <c r="AF1350" s="32">
        <v>12</v>
      </c>
      <c r="AG1350" s="32">
        <v>0</v>
      </c>
      <c r="AH1350" s="32">
        <v>3</v>
      </c>
      <c r="AI1350" s="19">
        <v>7</v>
      </c>
      <c r="AJ1350" s="19">
        <v>0</v>
      </c>
      <c r="AK1350" s="19">
        <v>0</v>
      </c>
      <c r="AL1350" s="19">
        <v>10</v>
      </c>
      <c r="AM1350" s="32">
        <v>0</v>
      </c>
      <c r="AN1350" s="32">
        <v>0</v>
      </c>
      <c r="AO1350" s="32">
        <v>0</v>
      </c>
      <c r="AP1350" s="32">
        <v>0</v>
      </c>
      <c r="AQ1350" s="32">
        <v>3000</v>
      </c>
      <c r="AR1350" s="32">
        <v>0.5</v>
      </c>
      <c r="AS1350" s="32">
        <v>20</v>
      </c>
      <c r="AT1350" s="19">
        <v>0</v>
      </c>
      <c r="AU1350" s="32" t="s">
        <v>204</v>
      </c>
      <c r="AV1350" s="32"/>
      <c r="AW1350" s="30" t="s">
        <v>248</v>
      </c>
      <c r="AX1350" s="32" t="s">
        <v>1802</v>
      </c>
      <c r="AY1350" s="32">
        <v>10000011</v>
      </c>
      <c r="AZ1350" s="32">
        <v>20001010</v>
      </c>
      <c r="BA1350" s="35" t="s">
        <v>256</v>
      </c>
      <c r="BB1350" s="35" t="s">
        <v>204</v>
      </c>
      <c r="BC1350" s="31">
        <v>0</v>
      </c>
      <c r="BD1350" s="31">
        <v>0</v>
      </c>
      <c r="BE1350" s="33" t="s">
        <v>2850</v>
      </c>
      <c r="BF1350" s="33" t="s">
        <v>2851</v>
      </c>
      <c r="BG1350" s="32">
        <v>0</v>
      </c>
      <c r="BH1350" s="21">
        <v>0</v>
      </c>
      <c r="BI1350" s="32">
        <v>0</v>
      </c>
      <c r="BJ1350" s="32">
        <v>0</v>
      </c>
      <c r="BK1350" s="32">
        <v>0</v>
      </c>
      <c r="BL1350" s="32">
        <v>0</v>
      </c>
      <c r="BM1350" s="25">
        <v>0</v>
      </c>
      <c r="BN1350" s="19">
        <v>0</v>
      </c>
      <c r="BO1350" s="19">
        <v>0</v>
      </c>
      <c r="BP1350" s="19">
        <v>0</v>
      </c>
      <c r="BQ1350" s="19">
        <v>0</v>
      </c>
      <c r="BR1350" s="19">
        <v>0</v>
      </c>
      <c r="BS1350" s="19">
        <v>0</v>
      </c>
      <c r="BT1350" s="19">
        <v>0</v>
      </c>
      <c r="BU1350" s="23">
        <v>0</v>
      </c>
      <c r="BV1350" s="23" t="s">
        <v>2619</v>
      </c>
      <c r="BW1350" s="23"/>
      <c r="BX1350" s="23"/>
      <c r="BY1350" s="23"/>
      <c r="BZ1350" s="23"/>
    </row>
    <row r="1351" spans="1:78" ht="20.25" customHeight="1">
      <c r="C1351" s="74">
        <v>62000102</v>
      </c>
      <c r="D1351" s="88" t="s">
        <v>1808</v>
      </c>
      <c r="E1351" s="88" t="s">
        <v>1809</v>
      </c>
      <c r="F1351" s="74">
        <v>1</v>
      </c>
      <c r="G1351" s="74">
        <v>62011201</v>
      </c>
      <c r="H1351" s="74">
        <v>0</v>
      </c>
      <c r="I1351" s="75">
        <v>0</v>
      </c>
      <c r="J1351" s="74">
        <v>1</v>
      </c>
      <c r="K1351" s="74">
        <v>0</v>
      </c>
      <c r="L1351" s="72">
        <v>0</v>
      </c>
      <c r="M1351" s="74">
        <v>0</v>
      </c>
      <c r="N1351" s="74">
        <v>0</v>
      </c>
      <c r="O1351" s="74">
        <v>2</v>
      </c>
      <c r="P1351" s="74">
        <v>1</v>
      </c>
      <c r="Q1351" s="74">
        <v>0.15</v>
      </c>
      <c r="R1351" s="74">
        <v>0</v>
      </c>
      <c r="S1351" s="73">
        <v>0</v>
      </c>
      <c r="T1351" s="75">
        <v>0</v>
      </c>
      <c r="U1351" s="72">
        <v>1</v>
      </c>
      <c r="V1351" s="74">
        <v>2</v>
      </c>
      <c r="W1351" s="74">
        <v>0</v>
      </c>
      <c r="X1351" s="74">
        <v>1.8</v>
      </c>
      <c r="Y1351" s="19">
        <v>0</v>
      </c>
      <c r="Z1351" s="74">
        <v>700</v>
      </c>
      <c r="AA1351" s="74">
        <v>0</v>
      </c>
      <c r="AB1351" s="74">
        <v>0</v>
      </c>
      <c r="AC1351" s="74">
        <v>0</v>
      </c>
      <c r="AD1351" s="74">
        <v>1</v>
      </c>
      <c r="AE1351" s="74">
        <v>0</v>
      </c>
      <c r="AF1351" s="74">
        <v>10</v>
      </c>
      <c r="AG1351" s="74">
        <v>1</v>
      </c>
      <c r="AH1351" s="74">
        <v>1</v>
      </c>
      <c r="AI1351" s="73">
        <v>2</v>
      </c>
      <c r="AJ1351" s="73">
        <v>2</v>
      </c>
      <c r="AK1351" s="19">
        <v>0</v>
      </c>
      <c r="AL1351" s="73">
        <v>4</v>
      </c>
      <c r="AM1351" s="74">
        <v>0</v>
      </c>
      <c r="AN1351" s="74">
        <v>0</v>
      </c>
      <c r="AO1351" s="74">
        <v>0</v>
      </c>
      <c r="AP1351" s="74">
        <v>0.5</v>
      </c>
      <c r="AQ1351" s="74">
        <v>30000</v>
      </c>
      <c r="AR1351" s="74">
        <v>0.5</v>
      </c>
      <c r="AS1351" s="74">
        <v>10</v>
      </c>
      <c r="AT1351" s="73">
        <v>0</v>
      </c>
      <c r="AU1351" s="74">
        <v>92002001</v>
      </c>
      <c r="AV1351" s="74"/>
      <c r="AW1351" s="71" t="s">
        <v>205</v>
      </c>
      <c r="AX1351" s="74" t="s">
        <v>551</v>
      </c>
      <c r="AY1351" s="74">
        <v>10003002</v>
      </c>
      <c r="AZ1351" s="74">
        <v>21100020</v>
      </c>
      <c r="BA1351" s="88" t="s">
        <v>592</v>
      </c>
      <c r="BB1351" s="88">
        <v>0</v>
      </c>
      <c r="BC1351" s="75">
        <v>0</v>
      </c>
      <c r="BD1351" s="75">
        <v>0</v>
      </c>
      <c r="BE1351" s="76" t="str">
        <f t="shared" ref="BE1351" si="145">"立即对目标范围内的怪物造成"&amp;X1351*100&amp;"%攻击伤害+"&amp;Z1351&amp;"点固定伤害"&amp;",并使目标移动速度降低50%,持续3秒"</f>
        <v>立即对目标范围内的怪物造成180%攻击伤害+700点固定伤害,并使目标移动速度降低50%,持续3秒</v>
      </c>
      <c r="BF1351" s="76" t="s">
        <v>2852</v>
      </c>
      <c r="BG1351" s="74">
        <v>0</v>
      </c>
      <c r="BH1351" s="72">
        <v>0</v>
      </c>
      <c r="BI1351" s="74">
        <v>0</v>
      </c>
      <c r="BJ1351" s="74">
        <v>0</v>
      </c>
      <c r="BK1351" s="74">
        <v>0</v>
      </c>
      <c r="BL1351" s="74">
        <v>0</v>
      </c>
      <c r="BM1351" s="90">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32">
        <v>62000103</v>
      </c>
      <c r="D1352" s="35" t="s">
        <v>2853</v>
      </c>
      <c r="E1352" s="35" t="s">
        <v>2854</v>
      </c>
      <c r="F1352" s="32">
        <v>1</v>
      </c>
      <c r="G1352" s="32">
        <v>62000103</v>
      </c>
      <c r="H1352" s="32">
        <v>0</v>
      </c>
      <c r="I1352" s="31">
        <v>0</v>
      </c>
      <c r="J1352" s="32">
        <v>1</v>
      </c>
      <c r="K1352" s="32">
        <v>0</v>
      </c>
      <c r="L1352" s="21">
        <v>0</v>
      </c>
      <c r="M1352" s="32">
        <v>0</v>
      </c>
      <c r="N1352" s="32">
        <v>0</v>
      </c>
      <c r="O1352" s="32">
        <v>1</v>
      </c>
      <c r="P1352" s="32">
        <v>0</v>
      </c>
      <c r="Q1352" s="32">
        <v>0</v>
      </c>
      <c r="R1352" s="32">
        <v>0</v>
      </c>
      <c r="S1352" s="19">
        <v>0</v>
      </c>
      <c r="T1352" s="31">
        <v>0</v>
      </c>
      <c r="U1352" s="21">
        <v>1</v>
      </c>
      <c r="V1352" s="32">
        <v>2</v>
      </c>
      <c r="W1352" s="32">
        <v>0</v>
      </c>
      <c r="X1352" s="32">
        <v>3.25</v>
      </c>
      <c r="Y1352" s="19">
        <v>0</v>
      </c>
      <c r="Z1352" s="32">
        <v>0</v>
      </c>
      <c r="AA1352" s="32">
        <v>0</v>
      </c>
      <c r="AB1352" s="32">
        <v>0</v>
      </c>
      <c r="AC1352" s="32">
        <v>0</v>
      </c>
      <c r="AD1352" s="32">
        <v>0</v>
      </c>
      <c r="AE1352" s="32">
        <v>0</v>
      </c>
      <c r="AF1352" s="32">
        <v>20</v>
      </c>
      <c r="AG1352" s="32">
        <v>1</v>
      </c>
      <c r="AH1352" s="32">
        <v>4</v>
      </c>
      <c r="AI1352" s="19">
        <v>2</v>
      </c>
      <c r="AJ1352" s="19">
        <v>1</v>
      </c>
      <c r="AK1352" s="19">
        <v>0</v>
      </c>
      <c r="AL1352" s="19">
        <v>6</v>
      </c>
      <c r="AM1352" s="32">
        <v>0</v>
      </c>
      <c r="AN1352" s="32">
        <v>0.5</v>
      </c>
      <c r="AO1352" s="32">
        <v>0</v>
      </c>
      <c r="AP1352" s="32">
        <v>0.5</v>
      </c>
      <c r="AQ1352" s="32">
        <v>30000</v>
      </c>
      <c r="AR1352" s="32">
        <v>0</v>
      </c>
      <c r="AS1352" s="32">
        <v>0</v>
      </c>
      <c r="AT1352" s="19">
        <v>0</v>
      </c>
      <c r="AU1352" s="32">
        <v>93000205</v>
      </c>
      <c r="AV1352" s="32"/>
      <c r="AW1352" s="30" t="s">
        <v>205</v>
      </c>
      <c r="AX1352" s="32" t="s">
        <v>551</v>
      </c>
      <c r="AY1352" s="32">
        <v>10003002</v>
      </c>
      <c r="AZ1352" s="32">
        <v>20001020</v>
      </c>
      <c r="BA1352" s="35" t="s">
        <v>206</v>
      </c>
      <c r="BB1352" s="35">
        <v>0</v>
      </c>
      <c r="BC1352" s="31">
        <v>0</v>
      </c>
      <c r="BD1352" s="31">
        <v>0</v>
      </c>
      <c r="BE1352" s="33" t="s">
        <v>2855</v>
      </c>
      <c r="BF1352" s="33" t="s">
        <v>2856</v>
      </c>
      <c r="BG1352" s="32">
        <v>0</v>
      </c>
      <c r="BH1352" s="21">
        <v>0</v>
      </c>
      <c r="BI1352" s="32">
        <v>0</v>
      </c>
      <c r="BJ1352" s="32">
        <v>0</v>
      </c>
      <c r="BK1352" s="32">
        <v>0</v>
      </c>
      <c r="BL1352" s="32">
        <v>0</v>
      </c>
      <c r="BM1352" s="25">
        <v>0</v>
      </c>
      <c r="BN1352" s="19">
        <v>0</v>
      </c>
      <c r="BO1352" s="19">
        <v>0</v>
      </c>
      <c r="BP1352" s="19">
        <v>0</v>
      </c>
      <c r="BQ1352" s="19">
        <v>0</v>
      </c>
      <c r="BR1352" s="19">
        <v>0</v>
      </c>
      <c r="BS1352" s="19">
        <v>0</v>
      </c>
      <c r="BT1352" s="19">
        <v>0</v>
      </c>
      <c r="BU1352" s="23">
        <v>0</v>
      </c>
      <c r="BV1352" s="23"/>
      <c r="BW1352" s="23"/>
      <c r="BX1352" s="23"/>
      <c r="BY1352" s="23"/>
      <c r="BZ1352" s="23"/>
    </row>
    <row r="1353" spans="1:78" ht="20.25" customHeight="1">
      <c r="C1353" s="74">
        <v>62000104</v>
      </c>
      <c r="D1353" s="88" t="s">
        <v>1398</v>
      </c>
      <c r="E1353" s="88" t="s">
        <v>1399</v>
      </c>
      <c r="F1353" s="74">
        <v>1</v>
      </c>
      <c r="G1353" s="74">
        <v>62012201</v>
      </c>
      <c r="H1353" s="74">
        <v>0</v>
      </c>
      <c r="I1353" s="75">
        <v>0</v>
      </c>
      <c r="J1353" s="74">
        <v>1</v>
      </c>
      <c r="K1353" s="74">
        <v>0</v>
      </c>
      <c r="L1353" s="72">
        <v>0</v>
      </c>
      <c r="M1353" s="74">
        <v>0</v>
      </c>
      <c r="N1353" s="74">
        <v>0</v>
      </c>
      <c r="O1353" s="74">
        <v>2</v>
      </c>
      <c r="P1353" s="74">
        <v>3</v>
      </c>
      <c r="Q1353" s="74">
        <v>0.15</v>
      </c>
      <c r="R1353" s="74">
        <v>0</v>
      </c>
      <c r="S1353" s="73">
        <v>0</v>
      </c>
      <c r="T1353" s="75">
        <v>0</v>
      </c>
      <c r="U1353" s="72">
        <v>1</v>
      </c>
      <c r="V1353" s="74">
        <v>2</v>
      </c>
      <c r="W1353" s="74">
        <v>0</v>
      </c>
      <c r="X1353" s="74">
        <v>1.8</v>
      </c>
      <c r="Y1353" s="19">
        <v>0</v>
      </c>
      <c r="Z1353" s="74">
        <v>700</v>
      </c>
      <c r="AA1353" s="74">
        <v>0</v>
      </c>
      <c r="AB1353" s="74">
        <v>0</v>
      </c>
      <c r="AC1353" s="74">
        <v>0</v>
      </c>
      <c r="AD1353" s="74">
        <v>1</v>
      </c>
      <c r="AE1353" s="74">
        <v>0</v>
      </c>
      <c r="AF1353" s="74">
        <v>10</v>
      </c>
      <c r="AG1353" s="74">
        <v>1</v>
      </c>
      <c r="AH1353" s="74">
        <v>3.5</v>
      </c>
      <c r="AI1353" s="73">
        <v>0</v>
      </c>
      <c r="AJ1353" s="73">
        <v>0</v>
      </c>
      <c r="AK1353" s="19">
        <v>0</v>
      </c>
      <c r="AL1353" s="73">
        <v>4</v>
      </c>
      <c r="AM1353" s="74">
        <v>0</v>
      </c>
      <c r="AN1353" s="74">
        <v>0</v>
      </c>
      <c r="AO1353" s="74">
        <v>0</v>
      </c>
      <c r="AP1353" s="74">
        <v>0</v>
      </c>
      <c r="AQ1353" s="74">
        <v>3000</v>
      </c>
      <c r="AR1353" s="74">
        <v>0</v>
      </c>
      <c r="AS1353" s="74">
        <v>0</v>
      </c>
      <c r="AT1353" s="73">
        <v>0</v>
      </c>
      <c r="AU1353" s="74">
        <v>92005001</v>
      </c>
      <c r="AV1353" s="74"/>
      <c r="AW1353" s="71" t="s">
        <v>205</v>
      </c>
      <c r="AX1353" s="74" t="s">
        <v>540</v>
      </c>
      <c r="AY1353" s="74">
        <v>10000009</v>
      </c>
      <c r="AZ1353" s="74">
        <v>21100050</v>
      </c>
      <c r="BA1353" s="88" t="s">
        <v>206</v>
      </c>
      <c r="BB1353" s="88">
        <v>0</v>
      </c>
      <c r="BC1353" s="75">
        <v>0</v>
      </c>
      <c r="BD1353" s="75">
        <v>0</v>
      </c>
      <c r="BE1353" s="114" t="str">
        <f>"受到伤害有一定概率立即对自身范围内的怪物造成"&amp;X1353*100&amp;"%攻击伤害+"&amp;Z1353&amp;",并击退周围附近敌方目标"</f>
        <v>受到伤害有一定概率立即对自身范围内的怪物造成180%攻击伤害+700,并击退周围附近敌方目标</v>
      </c>
      <c r="BF1353" s="114" t="s">
        <v>2857</v>
      </c>
      <c r="BG1353" s="74">
        <v>0</v>
      </c>
      <c r="BH1353" s="72">
        <v>0</v>
      </c>
      <c r="BI1353" s="74">
        <v>0</v>
      </c>
      <c r="BJ1353" s="74">
        <v>0</v>
      </c>
      <c r="BK1353" s="74">
        <v>0</v>
      </c>
      <c r="BL1353" s="74">
        <v>0</v>
      </c>
      <c r="BM1353" s="90">
        <v>0</v>
      </c>
      <c r="BN1353" s="19">
        <v>1</v>
      </c>
      <c r="BO1353" s="19">
        <v>0</v>
      </c>
      <c r="BP1353" s="19">
        <v>0</v>
      </c>
      <c r="BQ1353" s="19">
        <v>0</v>
      </c>
      <c r="BR1353" s="19">
        <v>0</v>
      </c>
      <c r="BS1353" s="19">
        <v>0</v>
      </c>
      <c r="BT1353" s="19">
        <v>0</v>
      </c>
      <c r="BU1353" s="23">
        <v>0</v>
      </c>
      <c r="BV1353" s="23"/>
      <c r="BW1353" s="23"/>
      <c r="BX1353" s="23"/>
      <c r="BY1353" s="23"/>
      <c r="BZ1353" s="23"/>
    </row>
    <row r="1354" spans="1:78" ht="20.25" customHeight="1">
      <c r="C1354" s="74">
        <v>62000105</v>
      </c>
      <c r="D1354" s="88" t="s">
        <v>2858</v>
      </c>
      <c r="E1354" s="88" t="s">
        <v>2859</v>
      </c>
      <c r="F1354" s="74">
        <v>1</v>
      </c>
      <c r="G1354" s="74">
        <v>62000105</v>
      </c>
      <c r="H1354" s="74">
        <v>0</v>
      </c>
      <c r="I1354" s="75">
        <v>0</v>
      </c>
      <c r="J1354" s="74">
        <v>1</v>
      </c>
      <c r="K1354" s="74">
        <v>0</v>
      </c>
      <c r="L1354" s="72">
        <v>0</v>
      </c>
      <c r="M1354" s="74">
        <v>0</v>
      </c>
      <c r="N1354" s="74">
        <v>0</v>
      </c>
      <c r="O1354" s="74">
        <v>2</v>
      </c>
      <c r="P1354" s="74">
        <v>1</v>
      </c>
      <c r="Q1354" s="74">
        <v>0.15</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12</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92000009</v>
      </c>
      <c r="AU1354" s="74" t="s">
        <v>204</v>
      </c>
      <c r="AV1354" s="74"/>
      <c r="AW1354" s="71" t="s">
        <v>205</v>
      </c>
      <c r="AX1354" s="74" t="s">
        <v>1582</v>
      </c>
      <c r="AY1354" s="74">
        <v>0</v>
      </c>
      <c r="AZ1354" s="74">
        <v>0</v>
      </c>
      <c r="BA1354" s="88" t="s">
        <v>206</v>
      </c>
      <c r="BB1354" s="88" t="s">
        <v>204</v>
      </c>
      <c r="BC1354" s="75">
        <v>0</v>
      </c>
      <c r="BD1354" s="75">
        <v>0</v>
      </c>
      <c r="BE1354" s="76" t="s">
        <v>2860</v>
      </c>
      <c r="BF1354" s="76" t="s">
        <v>2861</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74">
        <v>62000106</v>
      </c>
      <c r="D1355" s="88" t="s">
        <v>2862</v>
      </c>
      <c r="E1355" s="88" t="s">
        <v>2863</v>
      </c>
      <c r="F1355" s="74">
        <v>1</v>
      </c>
      <c r="G1355" s="74">
        <v>62000106</v>
      </c>
      <c r="H1355" s="74">
        <v>0</v>
      </c>
      <c r="I1355" s="75">
        <v>0</v>
      </c>
      <c r="J1355" s="74">
        <v>1</v>
      </c>
      <c r="K1355" s="74">
        <v>0</v>
      </c>
      <c r="L1355" s="72">
        <v>0</v>
      </c>
      <c r="M1355" s="74">
        <v>0</v>
      </c>
      <c r="N1355" s="74">
        <v>0</v>
      </c>
      <c r="O1355" s="74">
        <v>2</v>
      </c>
      <c r="P1355" s="74">
        <v>2</v>
      </c>
      <c r="Q1355" s="74">
        <v>0.3</v>
      </c>
      <c r="R1355" s="74">
        <v>0</v>
      </c>
      <c r="S1355" s="73">
        <v>0</v>
      </c>
      <c r="T1355" s="75">
        <v>0</v>
      </c>
      <c r="U1355" s="72">
        <v>1</v>
      </c>
      <c r="V1355" s="74">
        <v>2</v>
      </c>
      <c r="W1355" s="74">
        <v>0</v>
      </c>
      <c r="X1355" s="74">
        <v>0</v>
      </c>
      <c r="Y1355" s="19">
        <v>0</v>
      </c>
      <c r="Z1355" s="74">
        <v>0</v>
      </c>
      <c r="AA1355" s="74">
        <v>0</v>
      </c>
      <c r="AB1355" s="74">
        <v>0</v>
      </c>
      <c r="AC1355" s="74">
        <v>0</v>
      </c>
      <c r="AD1355" s="74">
        <v>1</v>
      </c>
      <c r="AE1355" s="74">
        <v>0</v>
      </c>
      <c r="AF1355" s="74">
        <v>45</v>
      </c>
      <c r="AG1355" s="74">
        <v>0</v>
      </c>
      <c r="AH1355" s="74">
        <v>0</v>
      </c>
      <c r="AI1355" s="73">
        <v>2</v>
      </c>
      <c r="AJ1355" s="73">
        <v>1</v>
      </c>
      <c r="AK1355" s="19">
        <v>0</v>
      </c>
      <c r="AL1355" s="73">
        <v>0</v>
      </c>
      <c r="AM1355" s="74">
        <v>0</v>
      </c>
      <c r="AN1355" s="74">
        <v>0</v>
      </c>
      <c r="AO1355" s="74">
        <v>0</v>
      </c>
      <c r="AP1355" s="74">
        <v>0</v>
      </c>
      <c r="AQ1355" s="74">
        <v>1000</v>
      </c>
      <c r="AR1355" s="74">
        <v>0</v>
      </c>
      <c r="AS1355" s="74">
        <v>0</v>
      </c>
      <c r="AT1355" s="73">
        <v>92000010</v>
      </c>
      <c r="AU1355" s="74" t="s">
        <v>204</v>
      </c>
      <c r="AV1355" s="74"/>
      <c r="AW1355" s="71" t="s">
        <v>205</v>
      </c>
      <c r="AX1355" s="74" t="s">
        <v>1582</v>
      </c>
      <c r="AY1355" s="74">
        <v>0</v>
      </c>
      <c r="AZ1355" s="74">
        <v>0</v>
      </c>
      <c r="BA1355" s="88" t="s">
        <v>206</v>
      </c>
      <c r="BB1355" s="88" t="s">
        <v>204</v>
      </c>
      <c r="BC1355" s="75">
        <v>0</v>
      </c>
      <c r="BD1355" s="75">
        <v>0</v>
      </c>
      <c r="BE1355" s="89" t="s">
        <v>2864</v>
      </c>
      <c r="BF1355" s="89" t="s">
        <v>2865</v>
      </c>
      <c r="BG1355" s="74">
        <v>0</v>
      </c>
      <c r="BH1355" s="72">
        <v>0</v>
      </c>
      <c r="BI1355" s="74">
        <v>0</v>
      </c>
      <c r="BJ1355" s="74">
        <v>0</v>
      </c>
      <c r="BK1355" s="74">
        <v>0</v>
      </c>
      <c r="BL1355" s="74">
        <v>0</v>
      </c>
      <c r="BM1355" s="90">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62000107</v>
      </c>
      <c r="D1356" s="35" t="s">
        <v>2835</v>
      </c>
      <c r="E1356" s="35" t="s">
        <v>2836</v>
      </c>
      <c r="F1356" s="32">
        <v>1</v>
      </c>
      <c r="G1356" s="32">
        <v>62000107</v>
      </c>
      <c r="H1356" s="32">
        <v>0</v>
      </c>
      <c r="I1356" s="31">
        <v>0</v>
      </c>
      <c r="J1356" s="32">
        <v>1</v>
      </c>
      <c r="K1356" s="32">
        <v>0</v>
      </c>
      <c r="L1356" s="21">
        <v>0</v>
      </c>
      <c r="M1356" s="32">
        <v>0</v>
      </c>
      <c r="N1356" s="32">
        <v>0</v>
      </c>
      <c r="O1356" s="32">
        <v>1</v>
      </c>
      <c r="P1356" s="32">
        <v>0</v>
      </c>
      <c r="Q1356" s="32">
        <v>0</v>
      </c>
      <c r="R1356" s="32">
        <v>0</v>
      </c>
      <c r="S1356" s="19">
        <v>0</v>
      </c>
      <c r="T1356" s="31">
        <v>0</v>
      </c>
      <c r="U1356" s="21">
        <v>1</v>
      </c>
      <c r="V1356" s="32">
        <v>2</v>
      </c>
      <c r="W1356" s="32">
        <v>0</v>
      </c>
      <c r="X1356" s="32">
        <v>2.5</v>
      </c>
      <c r="Y1356" s="19">
        <v>0</v>
      </c>
      <c r="Z1356" s="32">
        <v>0</v>
      </c>
      <c r="AA1356" s="32">
        <v>0</v>
      </c>
      <c r="AB1356" s="32">
        <v>0</v>
      </c>
      <c r="AC1356" s="32">
        <v>0</v>
      </c>
      <c r="AD1356" s="32">
        <v>0</v>
      </c>
      <c r="AE1356" s="32">
        <v>0</v>
      </c>
      <c r="AF1356" s="32">
        <v>18</v>
      </c>
      <c r="AG1356" s="32">
        <v>1</v>
      </c>
      <c r="AH1356" s="32">
        <v>3.5</v>
      </c>
      <c r="AI1356" s="19">
        <v>0</v>
      </c>
      <c r="AJ1356" s="19">
        <v>0</v>
      </c>
      <c r="AK1356" s="19">
        <v>0</v>
      </c>
      <c r="AL1356" s="19">
        <v>4</v>
      </c>
      <c r="AM1356" s="32">
        <v>0</v>
      </c>
      <c r="AN1356" s="32">
        <v>0</v>
      </c>
      <c r="AO1356" s="32">
        <v>0</v>
      </c>
      <c r="AP1356" s="32">
        <v>0.5</v>
      </c>
      <c r="AQ1356" s="32">
        <v>3000</v>
      </c>
      <c r="AR1356" s="32">
        <v>0</v>
      </c>
      <c r="AS1356" s="32">
        <v>0</v>
      </c>
      <c r="AT1356" s="19">
        <v>92000018</v>
      </c>
      <c r="AU1356" s="32" t="s">
        <v>2866</v>
      </c>
      <c r="AV1356" s="32"/>
      <c r="AW1356" s="30" t="s">
        <v>205</v>
      </c>
      <c r="AX1356" s="32" t="s">
        <v>540</v>
      </c>
      <c r="AY1356" s="32">
        <v>10000009</v>
      </c>
      <c r="AZ1356" s="32">
        <v>20001030</v>
      </c>
      <c r="BA1356" s="35" t="s">
        <v>206</v>
      </c>
      <c r="BB1356" s="35">
        <v>0</v>
      </c>
      <c r="BC1356" s="31">
        <v>0</v>
      </c>
      <c r="BD1356" s="31">
        <v>0</v>
      </c>
      <c r="BE1356" s="33" t="s">
        <v>2867</v>
      </c>
      <c r="BF1356" s="33" t="s">
        <v>2868</v>
      </c>
      <c r="BG1356" s="32">
        <v>0</v>
      </c>
      <c r="BH1356" s="21">
        <v>0</v>
      </c>
      <c r="BI1356" s="32">
        <v>0</v>
      </c>
      <c r="BJ1356" s="32">
        <v>0</v>
      </c>
      <c r="BK1356" s="32">
        <v>0</v>
      </c>
      <c r="BL1356" s="32">
        <v>0</v>
      </c>
      <c r="BM1356" s="25">
        <v>0</v>
      </c>
      <c r="BN1356" s="19">
        <v>0</v>
      </c>
      <c r="BO1356" s="19">
        <v>0</v>
      </c>
      <c r="BP1356" s="19">
        <v>0</v>
      </c>
      <c r="BQ1356" s="19">
        <v>0</v>
      </c>
      <c r="BR1356" s="19">
        <v>0</v>
      </c>
      <c r="BS1356" s="19">
        <v>0</v>
      </c>
      <c r="BT1356" s="19">
        <v>0</v>
      </c>
      <c r="BU1356" s="23">
        <v>0</v>
      </c>
      <c r="BV1356" s="23"/>
      <c r="BW1356" s="23"/>
      <c r="BX1356" s="23"/>
      <c r="BY1356" s="23"/>
      <c r="BZ1356" s="23"/>
    </row>
    <row r="1357" spans="1:78" ht="20.25" customHeight="1">
      <c r="C1357" s="32">
        <v>62000108</v>
      </c>
      <c r="D1357" s="35" t="s">
        <v>2869</v>
      </c>
      <c r="E1357" s="35" t="s">
        <v>2870</v>
      </c>
      <c r="F1357" s="32">
        <v>1</v>
      </c>
      <c r="G1357" s="32">
        <v>62000108</v>
      </c>
      <c r="H1357" s="32">
        <v>0</v>
      </c>
      <c r="I1357" s="31">
        <v>0</v>
      </c>
      <c r="J1357" s="32">
        <v>1</v>
      </c>
      <c r="K1357" s="32">
        <v>0</v>
      </c>
      <c r="L1357" s="21">
        <v>0</v>
      </c>
      <c r="M1357" s="32">
        <v>0</v>
      </c>
      <c r="N1357" s="32">
        <v>0</v>
      </c>
      <c r="O1357" s="32">
        <v>2</v>
      </c>
      <c r="P1357" s="32">
        <v>4</v>
      </c>
      <c r="Q1357" s="32">
        <v>1</v>
      </c>
      <c r="R1357" s="32">
        <v>0</v>
      </c>
      <c r="S1357" s="19">
        <v>0</v>
      </c>
      <c r="T1357" s="31">
        <v>0</v>
      </c>
      <c r="U1357" s="21">
        <v>1</v>
      </c>
      <c r="V1357" s="32">
        <v>2</v>
      </c>
      <c r="W1357" s="32">
        <v>0</v>
      </c>
      <c r="X1357" s="32">
        <v>0</v>
      </c>
      <c r="Y1357" s="19">
        <v>0</v>
      </c>
      <c r="Z1357" s="32">
        <v>0</v>
      </c>
      <c r="AA1357" s="32">
        <v>0</v>
      </c>
      <c r="AB1357" s="32">
        <v>0</v>
      </c>
      <c r="AC1357" s="32">
        <v>0</v>
      </c>
      <c r="AD1357" s="32">
        <v>1</v>
      </c>
      <c r="AE1357" s="32">
        <v>0</v>
      </c>
      <c r="AF1357" s="32">
        <v>1</v>
      </c>
      <c r="AG1357" s="32">
        <v>0</v>
      </c>
      <c r="AH1357" s="32">
        <v>0</v>
      </c>
      <c r="AI1357" s="19">
        <v>8</v>
      </c>
      <c r="AJ1357" s="19">
        <v>0</v>
      </c>
      <c r="AK1357" s="19">
        <v>0</v>
      </c>
      <c r="AL1357" s="19">
        <v>0</v>
      </c>
      <c r="AM1357" s="32">
        <v>0</v>
      </c>
      <c r="AN1357" s="32">
        <v>0</v>
      </c>
      <c r="AO1357" s="32">
        <v>0</v>
      </c>
      <c r="AP1357" s="32">
        <v>0</v>
      </c>
      <c r="AQ1357" s="32">
        <v>1000</v>
      </c>
      <c r="AR1357" s="32">
        <v>0</v>
      </c>
      <c r="AS1357" s="32">
        <v>0</v>
      </c>
      <c r="AT1357" s="19">
        <v>92000005</v>
      </c>
      <c r="AU1357" s="32" t="s">
        <v>204</v>
      </c>
      <c r="AV1357" s="32"/>
      <c r="AW1357" s="30" t="s">
        <v>205</v>
      </c>
      <c r="AX1357" s="32" t="s">
        <v>1582</v>
      </c>
      <c r="AY1357" s="32">
        <v>0</v>
      </c>
      <c r="AZ1357" s="32">
        <v>40000003</v>
      </c>
      <c r="BA1357" s="35" t="s">
        <v>206</v>
      </c>
      <c r="BB1357" s="35" t="s">
        <v>204</v>
      </c>
      <c r="BC1357" s="31">
        <v>0</v>
      </c>
      <c r="BD1357" s="31">
        <v>0</v>
      </c>
      <c r="BE1357" s="33" t="s">
        <v>2871</v>
      </c>
      <c r="BF1357" s="33" t="s">
        <v>2872</v>
      </c>
      <c r="BG1357" s="32">
        <v>0</v>
      </c>
      <c r="BH1357" s="21">
        <v>0</v>
      </c>
      <c r="BI1357" s="32">
        <v>0</v>
      </c>
      <c r="BJ1357" s="32">
        <v>0</v>
      </c>
      <c r="BK1357" s="32">
        <v>0</v>
      </c>
      <c r="BL1357" s="32">
        <v>0</v>
      </c>
      <c r="BM1357" s="25">
        <v>0</v>
      </c>
      <c r="BN1357" s="19">
        <v>1</v>
      </c>
      <c r="BO1357" s="19">
        <v>0</v>
      </c>
      <c r="BP1357" s="19">
        <v>0</v>
      </c>
      <c r="BQ1357" s="19">
        <v>0</v>
      </c>
      <c r="BR1357" s="19">
        <v>0</v>
      </c>
      <c r="BS1357" s="19">
        <v>0</v>
      </c>
      <c r="BT1357" s="19">
        <v>0</v>
      </c>
      <c r="BU1357" s="23">
        <v>0</v>
      </c>
      <c r="BV1357" s="23"/>
      <c r="BW1357" s="23"/>
      <c r="BX1357" s="23"/>
      <c r="BY1357" s="23"/>
      <c r="BZ1357" s="23"/>
    </row>
    <row r="1358" spans="1:78" ht="20.25" customHeight="1">
      <c r="C1358" s="32">
        <v>62000109</v>
      </c>
      <c r="D1358" s="35" t="s">
        <v>2873</v>
      </c>
      <c r="E1358" s="35" t="s">
        <v>2874</v>
      </c>
      <c r="F1358" s="32">
        <v>1</v>
      </c>
      <c r="G1358" s="32">
        <v>62000109</v>
      </c>
      <c r="H1358" s="32">
        <v>0</v>
      </c>
      <c r="I1358" s="31">
        <v>0</v>
      </c>
      <c r="J1358" s="32">
        <v>1</v>
      </c>
      <c r="K1358" s="32">
        <v>0</v>
      </c>
      <c r="L1358" s="21">
        <v>0</v>
      </c>
      <c r="M1358" s="32">
        <v>0</v>
      </c>
      <c r="N1358" s="32">
        <v>0</v>
      </c>
      <c r="O1358" s="32">
        <v>1</v>
      </c>
      <c r="P1358" s="32">
        <v>0</v>
      </c>
      <c r="Q1358" s="32">
        <v>0</v>
      </c>
      <c r="R1358" s="32">
        <v>0</v>
      </c>
      <c r="S1358" s="19">
        <v>0</v>
      </c>
      <c r="T1358" s="31">
        <v>0</v>
      </c>
      <c r="U1358" s="21">
        <v>1</v>
      </c>
      <c r="V1358" s="32">
        <v>2</v>
      </c>
      <c r="W1358" s="32">
        <v>0</v>
      </c>
      <c r="X1358" s="32">
        <v>3.5</v>
      </c>
      <c r="Y1358" s="19">
        <v>0</v>
      </c>
      <c r="Z1358" s="32">
        <v>2500</v>
      </c>
      <c r="AA1358" s="32">
        <v>0</v>
      </c>
      <c r="AB1358" s="32">
        <v>0</v>
      </c>
      <c r="AC1358" s="32">
        <v>0</v>
      </c>
      <c r="AD1358" s="32">
        <v>0</v>
      </c>
      <c r="AE1358" s="32">
        <v>0</v>
      </c>
      <c r="AF1358" s="32">
        <v>12</v>
      </c>
      <c r="AG1358" s="32">
        <v>1</v>
      </c>
      <c r="AH1358" s="32">
        <v>3</v>
      </c>
      <c r="AI1358" s="19">
        <v>2</v>
      </c>
      <c r="AJ1358" s="19">
        <v>2</v>
      </c>
      <c r="AK1358" s="19">
        <v>0</v>
      </c>
      <c r="AL1358" s="19">
        <v>4</v>
      </c>
      <c r="AM1358" s="32">
        <v>0</v>
      </c>
      <c r="AN1358" s="32">
        <v>0</v>
      </c>
      <c r="AO1358" s="32">
        <v>0</v>
      </c>
      <c r="AP1358" s="32">
        <v>0.2</v>
      </c>
      <c r="AQ1358" s="32">
        <v>3000</v>
      </c>
      <c r="AR1358" s="32">
        <v>0.2</v>
      </c>
      <c r="AS1358" s="32">
        <v>10</v>
      </c>
      <c r="AT1358" s="19">
        <v>0</v>
      </c>
      <c r="AU1358" s="32">
        <v>92000013</v>
      </c>
      <c r="AV1358" s="32"/>
      <c r="AW1358" s="30" t="s">
        <v>205</v>
      </c>
      <c r="AX1358" s="32" t="s">
        <v>551</v>
      </c>
      <c r="AY1358" s="32">
        <v>10003002</v>
      </c>
      <c r="AZ1358" s="32">
        <v>20001040</v>
      </c>
      <c r="BA1358" s="35" t="s">
        <v>592</v>
      </c>
      <c r="BB1358" s="35">
        <v>0</v>
      </c>
      <c r="BC1358" s="31">
        <v>0</v>
      </c>
      <c r="BD1358" s="31">
        <v>0</v>
      </c>
      <c r="BE1358" s="33" t="s">
        <v>2875</v>
      </c>
      <c r="BF1358" s="33" t="s">
        <v>2876</v>
      </c>
      <c r="BG1358" s="32">
        <v>0</v>
      </c>
      <c r="BH1358" s="21">
        <v>0</v>
      </c>
      <c r="BI1358" s="32">
        <v>0</v>
      </c>
      <c r="BJ1358" s="32">
        <v>0</v>
      </c>
      <c r="BK1358" s="32">
        <v>0</v>
      </c>
      <c r="BL1358" s="32">
        <v>0</v>
      </c>
      <c r="BM1358" s="25">
        <v>0</v>
      </c>
      <c r="BN1358" s="19">
        <v>0</v>
      </c>
      <c r="BO1358" s="19">
        <v>0</v>
      </c>
      <c r="BP1358" s="19">
        <v>0</v>
      </c>
      <c r="BQ1358" s="19">
        <v>0</v>
      </c>
      <c r="BR1358" s="19">
        <v>0</v>
      </c>
      <c r="BS1358" s="19">
        <v>0</v>
      </c>
      <c r="BT1358" s="19">
        <v>0</v>
      </c>
      <c r="BU1358" s="23">
        <v>0</v>
      </c>
      <c r="BV1358" s="23"/>
      <c r="BW1358" s="23"/>
      <c r="BX1358" s="23"/>
      <c r="BY1358" s="23"/>
      <c r="BZ1358" s="23"/>
    </row>
    <row r="1359" spans="1:78" ht="20.25" customHeight="1">
      <c r="C1359" s="32">
        <v>62000110</v>
      </c>
      <c r="D1359" s="35" t="s">
        <v>2877</v>
      </c>
      <c r="E1359" s="35" t="s">
        <v>2859</v>
      </c>
      <c r="F1359" s="32">
        <v>1</v>
      </c>
      <c r="G1359" s="32">
        <v>50002</v>
      </c>
      <c r="H1359" s="32">
        <v>0</v>
      </c>
      <c r="I1359" s="31">
        <v>0</v>
      </c>
      <c r="J1359" s="32">
        <v>1</v>
      </c>
      <c r="K1359" s="32">
        <v>0</v>
      </c>
      <c r="L1359" s="21">
        <v>0</v>
      </c>
      <c r="M1359" s="32">
        <v>0</v>
      </c>
      <c r="N1359" s="32">
        <v>0</v>
      </c>
      <c r="O1359" s="32">
        <v>2</v>
      </c>
      <c r="P1359" s="32">
        <v>1</v>
      </c>
      <c r="Q1359" s="32">
        <v>0.15</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12</v>
      </c>
      <c r="AG1359" s="32">
        <v>0</v>
      </c>
      <c r="AH1359" s="32">
        <v>0</v>
      </c>
      <c r="AI1359" s="19">
        <v>2</v>
      </c>
      <c r="AJ1359" s="19">
        <v>1</v>
      </c>
      <c r="AK1359" s="19">
        <v>0</v>
      </c>
      <c r="AL1359" s="19">
        <v>0</v>
      </c>
      <c r="AM1359" s="32">
        <v>0</v>
      </c>
      <c r="AN1359" s="32">
        <v>0</v>
      </c>
      <c r="AO1359" s="32">
        <v>0</v>
      </c>
      <c r="AP1359" s="32">
        <v>0</v>
      </c>
      <c r="AQ1359" s="32">
        <v>1000</v>
      </c>
      <c r="AR1359" s="32">
        <v>0</v>
      </c>
      <c r="AS1359" s="32">
        <v>0</v>
      </c>
      <c r="AT1359" s="19">
        <v>92000044</v>
      </c>
      <c r="AU1359" s="32" t="s">
        <v>204</v>
      </c>
      <c r="AV1359" s="32"/>
      <c r="AW1359" s="30" t="s">
        <v>205</v>
      </c>
      <c r="AX1359" s="32" t="s">
        <v>1582</v>
      </c>
      <c r="AY1359" s="32">
        <v>0</v>
      </c>
      <c r="AZ1359" s="32">
        <v>0</v>
      </c>
      <c r="BA1359" s="35" t="s">
        <v>206</v>
      </c>
      <c r="BB1359" s="35" t="s">
        <v>204</v>
      </c>
      <c r="BC1359" s="31">
        <v>0</v>
      </c>
      <c r="BD1359" s="31">
        <v>0</v>
      </c>
      <c r="BE1359" s="33" t="s">
        <v>2878</v>
      </c>
      <c r="BF1359" s="33" t="s">
        <v>5696</v>
      </c>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62000111</v>
      </c>
      <c r="D1360" s="35" t="s">
        <v>2824</v>
      </c>
      <c r="E1360" s="35" t="s">
        <v>2825</v>
      </c>
      <c r="F1360" s="32">
        <v>1</v>
      </c>
      <c r="G1360" s="32">
        <v>50003</v>
      </c>
      <c r="H1360" s="32">
        <v>0</v>
      </c>
      <c r="I1360" s="31">
        <v>0</v>
      </c>
      <c r="J1360" s="32">
        <v>1</v>
      </c>
      <c r="K1360" s="32">
        <v>0</v>
      </c>
      <c r="L1360" s="21">
        <v>0</v>
      </c>
      <c r="M1360" s="32">
        <v>0</v>
      </c>
      <c r="N1360" s="32">
        <v>0</v>
      </c>
      <c r="O1360" s="32">
        <v>2</v>
      </c>
      <c r="P1360" s="32">
        <v>7</v>
      </c>
      <c r="Q1360" s="32">
        <v>0.1</v>
      </c>
      <c r="R1360" s="32">
        <v>0</v>
      </c>
      <c r="S1360" s="19">
        <v>0</v>
      </c>
      <c r="T1360" s="31">
        <v>0</v>
      </c>
      <c r="U1360" s="21">
        <v>1</v>
      </c>
      <c r="V1360" s="32">
        <v>2</v>
      </c>
      <c r="W1360" s="32">
        <v>0</v>
      </c>
      <c r="X1360" s="32">
        <v>0</v>
      </c>
      <c r="Y1360" s="19">
        <v>0</v>
      </c>
      <c r="Z1360" s="32">
        <v>0</v>
      </c>
      <c r="AA1360" s="32">
        <v>0</v>
      </c>
      <c r="AB1360" s="32">
        <v>0</v>
      </c>
      <c r="AC1360" s="32">
        <v>0</v>
      </c>
      <c r="AD1360" s="32">
        <v>1</v>
      </c>
      <c r="AE1360" s="32">
        <v>0</v>
      </c>
      <c r="AF1360" s="32">
        <v>3</v>
      </c>
      <c r="AG1360" s="32">
        <v>0</v>
      </c>
      <c r="AH1360" s="32">
        <v>0</v>
      </c>
      <c r="AI1360" s="19">
        <v>2</v>
      </c>
      <c r="AJ1360" s="19">
        <v>0</v>
      </c>
      <c r="AK1360" s="19">
        <v>0</v>
      </c>
      <c r="AL1360" s="19">
        <v>0</v>
      </c>
      <c r="AM1360" s="32">
        <v>0</v>
      </c>
      <c r="AN1360" s="32">
        <v>0</v>
      </c>
      <c r="AO1360" s="32">
        <v>0</v>
      </c>
      <c r="AP1360" s="32">
        <v>0</v>
      </c>
      <c r="AQ1360" s="32">
        <v>1000</v>
      </c>
      <c r="AR1360" s="32">
        <v>0</v>
      </c>
      <c r="AS1360" s="32">
        <v>0</v>
      </c>
      <c r="AT1360" s="19">
        <v>92000045</v>
      </c>
      <c r="AU1360" s="32" t="s">
        <v>204</v>
      </c>
      <c r="AV1360" s="32"/>
      <c r="AW1360" s="30" t="s">
        <v>205</v>
      </c>
      <c r="AX1360" s="32" t="s">
        <v>1582</v>
      </c>
      <c r="AY1360" s="32">
        <v>0</v>
      </c>
      <c r="AZ1360" s="32">
        <v>40000003</v>
      </c>
      <c r="BA1360" s="35" t="s">
        <v>206</v>
      </c>
      <c r="BB1360" s="35" t="s">
        <v>204</v>
      </c>
      <c r="BC1360" s="31">
        <v>0</v>
      </c>
      <c r="BD1360" s="31">
        <v>0</v>
      </c>
      <c r="BE1360" s="33" t="s">
        <v>2879</v>
      </c>
      <c r="BF1360" s="33" t="s">
        <v>5697</v>
      </c>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62000112</v>
      </c>
      <c r="D1361" s="35" t="s">
        <v>2880</v>
      </c>
      <c r="E1361" s="35" t="s">
        <v>2765</v>
      </c>
      <c r="F1361" s="32">
        <v>1</v>
      </c>
      <c r="G1361" s="32">
        <v>50032</v>
      </c>
      <c r="H1361" s="32">
        <v>0</v>
      </c>
      <c r="I1361" s="31">
        <v>0</v>
      </c>
      <c r="J1361" s="32">
        <v>1</v>
      </c>
      <c r="K1361" s="32">
        <v>0</v>
      </c>
      <c r="L1361" s="21">
        <v>0</v>
      </c>
      <c r="M1361" s="32">
        <v>0</v>
      </c>
      <c r="N1361" s="32">
        <v>0</v>
      </c>
      <c r="O1361" s="32">
        <v>2</v>
      </c>
      <c r="P1361" s="32">
        <v>5</v>
      </c>
      <c r="Q1361" s="32">
        <v>1</v>
      </c>
      <c r="R1361" s="32">
        <v>0</v>
      </c>
      <c r="S1361" s="19">
        <v>0</v>
      </c>
      <c r="T1361" s="31">
        <v>0</v>
      </c>
      <c r="U1361" s="21">
        <v>1</v>
      </c>
      <c r="V1361" s="32">
        <v>2</v>
      </c>
      <c r="W1361" s="32">
        <v>0</v>
      </c>
      <c r="X1361" s="32">
        <v>1</v>
      </c>
      <c r="Y1361" s="19">
        <v>0</v>
      </c>
      <c r="Z1361" s="32">
        <v>0</v>
      </c>
      <c r="AA1361" s="32">
        <v>0</v>
      </c>
      <c r="AB1361" s="32">
        <v>0</v>
      </c>
      <c r="AC1361" s="32">
        <v>0</v>
      </c>
      <c r="AD1361" s="32">
        <v>1</v>
      </c>
      <c r="AE1361" s="32">
        <v>0</v>
      </c>
      <c r="AF1361" s="32">
        <v>1</v>
      </c>
      <c r="AG1361" s="32">
        <v>0</v>
      </c>
      <c r="AH1361" s="32">
        <v>0</v>
      </c>
      <c r="AI1361" s="19">
        <v>7</v>
      </c>
      <c r="AJ1361" s="19">
        <v>0</v>
      </c>
      <c r="AK1361" s="19">
        <v>0</v>
      </c>
      <c r="AL1361" s="19">
        <v>3</v>
      </c>
      <c r="AM1361" s="32">
        <v>0</v>
      </c>
      <c r="AN1361" s="32">
        <v>0</v>
      </c>
      <c r="AO1361" s="32">
        <v>0</v>
      </c>
      <c r="AP1361" s="32">
        <v>0</v>
      </c>
      <c r="AQ1361" s="32">
        <v>3000</v>
      </c>
      <c r="AR1361" s="32">
        <v>0.5</v>
      </c>
      <c r="AS1361" s="32">
        <v>0</v>
      </c>
      <c r="AT1361" s="19">
        <v>92000048</v>
      </c>
      <c r="AU1361" s="32">
        <v>0</v>
      </c>
      <c r="AV1361" s="32"/>
      <c r="AW1361" s="30" t="s">
        <v>205</v>
      </c>
      <c r="AX1361" s="32">
        <v>0</v>
      </c>
      <c r="AY1361" s="32">
        <v>0</v>
      </c>
      <c r="AZ1361" s="32">
        <v>0</v>
      </c>
      <c r="BA1361" s="35" t="s">
        <v>206</v>
      </c>
      <c r="BB1361" s="35">
        <v>0</v>
      </c>
      <c r="BC1361" s="31">
        <v>0</v>
      </c>
      <c r="BD1361" s="31">
        <v>0</v>
      </c>
      <c r="BE1361" s="33" t="s">
        <v>2881</v>
      </c>
      <c r="BF1361" s="33" t="s">
        <v>5698</v>
      </c>
      <c r="BG1361" s="32">
        <v>0</v>
      </c>
      <c r="BH1361" s="21">
        <v>0</v>
      </c>
      <c r="BI1361" s="32">
        <v>0</v>
      </c>
      <c r="BJ1361" s="32">
        <v>0</v>
      </c>
      <c r="BK1361" s="32">
        <v>0</v>
      </c>
      <c r="BL1361" s="32">
        <v>0</v>
      </c>
      <c r="BM1361" s="25">
        <v>0</v>
      </c>
      <c r="BN1361" s="19">
        <v>1</v>
      </c>
      <c r="BO1361" s="19">
        <v>0</v>
      </c>
      <c r="BP1361" s="19">
        <v>0</v>
      </c>
      <c r="BQ1361" s="19">
        <v>0</v>
      </c>
      <c r="BR1361" s="19">
        <v>0</v>
      </c>
      <c r="BS1361" s="19">
        <v>0</v>
      </c>
      <c r="BT1361" s="19">
        <v>0</v>
      </c>
      <c r="BU1361" s="23">
        <v>0</v>
      </c>
      <c r="BV1361" s="23"/>
      <c r="BW1361" s="23"/>
      <c r="BX1361" s="23"/>
      <c r="BY1361" s="23"/>
      <c r="BZ1361" s="23"/>
    </row>
    <row r="1362" spans="3:78" ht="20.25" customHeight="1">
      <c r="C1362" s="32">
        <v>62000113</v>
      </c>
      <c r="D1362" s="35" t="s">
        <v>2882</v>
      </c>
      <c r="E1362" s="35" t="s">
        <v>2854</v>
      </c>
      <c r="F1362" s="32">
        <v>1</v>
      </c>
      <c r="G1362" s="32">
        <v>50042</v>
      </c>
      <c r="H1362" s="32">
        <v>0</v>
      </c>
      <c r="I1362" s="31">
        <v>0</v>
      </c>
      <c r="J1362" s="32">
        <v>1</v>
      </c>
      <c r="K1362" s="32">
        <v>0</v>
      </c>
      <c r="L1362" s="21">
        <v>0</v>
      </c>
      <c r="M1362" s="32">
        <v>0</v>
      </c>
      <c r="N1362" s="32">
        <v>0</v>
      </c>
      <c r="O1362" s="32">
        <v>1</v>
      </c>
      <c r="P1362" s="32">
        <v>0</v>
      </c>
      <c r="Q1362" s="32">
        <v>0</v>
      </c>
      <c r="R1362" s="32">
        <v>0</v>
      </c>
      <c r="S1362" s="19">
        <v>0</v>
      </c>
      <c r="T1362" s="31">
        <v>0</v>
      </c>
      <c r="U1362" s="21">
        <v>1</v>
      </c>
      <c r="V1362" s="32">
        <v>2</v>
      </c>
      <c r="W1362" s="32">
        <v>0</v>
      </c>
      <c r="X1362" s="32">
        <v>3.5</v>
      </c>
      <c r="Y1362" s="19">
        <v>0</v>
      </c>
      <c r="Z1362" s="32">
        <v>2500</v>
      </c>
      <c r="AA1362" s="32">
        <v>0</v>
      </c>
      <c r="AB1362" s="32">
        <v>0</v>
      </c>
      <c r="AC1362" s="32">
        <v>0</v>
      </c>
      <c r="AD1362" s="32">
        <v>0</v>
      </c>
      <c r="AE1362" s="32">
        <v>0</v>
      </c>
      <c r="AF1362" s="32">
        <v>20</v>
      </c>
      <c r="AG1362" s="32">
        <v>1</v>
      </c>
      <c r="AH1362" s="32">
        <v>4</v>
      </c>
      <c r="AI1362" s="19">
        <v>2</v>
      </c>
      <c r="AJ1362" s="19">
        <v>1</v>
      </c>
      <c r="AK1362" s="19">
        <v>0</v>
      </c>
      <c r="AL1362" s="19">
        <v>6</v>
      </c>
      <c r="AM1362" s="32">
        <v>0</v>
      </c>
      <c r="AN1362" s="32">
        <v>0</v>
      </c>
      <c r="AO1362" s="32">
        <v>0</v>
      </c>
      <c r="AP1362" s="32">
        <v>0.5</v>
      </c>
      <c r="AQ1362" s="32">
        <v>30000</v>
      </c>
      <c r="AR1362" s="32">
        <v>0</v>
      </c>
      <c r="AS1362" s="32">
        <v>0</v>
      </c>
      <c r="AT1362" s="19">
        <v>0</v>
      </c>
      <c r="AU1362" s="32">
        <v>92000050</v>
      </c>
      <c r="AV1362" s="32"/>
      <c r="AW1362" s="30" t="s">
        <v>205</v>
      </c>
      <c r="AX1362" s="32" t="s">
        <v>551</v>
      </c>
      <c r="AY1362" s="32">
        <v>10003002</v>
      </c>
      <c r="AZ1362" s="32">
        <v>21409001</v>
      </c>
      <c r="BA1362" s="35" t="s">
        <v>206</v>
      </c>
      <c r="BB1362" s="35">
        <v>0</v>
      </c>
      <c r="BC1362" s="31">
        <v>0</v>
      </c>
      <c r="BD1362" s="31">
        <v>0</v>
      </c>
      <c r="BE1362" s="33" t="s">
        <v>2883</v>
      </c>
      <c r="BF1362" s="33" t="s">
        <v>5699</v>
      </c>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62000114</v>
      </c>
      <c r="D1363" s="35" t="s">
        <v>2884</v>
      </c>
      <c r="E1363" s="35" t="s">
        <v>2863</v>
      </c>
      <c r="F1363" s="32">
        <v>1</v>
      </c>
      <c r="G1363" s="32">
        <v>50052</v>
      </c>
      <c r="H1363" s="32">
        <v>0</v>
      </c>
      <c r="I1363" s="31">
        <v>0</v>
      </c>
      <c r="J1363" s="32">
        <v>1</v>
      </c>
      <c r="K1363" s="32">
        <v>0</v>
      </c>
      <c r="L1363" s="21">
        <v>0</v>
      </c>
      <c r="M1363" s="32">
        <v>0</v>
      </c>
      <c r="N1363" s="32">
        <v>0</v>
      </c>
      <c r="O1363" s="32">
        <v>2</v>
      </c>
      <c r="P1363" s="32">
        <v>2</v>
      </c>
      <c r="Q1363" s="32">
        <v>0.5</v>
      </c>
      <c r="R1363" s="32">
        <v>0</v>
      </c>
      <c r="S1363" s="19">
        <v>0</v>
      </c>
      <c r="T1363" s="31">
        <v>0</v>
      </c>
      <c r="U1363" s="21">
        <v>1</v>
      </c>
      <c r="V1363" s="32">
        <v>2</v>
      </c>
      <c r="W1363" s="32">
        <v>0</v>
      </c>
      <c r="X1363" s="32">
        <v>0</v>
      </c>
      <c r="Y1363" s="19">
        <v>0</v>
      </c>
      <c r="Z1363" s="32">
        <v>0</v>
      </c>
      <c r="AA1363" s="32">
        <v>0</v>
      </c>
      <c r="AB1363" s="32">
        <v>0</v>
      </c>
      <c r="AC1363" s="32">
        <v>0</v>
      </c>
      <c r="AD1363" s="32">
        <v>1</v>
      </c>
      <c r="AE1363" s="32">
        <v>0</v>
      </c>
      <c r="AF1363" s="32">
        <v>35</v>
      </c>
      <c r="AG1363" s="32">
        <v>0</v>
      </c>
      <c r="AH1363" s="32">
        <v>0</v>
      </c>
      <c r="AI1363" s="19">
        <v>2</v>
      </c>
      <c r="AJ1363" s="19">
        <v>1</v>
      </c>
      <c r="AK1363" s="19">
        <v>0</v>
      </c>
      <c r="AL1363" s="19">
        <v>0</v>
      </c>
      <c r="AM1363" s="32">
        <v>0</v>
      </c>
      <c r="AN1363" s="32">
        <v>0</v>
      </c>
      <c r="AO1363" s="32">
        <v>0</v>
      </c>
      <c r="AP1363" s="32">
        <v>0</v>
      </c>
      <c r="AQ1363" s="32">
        <v>1000</v>
      </c>
      <c r="AR1363" s="32">
        <v>0</v>
      </c>
      <c r="AS1363" s="32">
        <v>0</v>
      </c>
      <c r="AT1363" s="19">
        <v>92000051</v>
      </c>
      <c r="AU1363" s="32" t="s">
        <v>204</v>
      </c>
      <c r="AV1363" s="32"/>
      <c r="AW1363" s="30" t="s">
        <v>205</v>
      </c>
      <c r="AX1363" s="32" t="s">
        <v>1582</v>
      </c>
      <c r="AY1363" s="32">
        <v>0</v>
      </c>
      <c r="AZ1363" s="32">
        <v>0</v>
      </c>
      <c r="BA1363" s="35" t="s">
        <v>206</v>
      </c>
      <c r="BB1363" s="35" t="s">
        <v>204</v>
      </c>
      <c r="BC1363" s="31">
        <v>0</v>
      </c>
      <c r="BD1363" s="31">
        <v>0</v>
      </c>
      <c r="BE1363" s="33" t="s">
        <v>2885</v>
      </c>
      <c r="BF1363" s="33" t="s">
        <v>5700</v>
      </c>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62000115</v>
      </c>
      <c r="D1364" s="35" t="s">
        <v>2886</v>
      </c>
      <c r="E1364" s="35" t="s">
        <v>2765</v>
      </c>
      <c r="F1364" s="32">
        <v>1</v>
      </c>
      <c r="G1364" s="32">
        <v>50053</v>
      </c>
      <c r="H1364" s="32">
        <v>0</v>
      </c>
      <c r="I1364" s="31">
        <v>0</v>
      </c>
      <c r="J1364" s="32">
        <v>1</v>
      </c>
      <c r="K1364" s="32">
        <v>0</v>
      </c>
      <c r="L1364" s="21">
        <v>0</v>
      </c>
      <c r="M1364" s="32">
        <v>0</v>
      </c>
      <c r="N1364" s="32">
        <v>0</v>
      </c>
      <c r="O1364" s="32">
        <v>2</v>
      </c>
      <c r="P1364" s="32">
        <v>17</v>
      </c>
      <c r="Q1364" s="32">
        <v>0.1</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19">
        <v>92000057</v>
      </c>
      <c r="AV1364" s="32"/>
      <c r="AW1364" s="30" t="s">
        <v>205</v>
      </c>
      <c r="AX1364" s="32">
        <v>0</v>
      </c>
      <c r="AY1364" s="32">
        <v>0</v>
      </c>
      <c r="AZ1364" s="32">
        <v>0</v>
      </c>
      <c r="BA1364" s="35" t="s">
        <v>206</v>
      </c>
      <c r="BB1364" s="35">
        <v>0</v>
      </c>
      <c r="BC1364" s="31">
        <v>0</v>
      </c>
      <c r="BD1364" s="31">
        <v>0</v>
      </c>
      <c r="BE1364" s="33" t="s">
        <v>2887</v>
      </c>
      <c r="BF1364" s="33" t="s">
        <v>5701</v>
      </c>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62000116</v>
      </c>
      <c r="D1365" s="35" t="s">
        <v>2888</v>
      </c>
      <c r="E1365" s="35" t="s">
        <v>2765</v>
      </c>
      <c r="F1365" s="32">
        <v>1</v>
      </c>
      <c r="G1365" s="32">
        <v>50061</v>
      </c>
      <c r="H1365" s="32">
        <v>0</v>
      </c>
      <c r="I1365" s="31">
        <v>0</v>
      </c>
      <c r="J1365" s="32">
        <v>1</v>
      </c>
      <c r="K1365" s="32">
        <v>0</v>
      </c>
      <c r="L1365" s="21">
        <v>0</v>
      </c>
      <c r="M1365" s="32">
        <v>0</v>
      </c>
      <c r="N1365" s="32">
        <v>0</v>
      </c>
      <c r="O1365" s="32">
        <v>2</v>
      </c>
      <c r="P1365" s="32">
        <v>17</v>
      </c>
      <c r="Q1365" s="32">
        <v>0.3</v>
      </c>
      <c r="R1365" s="32">
        <v>0</v>
      </c>
      <c r="S1365" s="19">
        <v>0</v>
      </c>
      <c r="T1365" s="31">
        <v>0</v>
      </c>
      <c r="U1365" s="21">
        <v>1</v>
      </c>
      <c r="V1365" s="32">
        <v>2</v>
      </c>
      <c r="W1365" s="32">
        <v>0</v>
      </c>
      <c r="X1365" s="32">
        <v>1</v>
      </c>
      <c r="Y1365" s="19">
        <v>0</v>
      </c>
      <c r="Z1365" s="32">
        <v>0</v>
      </c>
      <c r="AA1365" s="32">
        <v>0</v>
      </c>
      <c r="AB1365" s="32">
        <v>0</v>
      </c>
      <c r="AC1365" s="32">
        <v>0</v>
      </c>
      <c r="AD1365" s="32">
        <v>1</v>
      </c>
      <c r="AE1365" s="32">
        <v>0</v>
      </c>
      <c r="AF1365" s="32">
        <v>1</v>
      </c>
      <c r="AG1365" s="32">
        <v>0</v>
      </c>
      <c r="AH1365" s="32">
        <v>0</v>
      </c>
      <c r="AI1365" s="19">
        <v>7</v>
      </c>
      <c r="AJ1365" s="19">
        <v>0</v>
      </c>
      <c r="AK1365" s="19">
        <v>0</v>
      </c>
      <c r="AL1365" s="19">
        <v>3</v>
      </c>
      <c r="AM1365" s="32">
        <v>0</v>
      </c>
      <c r="AN1365" s="32">
        <v>0</v>
      </c>
      <c r="AO1365" s="32">
        <v>0</v>
      </c>
      <c r="AP1365" s="32">
        <v>0</v>
      </c>
      <c r="AQ1365" s="32">
        <v>3000</v>
      </c>
      <c r="AR1365" s="32">
        <v>0.5</v>
      </c>
      <c r="AS1365" s="32">
        <v>0</v>
      </c>
      <c r="AT1365" s="19">
        <v>0</v>
      </c>
      <c r="AU1365" s="32">
        <v>92000056</v>
      </c>
      <c r="AV1365" s="32"/>
      <c r="AW1365" s="30" t="s">
        <v>205</v>
      </c>
      <c r="AX1365" s="32">
        <v>0</v>
      </c>
      <c r="AY1365" s="32">
        <v>0</v>
      </c>
      <c r="AZ1365" s="32">
        <v>0</v>
      </c>
      <c r="BA1365" s="35" t="s">
        <v>206</v>
      </c>
      <c r="BB1365" s="35">
        <v>0</v>
      </c>
      <c r="BC1365" s="31">
        <v>0</v>
      </c>
      <c r="BD1365" s="31">
        <v>0</v>
      </c>
      <c r="BE1365" s="33" t="s">
        <v>2889</v>
      </c>
      <c r="BF1365" s="33" t="s">
        <v>5702</v>
      </c>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62000117</v>
      </c>
      <c r="D1366" s="35" t="s">
        <v>2890</v>
      </c>
      <c r="E1366" s="35" t="s">
        <v>2863</v>
      </c>
      <c r="F1366" s="32">
        <v>1</v>
      </c>
      <c r="G1366" s="32">
        <v>50062</v>
      </c>
      <c r="H1366" s="32">
        <v>0</v>
      </c>
      <c r="I1366" s="31">
        <v>0</v>
      </c>
      <c r="J1366" s="32">
        <v>1</v>
      </c>
      <c r="K1366" s="32">
        <v>0</v>
      </c>
      <c r="L1366" s="21">
        <v>0</v>
      </c>
      <c r="M1366" s="32">
        <v>0</v>
      </c>
      <c r="N1366" s="32">
        <v>0</v>
      </c>
      <c r="O1366" s="32">
        <v>2</v>
      </c>
      <c r="P1366" s="32">
        <v>2</v>
      </c>
      <c r="Q1366" s="32">
        <v>0.4</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30</v>
      </c>
      <c r="AG1366" s="32">
        <v>0</v>
      </c>
      <c r="AH1366" s="32">
        <v>0</v>
      </c>
      <c r="AI1366" s="19">
        <v>2</v>
      </c>
      <c r="AJ1366" s="19">
        <v>1</v>
      </c>
      <c r="AK1366" s="19">
        <v>0</v>
      </c>
      <c r="AL1366" s="19">
        <v>0</v>
      </c>
      <c r="AM1366" s="32">
        <v>0</v>
      </c>
      <c r="AN1366" s="32">
        <v>0</v>
      </c>
      <c r="AO1366" s="32">
        <v>0</v>
      </c>
      <c r="AP1366" s="32">
        <v>0</v>
      </c>
      <c r="AQ1366" s="32">
        <v>1000</v>
      </c>
      <c r="AR1366" s="32">
        <v>0</v>
      </c>
      <c r="AS1366" s="32">
        <v>0</v>
      </c>
      <c r="AT1366" s="329" t="s">
        <v>5694</v>
      </c>
      <c r="AU1366" s="32" t="s">
        <v>204</v>
      </c>
      <c r="AV1366" s="32"/>
      <c r="AW1366" s="30" t="s">
        <v>205</v>
      </c>
      <c r="AX1366" s="32" t="s">
        <v>1582</v>
      </c>
      <c r="AY1366" s="32">
        <v>0</v>
      </c>
      <c r="AZ1366" s="32">
        <v>0</v>
      </c>
      <c r="BA1366" s="35" t="s">
        <v>206</v>
      </c>
      <c r="BB1366" s="35" t="s">
        <v>204</v>
      </c>
      <c r="BC1366" s="31">
        <v>0</v>
      </c>
      <c r="BD1366" s="31">
        <v>0</v>
      </c>
      <c r="BE1366" s="33" t="s">
        <v>5695</v>
      </c>
      <c r="BF1366" s="33" t="s">
        <v>5703</v>
      </c>
      <c r="BG1366" s="32">
        <v>0</v>
      </c>
      <c r="BH1366" s="21">
        <v>0</v>
      </c>
      <c r="BI1366" s="32">
        <v>0</v>
      </c>
      <c r="BJ1366" s="32">
        <v>0</v>
      </c>
      <c r="BK1366" s="32">
        <v>0</v>
      </c>
      <c r="BL1366" s="32">
        <v>0</v>
      </c>
      <c r="BM1366" s="25">
        <v>0</v>
      </c>
      <c r="BN1366" s="19">
        <v>0</v>
      </c>
      <c r="BO1366" s="19">
        <v>0</v>
      </c>
      <c r="BP1366" s="19">
        <v>0</v>
      </c>
      <c r="BQ1366" s="19">
        <v>0</v>
      </c>
      <c r="BR1366" s="19">
        <v>0</v>
      </c>
      <c r="BS1366" s="19">
        <v>0</v>
      </c>
      <c r="BT1366" s="19">
        <v>0</v>
      </c>
      <c r="BU1366" s="23">
        <v>0</v>
      </c>
      <c r="BV1366" s="23"/>
      <c r="BW1366" s="23"/>
      <c r="BX1366" s="23"/>
      <c r="BY1366" s="23"/>
      <c r="BZ1366" s="23"/>
    </row>
    <row r="1367" spans="3:78" ht="20.25" customHeight="1">
      <c r="C1367" s="32">
        <v>62000118</v>
      </c>
      <c r="D1367" s="35" t="s">
        <v>2800</v>
      </c>
      <c r="E1367" s="35" t="s">
        <v>2801</v>
      </c>
      <c r="F1367" s="32">
        <v>1</v>
      </c>
      <c r="G1367" s="32">
        <v>50063</v>
      </c>
      <c r="H1367" s="32">
        <v>0</v>
      </c>
      <c r="I1367" s="31">
        <v>0</v>
      </c>
      <c r="J1367" s="32">
        <v>1</v>
      </c>
      <c r="K1367" s="32">
        <v>0</v>
      </c>
      <c r="L1367" s="21">
        <v>0</v>
      </c>
      <c r="M1367" s="32">
        <v>0</v>
      </c>
      <c r="N1367" s="32">
        <v>0</v>
      </c>
      <c r="O1367" s="32">
        <v>2</v>
      </c>
      <c r="P1367" s="32">
        <v>1</v>
      </c>
      <c r="Q1367" s="32">
        <v>0.1</v>
      </c>
      <c r="R1367" s="32">
        <v>0</v>
      </c>
      <c r="S1367" s="19">
        <v>0</v>
      </c>
      <c r="T1367" s="31">
        <v>0</v>
      </c>
      <c r="U1367" s="21">
        <v>1</v>
      </c>
      <c r="V1367" s="32">
        <v>2</v>
      </c>
      <c r="W1367" s="32">
        <v>0</v>
      </c>
      <c r="X1367" s="32">
        <v>0</v>
      </c>
      <c r="Y1367" s="19">
        <v>0</v>
      </c>
      <c r="Z1367" s="32">
        <v>0</v>
      </c>
      <c r="AA1367" s="32">
        <v>0</v>
      </c>
      <c r="AB1367" s="32">
        <v>0</v>
      </c>
      <c r="AC1367" s="32">
        <v>0</v>
      </c>
      <c r="AD1367" s="32">
        <v>1</v>
      </c>
      <c r="AE1367" s="32">
        <v>0</v>
      </c>
      <c r="AF1367" s="32">
        <v>1</v>
      </c>
      <c r="AG1367" s="32">
        <v>0</v>
      </c>
      <c r="AH1367" s="32">
        <v>0</v>
      </c>
      <c r="AI1367" s="19">
        <v>7</v>
      </c>
      <c r="AJ1367" s="19">
        <v>0</v>
      </c>
      <c r="AK1367" s="19">
        <v>0</v>
      </c>
      <c r="AL1367" s="19">
        <v>0</v>
      </c>
      <c r="AM1367" s="32">
        <v>0</v>
      </c>
      <c r="AN1367" s="32">
        <v>0</v>
      </c>
      <c r="AO1367" s="32">
        <v>0</v>
      </c>
      <c r="AP1367" s="32">
        <v>0</v>
      </c>
      <c r="AQ1367" s="32">
        <v>1000</v>
      </c>
      <c r="AR1367" s="32">
        <v>0</v>
      </c>
      <c r="AS1367" s="32">
        <v>0</v>
      </c>
      <c r="AT1367" s="19">
        <v>0</v>
      </c>
      <c r="AU1367" s="32" t="s">
        <v>2891</v>
      </c>
      <c r="AV1367" s="32"/>
      <c r="AW1367" s="30" t="s">
        <v>205</v>
      </c>
      <c r="AX1367" s="32" t="s">
        <v>1582</v>
      </c>
      <c r="AY1367" s="32">
        <v>0</v>
      </c>
      <c r="AZ1367" s="32">
        <v>0</v>
      </c>
      <c r="BA1367" s="35" t="s">
        <v>206</v>
      </c>
      <c r="BB1367" s="35" t="s">
        <v>204</v>
      </c>
      <c r="BC1367" s="31">
        <v>0</v>
      </c>
      <c r="BD1367" s="31">
        <v>0</v>
      </c>
      <c r="BE1367" s="33" t="s">
        <v>2803</v>
      </c>
      <c r="BF1367" s="33" t="s">
        <v>2804</v>
      </c>
      <c r="BG1367" s="32">
        <v>0</v>
      </c>
      <c r="BH1367" s="21">
        <v>0</v>
      </c>
      <c r="BI1367" s="32">
        <v>0</v>
      </c>
      <c r="BJ1367" s="32">
        <v>0</v>
      </c>
      <c r="BK1367" s="32">
        <v>0</v>
      </c>
      <c r="BL1367" s="32">
        <v>0</v>
      </c>
      <c r="BM1367" s="25">
        <v>0</v>
      </c>
      <c r="BN1367" s="19">
        <v>1</v>
      </c>
      <c r="BO1367" s="19">
        <v>0</v>
      </c>
      <c r="BP1367" s="19">
        <v>0</v>
      </c>
      <c r="BQ1367" s="19">
        <v>0</v>
      </c>
      <c r="BR1367" s="19">
        <v>0</v>
      </c>
      <c r="BS1367" s="19">
        <v>0</v>
      </c>
      <c r="BT1367" s="19">
        <v>0</v>
      </c>
      <c r="BU1367" s="23">
        <v>0</v>
      </c>
      <c r="BV1367" s="23"/>
      <c r="BW1367" s="23"/>
      <c r="BX1367" s="23"/>
      <c r="BY1367" s="23"/>
      <c r="BZ1367" s="23"/>
    </row>
    <row r="1368" spans="3:78" ht="19.5" customHeight="1">
      <c r="C1368" s="32">
        <v>62000119</v>
      </c>
      <c r="D1368" s="35" t="s">
        <v>2508</v>
      </c>
      <c r="E1368" s="35" t="s">
        <v>1712</v>
      </c>
      <c r="F1368" s="21">
        <v>1</v>
      </c>
      <c r="G1368" s="19">
        <v>50023</v>
      </c>
      <c r="H1368" s="32">
        <v>0</v>
      </c>
      <c r="I1368" s="31">
        <v>0</v>
      </c>
      <c r="J1368" s="21">
        <v>1</v>
      </c>
      <c r="K1368" s="21">
        <v>0</v>
      </c>
      <c r="L1368" s="21">
        <v>0</v>
      </c>
      <c r="M1368" s="32">
        <v>0</v>
      </c>
      <c r="N1368" s="32">
        <v>0</v>
      </c>
      <c r="O1368" s="32">
        <v>2</v>
      </c>
      <c r="P1368" s="32">
        <v>1</v>
      </c>
      <c r="Q1368" s="32">
        <v>0.1</v>
      </c>
      <c r="R1368" s="32">
        <v>0</v>
      </c>
      <c r="S1368" s="19">
        <v>0</v>
      </c>
      <c r="T1368" s="31">
        <v>0</v>
      </c>
      <c r="U1368" s="21">
        <v>1</v>
      </c>
      <c r="V1368" s="32">
        <v>2</v>
      </c>
      <c r="W1368" s="32">
        <v>0</v>
      </c>
      <c r="X1368" s="32">
        <v>3</v>
      </c>
      <c r="Y1368" s="19">
        <v>0</v>
      </c>
      <c r="Z1368" s="32">
        <v>1500</v>
      </c>
      <c r="AA1368" s="32">
        <v>0</v>
      </c>
      <c r="AB1368" s="32">
        <v>0</v>
      </c>
      <c r="AC1368" s="32">
        <v>0</v>
      </c>
      <c r="AD1368" s="32">
        <v>0</v>
      </c>
      <c r="AE1368" s="32">
        <v>0</v>
      </c>
      <c r="AF1368" s="32">
        <v>10</v>
      </c>
      <c r="AG1368" s="32">
        <v>2</v>
      </c>
      <c r="AH1368" s="32" t="s">
        <v>807</v>
      </c>
      <c r="AI1368" s="19">
        <v>2</v>
      </c>
      <c r="AJ1368" s="19">
        <v>3</v>
      </c>
      <c r="AK1368" s="19">
        <v>0</v>
      </c>
      <c r="AL1368" s="19">
        <v>2</v>
      </c>
      <c r="AM1368" s="32">
        <v>0</v>
      </c>
      <c r="AN1368" s="32">
        <v>0</v>
      </c>
      <c r="AO1368" s="32">
        <v>0</v>
      </c>
      <c r="AP1368" s="32">
        <v>0.25</v>
      </c>
      <c r="AQ1368" s="32">
        <v>3000</v>
      </c>
      <c r="AR1368" s="32">
        <v>0.1</v>
      </c>
      <c r="AS1368" s="32">
        <v>0</v>
      </c>
      <c r="AT1368" s="19">
        <v>0</v>
      </c>
      <c r="AU1368" s="339" t="s">
        <v>2510</v>
      </c>
      <c r="AV1368" s="32"/>
      <c r="AW1368" s="35" t="s">
        <v>262</v>
      </c>
      <c r="AX1368" s="32" t="s">
        <v>551</v>
      </c>
      <c r="AY1368" s="32">
        <v>10001007</v>
      </c>
      <c r="AZ1368" s="32">
        <v>21401010</v>
      </c>
      <c r="BA1368" s="35" t="s">
        <v>206</v>
      </c>
      <c r="BB1368" s="35">
        <v>0</v>
      </c>
      <c r="BC1368" s="31">
        <v>0</v>
      </c>
      <c r="BD1368" s="31">
        <v>0</v>
      </c>
      <c r="BE1368" s="185" t="str">
        <f t="shared" ref="BE1368" si="146">"立即对前方范围内的敌人造成"&amp;X1368*100&amp;"%攻击伤害+"&amp;Z1368&amp;"点固定伤害,并将其置空1秒"</f>
        <v>立即对前方范围内的敌人造成300%攻击伤害+1500点固定伤害,并将其置空1秒</v>
      </c>
      <c r="BF1368" s="185" t="s">
        <v>1715</v>
      </c>
      <c r="BG1368" s="32">
        <v>0</v>
      </c>
      <c r="BH1368" s="21">
        <v>0</v>
      </c>
      <c r="BI1368" s="32">
        <v>0</v>
      </c>
      <c r="BJ1368" s="32">
        <v>0</v>
      </c>
      <c r="BK1368" s="32">
        <v>0</v>
      </c>
      <c r="BL1368" s="32">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19.5" customHeight="1">
      <c r="C1369" s="180">
        <v>62000120</v>
      </c>
      <c r="D1369" s="179" t="s">
        <v>2892</v>
      </c>
      <c r="E1369" s="179" t="s">
        <v>2785</v>
      </c>
      <c r="F1369" s="32">
        <v>1</v>
      </c>
      <c r="G1369" s="21">
        <v>60010100</v>
      </c>
      <c r="H1369" s="32">
        <v>0</v>
      </c>
      <c r="I1369" s="31">
        <v>0</v>
      </c>
      <c r="J1369" s="32">
        <v>1</v>
      </c>
      <c r="K1369" s="32">
        <v>0</v>
      </c>
      <c r="L1369" s="32">
        <v>0</v>
      </c>
      <c r="M1369" s="21">
        <v>0</v>
      </c>
      <c r="N1369" s="21">
        <v>0</v>
      </c>
      <c r="O1369" s="21">
        <v>2</v>
      </c>
      <c r="P1369" s="21">
        <v>1</v>
      </c>
      <c r="Q1369" s="21">
        <v>1</v>
      </c>
      <c r="R1369" s="21">
        <v>0</v>
      </c>
      <c r="S1369" s="19">
        <v>0</v>
      </c>
      <c r="T1369" s="21">
        <v>0</v>
      </c>
      <c r="U1369" s="21">
        <v>1</v>
      </c>
      <c r="V1369" s="21">
        <v>2</v>
      </c>
      <c r="W1369" s="21">
        <v>0</v>
      </c>
      <c r="X1369" s="21">
        <v>3.5</v>
      </c>
      <c r="Y1369" s="19">
        <v>0</v>
      </c>
      <c r="Z1369" s="21">
        <v>0</v>
      </c>
      <c r="AA1369" s="21">
        <v>0</v>
      </c>
      <c r="AB1369" s="21">
        <v>0</v>
      </c>
      <c r="AC1369" s="21">
        <v>0</v>
      </c>
      <c r="AD1369" s="21">
        <v>0</v>
      </c>
      <c r="AE1369" s="21">
        <v>0</v>
      </c>
      <c r="AF1369" s="21">
        <v>1</v>
      </c>
      <c r="AG1369" s="21">
        <v>1</v>
      </c>
      <c r="AH1369" s="21">
        <v>3</v>
      </c>
      <c r="AI1369" s="19">
        <v>1</v>
      </c>
      <c r="AJ1369" s="19">
        <v>0</v>
      </c>
      <c r="AK1369" s="19">
        <v>0</v>
      </c>
      <c r="AL1369" s="19">
        <v>0</v>
      </c>
      <c r="AM1369" s="21">
        <v>0</v>
      </c>
      <c r="AN1369" s="21">
        <v>0</v>
      </c>
      <c r="AO1369" s="21">
        <v>0</v>
      </c>
      <c r="AP1369" s="21">
        <v>0</v>
      </c>
      <c r="AQ1369" s="21">
        <v>5000</v>
      </c>
      <c r="AR1369" s="21">
        <v>0</v>
      </c>
      <c r="AS1369" s="21">
        <v>0</v>
      </c>
      <c r="AT1369" s="19">
        <v>0</v>
      </c>
      <c r="AU1369" s="32">
        <v>92000050</v>
      </c>
      <c r="AV1369" s="21"/>
      <c r="AW1369" s="35" t="s">
        <v>262</v>
      </c>
      <c r="AX1369" s="21" t="s">
        <v>540</v>
      </c>
      <c r="AY1369" s="32">
        <v>10000007</v>
      </c>
      <c r="AZ1369" s="32">
        <v>70403005</v>
      </c>
      <c r="BA1369" s="30" t="s">
        <v>206</v>
      </c>
      <c r="BB1369" s="21">
        <v>0</v>
      </c>
      <c r="BC1369" s="31">
        <v>0</v>
      </c>
      <c r="BD1369" s="31">
        <v>0</v>
      </c>
      <c r="BE1369" s="33" t="s">
        <v>2786</v>
      </c>
      <c r="BF1369" s="33" t="s">
        <v>2787</v>
      </c>
      <c r="BG1369" s="21">
        <v>0</v>
      </c>
      <c r="BH1369" s="21">
        <v>0</v>
      </c>
      <c r="BI1369" s="21">
        <v>0</v>
      </c>
      <c r="BJ1369" s="21">
        <v>0</v>
      </c>
      <c r="BK1369" s="21">
        <v>0</v>
      </c>
      <c r="BL1369" s="21">
        <v>0</v>
      </c>
      <c r="BM1369" s="25">
        <v>0</v>
      </c>
      <c r="BN1369" s="19">
        <v>0</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62000121</v>
      </c>
      <c r="D1370" s="30" t="s">
        <v>2893</v>
      </c>
      <c r="E1370" s="30" t="s">
        <v>2806</v>
      </c>
      <c r="F1370" s="21">
        <v>1</v>
      </c>
      <c r="G1370" s="21">
        <v>40033</v>
      </c>
      <c r="H1370" s="32">
        <v>0</v>
      </c>
      <c r="I1370" s="31">
        <v>0</v>
      </c>
      <c r="J1370" s="32">
        <v>1</v>
      </c>
      <c r="K1370" s="32">
        <v>0</v>
      </c>
      <c r="L1370" s="32">
        <v>0</v>
      </c>
      <c r="M1370" s="21">
        <v>0</v>
      </c>
      <c r="N1370" s="21">
        <v>0</v>
      </c>
      <c r="O1370" s="21">
        <v>8</v>
      </c>
      <c r="P1370" s="21">
        <v>0</v>
      </c>
      <c r="Q1370" s="21">
        <v>0</v>
      </c>
      <c r="R1370" s="21">
        <v>0</v>
      </c>
      <c r="S1370" s="19">
        <v>0</v>
      </c>
      <c r="T1370" s="21">
        <v>0</v>
      </c>
      <c r="U1370" s="21">
        <v>1</v>
      </c>
      <c r="V1370" s="21">
        <v>2</v>
      </c>
      <c r="W1370" s="21">
        <v>0</v>
      </c>
      <c r="X1370" s="21">
        <v>0</v>
      </c>
      <c r="Y1370" s="19">
        <v>0</v>
      </c>
      <c r="Z1370" s="21">
        <v>0</v>
      </c>
      <c r="AA1370" s="21">
        <v>0</v>
      </c>
      <c r="AB1370" s="21">
        <v>0</v>
      </c>
      <c r="AC1370" s="21">
        <v>0</v>
      </c>
      <c r="AD1370" s="21">
        <v>0</v>
      </c>
      <c r="AE1370" s="21">
        <v>0</v>
      </c>
      <c r="AF1370" s="21">
        <v>9</v>
      </c>
      <c r="AG1370" s="21">
        <v>2</v>
      </c>
      <c r="AH1370" s="21" t="s">
        <v>219</v>
      </c>
      <c r="AI1370" s="19">
        <v>2</v>
      </c>
      <c r="AJ1370" s="19">
        <v>2</v>
      </c>
      <c r="AK1370" s="19">
        <v>0</v>
      </c>
      <c r="AL1370" s="19">
        <v>1.5</v>
      </c>
      <c r="AM1370" s="21">
        <v>0</v>
      </c>
      <c r="AN1370" s="21">
        <v>0</v>
      </c>
      <c r="AO1370" s="21">
        <v>0</v>
      </c>
      <c r="AP1370" s="21">
        <v>1</v>
      </c>
      <c r="AQ1370" s="21">
        <v>3000</v>
      </c>
      <c r="AR1370" s="21">
        <v>0.5</v>
      </c>
      <c r="AS1370" s="21">
        <v>0</v>
      </c>
      <c r="AT1370" s="19">
        <v>0</v>
      </c>
      <c r="AU1370" s="21" t="s">
        <v>204</v>
      </c>
      <c r="AV1370" s="21"/>
      <c r="AW1370" s="30" t="s">
        <v>205</v>
      </c>
      <c r="AX1370" s="21">
        <v>0</v>
      </c>
      <c r="AY1370" s="32">
        <v>0</v>
      </c>
      <c r="AZ1370" s="32">
        <v>0</v>
      </c>
      <c r="BA1370" s="30" t="s">
        <v>206</v>
      </c>
      <c r="BB1370" s="21" t="s">
        <v>2894</v>
      </c>
      <c r="BC1370" s="31">
        <v>0</v>
      </c>
      <c r="BD1370" s="31">
        <v>1</v>
      </c>
      <c r="BE1370" s="33" t="s">
        <v>2895</v>
      </c>
      <c r="BF1370" s="33" t="s">
        <v>2809</v>
      </c>
      <c r="BG1370" s="21"/>
      <c r="BH1370" s="21">
        <v>0</v>
      </c>
      <c r="BI1370" s="21"/>
      <c r="BJ1370" s="21"/>
      <c r="BK1370" s="21"/>
      <c r="BL1370" s="32"/>
      <c r="BM1370" s="21">
        <v>0</v>
      </c>
      <c r="BN1370" s="19">
        <v>0</v>
      </c>
      <c r="BO1370" s="19">
        <v>0</v>
      </c>
      <c r="BP1370" s="19">
        <v>0</v>
      </c>
      <c r="BQ1370" s="19">
        <v>0</v>
      </c>
      <c r="BR1370" s="19">
        <v>0</v>
      </c>
      <c r="BS1370" s="19">
        <v>0</v>
      </c>
      <c r="BT1370" s="19">
        <v>0</v>
      </c>
      <c r="BU1370" s="23">
        <v>0</v>
      </c>
      <c r="BV1370" s="23"/>
      <c r="BW1370" s="23"/>
      <c r="BX1370" s="23"/>
      <c r="BY1370" s="23"/>
      <c r="BZ1370" s="23"/>
    </row>
    <row r="1371" spans="3:78" ht="20.25" customHeight="1">
      <c r="C1371" s="21">
        <v>63001001</v>
      </c>
      <c r="D1371" s="35" t="s">
        <v>2896</v>
      </c>
      <c r="E1371" s="35" t="s">
        <v>2897</v>
      </c>
      <c r="F1371" s="32">
        <v>1</v>
      </c>
      <c r="G1371" s="32">
        <v>63001001</v>
      </c>
      <c r="H1371" s="32">
        <v>0</v>
      </c>
      <c r="I1371" s="31">
        <v>0</v>
      </c>
      <c r="J1371" s="32">
        <v>1</v>
      </c>
      <c r="K1371" s="32">
        <v>0</v>
      </c>
      <c r="L1371" s="21">
        <v>0</v>
      </c>
      <c r="M1371" s="32">
        <v>0</v>
      </c>
      <c r="N1371" s="32">
        <v>0</v>
      </c>
      <c r="O1371" s="32">
        <v>2</v>
      </c>
      <c r="P1371" s="32">
        <v>12</v>
      </c>
      <c r="Q1371" s="32">
        <v>1</v>
      </c>
      <c r="R1371" s="32">
        <v>0</v>
      </c>
      <c r="S1371" s="19">
        <v>0</v>
      </c>
      <c r="T1371" s="31">
        <v>0</v>
      </c>
      <c r="U1371" s="21">
        <v>1</v>
      </c>
      <c r="V1371" s="32">
        <v>2</v>
      </c>
      <c r="W1371" s="32">
        <v>0</v>
      </c>
      <c r="X1371" s="32">
        <v>0</v>
      </c>
      <c r="Y1371" s="19">
        <v>0</v>
      </c>
      <c r="Z1371" s="32">
        <v>0</v>
      </c>
      <c r="AA1371" s="32">
        <v>0</v>
      </c>
      <c r="AB1371" s="32">
        <v>0</v>
      </c>
      <c r="AC1371" s="32">
        <v>0</v>
      </c>
      <c r="AD1371" s="32">
        <v>1</v>
      </c>
      <c r="AE1371" s="32">
        <v>0</v>
      </c>
      <c r="AF1371" s="32">
        <v>60</v>
      </c>
      <c r="AG1371" s="32">
        <v>1</v>
      </c>
      <c r="AH1371" s="32" t="s">
        <v>613</v>
      </c>
      <c r="AI1371" s="19">
        <v>0</v>
      </c>
      <c r="AJ1371" s="19">
        <v>0</v>
      </c>
      <c r="AK1371" s="19">
        <v>0</v>
      </c>
      <c r="AL1371" s="19">
        <v>0</v>
      </c>
      <c r="AM1371" s="32">
        <v>0</v>
      </c>
      <c r="AN1371" s="32">
        <v>0</v>
      </c>
      <c r="AO1371" s="32">
        <v>0</v>
      </c>
      <c r="AP1371" s="32">
        <v>0</v>
      </c>
      <c r="AQ1371" s="32">
        <v>50000</v>
      </c>
      <c r="AR1371" s="32">
        <v>0</v>
      </c>
      <c r="AS1371" s="32">
        <v>0</v>
      </c>
      <c r="AT1371" s="19">
        <v>0</v>
      </c>
      <c r="AU1371" s="32">
        <v>90501001</v>
      </c>
      <c r="AV1371" s="32"/>
      <c r="AW1371" s="30" t="s">
        <v>204</v>
      </c>
      <c r="AX1371" s="32">
        <v>0</v>
      </c>
      <c r="AY1371" s="32">
        <v>0</v>
      </c>
      <c r="AZ1371" s="32">
        <v>0</v>
      </c>
      <c r="BA1371" s="35" t="s">
        <v>2898</v>
      </c>
      <c r="BB1371" s="35">
        <v>0</v>
      </c>
      <c r="BC1371" s="31">
        <v>0</v>
      </c>
      <c r="BD1371" s="31">
        <v>0</v>
      </c>
      <c r="BE1371" s="33" t="s">
        <v>2899</v>
      </c>
      <c r="BF1371" s="33" t="s">
        <v>2900</v>
      </c>
      <c r="BG1371" s="32">
        <v>0</v>
      </c>
      <c r="BH1371" s="21">
        <v>0</v>
      </c>
      <c r="BI1371" s="32">
        <v>0</v>
      </c>
      <c r="BJ1371" s="32">
        <v>0</v>
      </c>
      <c r="BK1371" s="32">
        <v>0</v>
      </c>
      <c r="BL1371" s="32">
        <v>0</v>
      </c>
      <c r="BM1371" s="25">
        <v>0</v>
      </c>
      <c r="BN1371" s="19">
        <v>1</v>
      </c>
      <c r="BO1371" s="19">
        <v>0</v>
      </c>
      <c r="BP1371" s="19">
        <v>0</v>
      </c>
      <c r="BQ1371" s="19">
        <v>0</v>
      </c>
      <c r="BR1371" s="19">
        <v>0</v>
      </c>
      <c r="BS1371" s="19">
        <v>0</v>
      </c>
      <c r="BT1371" s="19">
        <v>0</v>
      </c>
      <c r="BU1371" s="23">
        <v>0</v>
      </c>
      <c r="BV1371" s="23"/>
      <c r="BW1371" s="23"/>
      <c r="BX1371" s="23"/>
      <c r="BY1371" s="23"/>
      <c r="BZ1371" s="23"/>
    </row>
    <row r="1372" spans="3:78" ht="20.100000000000001" customHeight="1">
      <c r="C1372" s="21">
        <v>63001002</v>
      </c>
      <c r="D1372" s="30" t="s">
        <v>2901</v>
      </c>
      <c r="E1372" s="30" t="s">
        <v>2902</v>
      </c>
      <c r="F1372" s="21">
        <v>1</v>
      </c>
      <c r="G1372" s="21">
        <v>63001002</v>
      </c>
      <c r="H1372" s="32">
        <v>0</v>
      </c>
      <c r="I1372" s="31">
        <v>0</v>
      </c>
      <c r="J1372" s="32">
        <v>1</v>
      </c>
      <c r="K1372" s="32">
        <v>0</v>
      </c>
      <c r="L1372" s="21">
        <v>0</v>
      </c>
      <c r="M1372" s="21">
        <v>0</v>
      </c>
      <c r="N1372" s="21">
        <v>0</v>
      </c>
      <c r="O1372" s="21">
        <v>8</v>
      </c>
      <c r="P1372" s="21">
        <v>0</v>
      </c>
      <c r="Q1372" s="21">
        <v>0</v>
      </c>
      <c r="R1372" s="21">
        <v>0</v>
      </c>
      <c r="S1372" s="19">
        <v>0</v>
      </c>
      <c r="T1372" s="21">
        <v>0</v>
      </c>
      <c r="U1372" s="21">
        <v>1</v>
      </c>
      <c r="V1372" s="21">
        <v>2</v>
      </c>
      <c r="W1372" s="21">
        <v>0</v>
      </c>
      <c r="X1372" s="32">
        <v>0</v>
      </c>
      <c r="Y1372" s="19">
        <v>0</v>
      </c>
      <c r="Z1372" s="32">
        <v>0</v>
      </c>
      <c r="AA1372" s="21">
        <v>0</v>
      </c>
      <c r="AB1372" s="21">
        <v>0</v>
      </c>
      <c r="AC1372" s="21">
        <v>0</v>
      </c>
      <c r="AD1372" s="21">
        <v>1</v>
      </c>
      <c r="AE1372" s="21">
        <v>0</v>
      </c>
      <c r="AF1372" s="21">
        <v>0</v>
      </c>
      <c r="AG1372" s="21">
        <v>2</v>
      </c>
      <c r="AH1372" s="21" t="s">
        <v>219</v>
      </c>
      <c r="AI1372" s="19">
        <v>2</v>
      </c>
      <c r="AJ1372" s="19">
        <v>2</v>
      </c>
      <c r="AK1372" s="19">
        <v>0</v>
      </c>
      <c r="AL1372" s="19">
        <v>1.5</v>
      </c>
      <c r="AM1372" s="21">
        <v>0</v>
      </c>
      <c r="AN1372" s="21">
        <v>0</v>
      </c>
      <c r="AO1372" s="21">
        <v>0</v>
      </c>
      <c r="AP1372" s="21">
        <v>0</v>
      </c>
      <c r="AQ1372" s="21">
        <v>3000</v>
      </c>
      <c r="AR1372" s="21">
        <v>0</v>
      </c>
      <c r="AS1372" s="21">
        <v>0</v>
      </c>
      <c r="AT1372" s="19">
        <v>0</v>
      </c>
      <c r="AU1372" s="21" t="s">
        <v>204</v>
      </c>
      <c r="AV1372" s="21"/>
      <c r="AW1372" s="30" t="s">
        <v>204</v>
      </c>
      <c r="AX1372" s="21">
        <v>0</v>
      </c>
      <c r="AY1372" s="32">
        <v>0</v>
      </c>
      <c r="AZ1372" s="32">
        <v>0</v>
      </c>
      <c r="BA1372" s="30" t="s">
        <v>206</v>
      </c>
      <c r="BB1372" s="21" t="s">
        <v>2903</v>
      </c>
      <c r="BC1372" s="31">
        <v>0</v>
      </c>
      <c r="BD1372" s="31">
        <v>0</v>
      </c>
      <c r="BE1372" s="33" t="s">
        <v>2904</v>
      </c>
      <c r="BF1372" s="33" t="s">
        <v>2905</v>
      </c>
      <c r="BG1372" s="21">
        <v>0</v>
      </c>
      <c r="BH1372" s="21">
        <v>0</v>
      </c>
      <c r="BI1372" s="21">
        <v>0</v>
      </c>
      <c r="BJ1372" s="21">
        <v>0</v>
      </c>
      <c r="BK1372" s="21">
        <v>0</v>
      </c>
      <c r="BL1372" s="21">
        <v>0</v>
      </c>
      <c r="BM1372" s="25">
        <v>0</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21">
        <v>63001003</v>
      </c>
      <c r="D1373" s="30" t="s">
        <v>2906</v>
      </c>
      <c r="E1373" s="30" t="s">
        <v>2907</v>
      </c>
      <c r="F1373" s="21">
        <v>1</v>
      </c>
      <c r="G1373" s="21">
        <v>63003001</v>
      </c>
      <c r="H1373" s="21">
        <v>0</v>
      </c>
      <c r="I1373" s="31">
        <v>0</v>
      </c>
      <c r="J1373" s="32">
        <v>1</v>
      </c>
      <c r="K1373" s="32">
        <v>0</v>
      </c>
      <c r="L1373" s="21">
        <v>0</v>
      </c>
      <c r="M1373" s="21">
        <v>0</v>
      </c>
      <c r="N1373" s="21">
        <v>0</v>
      </c>
      <c r="O1373" s="21">
        <v>2</v>
      </c>
      <c r="P1373" s="21">
        <v>0</v>
      </c>
      <c r="Q1373" s="21">
        <v>0</v>
      </c>
      <c r="R1373" s="21">
        <v>0</v>
      </c>
      <c r="S1373" s="19">
        <v>0</v>
      </c>
      <c r="T1373" s="21">
        <v>0</v>
      </c>
      <c r="U1373" s="21">
        <v>1</v>
      </c>
      <c r="V1373" s="21">
        <v>0</v>
      </c>
      <c r="W1373" s="21">
        <v>0</v>
      </c>
      <c r="X1373" s="32">
        <v>0</v>
      </c>
      <c r="Y1373" s="19">
        <v>0</v>
      </c>
      <c r="Z1373" s="32">
        <v>0</v>
      </c>
      <c r="AA1373" s="21">
        <v>0</v>
      </c>
      <c r="AB1373" s="21">
        <v>0</v>
      </c>
      <c r="AC1373" s="21">
        <v>0</v>
      </c>
      <c r="AD1373" s="21">
        <v>1</v>
      </c>
      <c r="AE1373" s="21">
        <v>0</v>
      </c>
      <c r="AF1373" s="21">
        <v>0</v>
      </c>
      <c r="AG1373" s="21">
        <v>0</v>
      </c>
      <c r="AH1373" s="21" t="s">
        <v>204</v>
      </c>
      <c r="AI1373" s="19">
        <v>0</v>
      </c>
      <c r="AJ1373" s="19">
        <v>0</v>
      </c>
      <c r="AK1373" s="19">
        <v>0</v>
      </c>
      <c r="AL1373" s="19">
        <v>0</v>
      </c>
      <c r="AM1373" s="21">
        <v>0</v>
      </c>
      <c r="AN1373" s="21">
        <v>0</v>
      </c>
      <c r="AO1373" s="21">
        <v>0</v>
      </c>
      <c r="AP1373" s="21">
        <v>0</v>
      </c>
      <c r="AQ1373" s="21">
        <v>0</v>
      </c>
      <c r="AR1373" s="21">
        <v>0</v>
      </c>
      <c r="AS1373" s="21">
        <v>0</v>
      </c>
      <c r="AT1373" s="19">
        <v>0</v>
      </c>
      <c r="AU1373" s="21" t="s">
        <v>204</v>
      </c>
      <c r="AV1373" s="21"/>
      <c r="AW1373" s="30" t="s">
        <v>204</v>
      </c>
      <c r="AX1373" s="21">
        <v>0</v>
      </c>
      <c r="AY1373" s="32">
        <v>0</v>
      </c>
      <c r="AZ1373" s="32">
        <v>0</v>
      </c>
      <c r="BA1373" s="30" t="s">
        <v>204</v>
      </c>
      <c r="BB1373" s="21">
        <v>0</v>
      </c>
      <c r="BC1373" s="31"/>
      <c r="BD1373" s="31">
        <v>0</v>
      </c>
      <c r="BE1373" s="33" t="s">
        <v>2908</v>
      </c>
      <c r="BF1373" s="33" t="s">
        <v>2909</v>
      </c>
      <c r="BG1373" s="21">
        <v>0</v>
      </c>
      <c r="BH1373" s="21">
        <v>0</v>
      </c>
      <c r="BI1373" s="21">
        <v>0</v>
      </c>
      <c r="BJ1373" s="21">
        <v>0</v>
      </c>
      <c r="BK1373" s="21">
        <v>0</v>
      </c>
      <c r="BL1373" s="21">
        <v>0</v>
      </c>
      <c r="BM1373" s="25">
        <v>0</v>
      </c>
      <c r="BN1373" s="19">
        <v>0</v>
      </c>
      <c r="BO1373" s="19">
        <v>0</v>
      </c>
      <c r="BP1373" s="19">
        <v>0</v>
      </c>
      <c r="BQ1373" s="19">
        <v>0</v>
      </c>
      <c r="BR1373" s="19">
        <v>0</v>
      </c>
      <c r="BS1373" s="19">
        <v>0</v>
      </c>
      <c r="BT1373" s="19">
        <v>0</v>
      </c>
      <c r="BU1373" s="23">
        <v>0</v>
      </c>
      <c r="BV1373" s="23"/>
      <c r="BW1373" s="23"/>
      <c r="BX1373" s="23"/>
      <c r="BY1373" s="23"/>
      <c r="BZ1373" s="23"/>
    </row>
    <row r="1374" spans="3:78" ht="19.5" customHeight="1">
      <c r="C1374" s="21">
        <v>63001004</v>
      </c>
      <c r="D1374" s="179" t="s">
        <v>2910</v>
      </c>
      <c r="E1374" s="179" t="s">
        <v>2911</v>
      </c>
      <c r="F1374" s="180">
        <v>1</v>
      </c>
      <c r="G1374" s="180">
        <v>63001004</v>
      </c>
      <c r="H1374" s="180">
        <v>0</v>
      </c>
      <c r="I1374" s="180">
        <v>0</v>
      </c>
      <c r="J1374" s="32">
        <v>1</v>
      </c>
      <c r="K1374" s="32">
        <v>0</v>
      </c>
      <c r="L1374" s="21">
        <v>0</v>
      </c>
      <c r="M1374" s="180">
        <v>0</v>
      </c>
      <c r="N1374" s="180">
        <v>0</v>
      </c>
      <c r="O1374" s="180">
        <v>2</v>
      </c>
      <c r="P1374" s="180">
        <v>17</v>
      </c>
      <c r="Q1374" s="180">
        <v>0.2</v>
      </c>
      <c r="R1374" s="180">
        <v>0</v>
      </c>
      <c r="S1374" s="19">
        <v>0</v>
      </c>
      <c r="T1374" s="180">
        <v>0</v>
      </c>
      <c r="U1374" s="180">
        <v>1</v>
      </c>
      <c r="V1374" s="180">
        <v>2</v>
      </c>
      <c r="W1374" s="180">
        <v>0</v>
      </c>
      <c r="X1374" s="180">
        <v>0</v>
      </c>
      <c r="Y1374" s="19">
        <v>0</v>
      </c>
      <c r="Z1374" s="180">
        <v>0</v>
      </c>
      <c r="AA1374" s="180">
        <v>0</v>
      </c>
      <c r="AB1374" s="180">
        <v>0</v>
      </c>
      <c r="AC1374" s="180">
        <v>0</v>
      </c>
      <c r="AD1374" s="21">
        <v>1</v>
      </c>
      <c r="AE1374" s="180">
        <v>0</v>
      </c>
      <c r="AF1374" s="180">
        <v>15</v>
      </c>
      <c r="AG1374" s="180">
        <v>2</v>
      </c>
      <c r="AH1374" s="180" t="s">
        <v>219</v>
      </c>
      <c r="AI1374" s="180">
        <v>2</v>
      </c>
      <c r="AJ1374" s="180">
        <v>3</v>
      </c>
      <c r="AK1374" s="19">
        <v>0</v>
      </c>
      <c r="AL1374" s="180">
        <v>1.5</v>
      </c>
      <c r="AM1374" s="180">
        <v>0</v>
      </c>
      <c r="AN1374" s="180">
        <v>0</v>
      </c>
      <c r="AO1374" s="180">
        <v>0</v>
      </c>
      <c r="AP1374" s="180">
        <v>0</v>
      </c>
      <c r="AQ1374" s="180">
        <v>3000</v>
      </c>
      <c r="AR1374" s="180">
        <v>0.5</v>
      </c>
      <c r="AS1374" s="180">
        <v>0</v>
      </c>
      <c r="AT1374" s="180">
        <v>0</v>
      </c>
      <c r="AU1374" s="180">
        <v>0</v>
      </c>
      <c r="AV1374" s="180"/>
      <c r="AW1374" s="179" t="s">
        <v>204</v>
      </c>
      <c r="AX1374" s="180">
        <v>0</v>
      </c>
      <c r="AY1374" s="180">
        <v>0</v>
      </c>
      <c r="AZ1374" s="180">
        <v>0</v>
      </c>
      <c r="BA1374" s="179" t="s">
        <v>206</v>
      </c>
      <c r="BB1374" s="179">
        <v>0</v>
      </c>
      <c r="BC1374" s="180">
        <v>0</v>
      </c>
      <c r="BD1374" s="180">
        <v>0</v>
      </c>
      <c r="BE1374" s="181" t="str">
        <f>"普通攻击和释放技能都有20%概率向目标施放元素法球技能"</f>
        <v>普通攻击和释放技能都有20%概率向目标施放元素法球技能</v>
      </c>
      <c r="BF1374" s="181" t="s">
        <v>2912</v>
      </c>
      <c r="BG1374" s="180">
        <v>0</v>
      </c>
      <c r="BH1374" s="21">
        <v>0</v>
      </c>
      <c r="BI1374" s="180">
        <v>0</v>
      </c>
      <c r="BJ1374" s="180">
        <v>0</v>
      </c>
      <c r="BK1374" s="180">
        <v>0</v>
      </c>
      <c r="BL1374" s="180">
        <v>0</v>
      </c>
      <c r="BM1374" s="351" t="s">
        <v>2913</v>
      </c>
      <c r="BN1374" s="19">
        <v>0</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38">
        <v>63001005</v>
      </c>
      <c r="D1375" s="42" t="s">
        <v>2914</v>
      </c>
      <c r="E1375" s="42" t="s">
        <v>2915</v>
      </c>
      <c r="F1375" s="38">
        <v>1</v>
      </c>
      <c r="G1375" s="38">
        <v>63001005</v>
      </c>
      <c r="H1375" s="38">
        <v>0</v>
      </c>
      <c r="I1375" s="38">
        <v>0</v>
      </c>
      <c r="J1375" s="38">
        <v>1</v>
      </c>
      <c r="K1375" s="38">
        <v>0</v>
      </c>
      <c r="L1375" s="38">
        <v>0</v>
      </c>
      <c r="M1375" s="38">
        <v>0</v>
      </c>
      <c r="N1375" s="38">
        <v>0</v>
      </c>
      <c r="O1375" s="38">
        <v>8</v>
      </c>
      <c r="P1375" s="38">
        <v>0</v>
      </c>
      <c r="Q1375" s="38">
        <v>0</v>
      </c>
      <c r="R1375" s="38">
        <v>0</v>
      </c>
      <c r="S1375" s="38">
        <v>0</v>
      </c>
      <c r="T1375" s="38">
        <v>0</v>
      </c>
      <c r="U1375" s="38">
        <v>1</v>
      </c>
      <c r="V1375" s="38">
        <v>2</v>
      </c>
      <c r="W1375" s="38">
        <v>0</v>
      </c>
      <c r="X1375" s="38">
        <v>0</v>
      </c>
      <c r="Y1375" s="19">
        <v>0</v>
      </c>
      <c r="Z1375" s="38">
        <v>0</v>
      </c>
      <c r="AA1375" s="38">
        <v>0</v>
      </c>
      <c r="AB1375" s="38">
        <v>0</v>
      </c>
      <c r="AC1375" s="38">
        <v>0</v>
      </c>
      <c r="AD1375" s="38">
        <v>1</v>
      </c>
      <c r="AE1375" s="38">
        <v>0</v>
      </c>
      <c r="AF1375" s="38">
        <v>0</v>
      </c>
      <c r="AG1375" s="38">
        <v>2</v>
      </c>
      <c r="AH1375" s="38" t="s">
        <v>219</v>
      </c>
      <c r="AI1375" s="38">
        <v>2</v>
      </c>
      <c r="AJ1375" s="38">
        <v>2</v>
      </c>
      <c r="AK1375" s="38">
        <v>0</v>
      </c>
      <c r="AL1375" s="38">
        <v>1.5</v>
      </c>
      <c r="AM1375" s="38">
        <v>0</v>
      </c>
      <c r="AN1375" s="38">
        <v>0</v>
      </c>
      <c r="AO1375" s="38">
        <v>0</v>
      </c>
      <c r="AP1375" s="38">
        <v>0</v>
      </c>
      <c r="AQ1375" s="38">
        <v>3000</v>
      </c>
      <c r="AR1375" s="38">
        <v>0</v>
      </c>
      <c r="AS1375" s="38">
        <v>0</v>
      </c>
      <c r="AT1375" s="38">
        <v>0</v>
      </c>
      <c r="AU1375" s="38" t="s">
        <v>204</v>
      </c>
      <c r="AV1375" s="38"/>
      <c r="AW1375" s="42" t="s">
        <v>204</v>
      </c>
      <c r="AX1375" s="38">
        <v>0</v>
      </c>
      <c r="AY1375" s="38">
        <v>0</v>
      </c>
      <c r="AZ1375" s="38">
        <v>0</v>
      </c>
      <c r="BA1375" s="42" t="s">
        <v>206</v>
      </c>
      <c r="BB1375" s="38" t="s">
        <v>2916</v>
      </c>
      <c r="BC1375" s="38">
        <v>0</v>
      </c>
      <c r="BD1375" s="38">
        <v>0</v>
      </c>
      <c r="BE1375" s="217" t="s">
        <v>2917</v>
      </c>
      <c r="BF1375" s="217" t="s">
        <v>2918</v>
      </c>
      <c r="BG1375" s="38">
        <v>0</v>
      </c>
      <c r="BH1375" s="38">
        <v>0</v>
      </c>
      <c r="BI1375" s="38">
        <v>0</v>
      </c>
      <c r="BJ1375" s="38">
        <v>0</v>
      </c>
      <c r="BK1375" s="38">
        <v>0</v>
      </c>
      <c r="BL1375" s="38">
        <v>0</v>
      </c>
      <c r="BM1375" s="34">
        <v>0</v>
      </c>
      <c r="BN1375" s="38">
        <v>0</v>
      </c>
      <c r="BO1375" s="38">
        <v>0</v>
      </c>
      <c r="BP1375" s="38">
        <v>0</v>
      </c>
      <c r="BQ1375" s="38">
        <v>0</v>
      </c>
      <c r="BR1375" s="38">
        <v>0</v>
      </c>
      <c r="BS1375" s="38">
        <v>0</v>
      </c>
      <c r="BT1375" s="19">
        <v>0</v>
      </c>
      <c r="BU1375" s="23">
        <v>0</v>
      </c>
      <c r="BV1375" s="23"/>
      <c r="BW1375" s="23"/>
      <c r="BX1375" s="23"/>
      <c r="BY1375" s="23"/>
      <c r="BZ1375" s="23"/>
    </row>
    <row r="1376" spans="3:78" ht="20.100000000000001" customHeight="1">
      <c r="C1376" s="21">
        <v>63002001</v>
      </c>
      <c r="D1376" s="30" t="s">
        <v>2919</v>
      </c>
      <c r="E1376" s="30" t="s">
        <v>2920</v>
      </c>
      <c r="F1376" s="21">
        <v>1</v>
      </c>
      <c r="G1376" s="21">
        <v>63002001</v>
      </c>
      <c r="H1376" s="21">
        <v>0</v>
      </c>
      <c r="I1376" s="31">
        <v>0</v>
      </c>
      <c r="J1376" s="32">
        <v>1</v>
      </c>
      <c r="K1376" s="32">
        <v>0</v>
      </c>
      <c r="L1376" s="21">
        <v>0</v>
      </c>
      <c r="M1376" s="21">
        <v>0</v>
      </c>
      <c r="N1376" s="21">
        <v>0</v>
      </c>
      <c r="O1376" s="21">
        <v>2</v>
      </c>
      <c r="P1376" s="21">
        <v>12</v>
      </c>
      <c r="Q1376" s="21">
        <v>1</v>
      </c>
      <c r="R1376" s="21">
        <v>0</v>
      </c>
      <c r="S1376" s="19">
        <v>0</v>
      </c>
      <c r="T1376" s="21">
        <v>0</v>
      </c>
      <c r="U1376" s="21">
        <v>1</v>
      </c>
      <c r="V1376" s="21">
        <v>2</v>
      </c>
      <c r="W1376" s="21">
        <v>0</v>
      </c>
      <c r="X1376" s="32">
        <v>0</v>
      </c>
      <c r="Y1376" s="19">
        <v>0</v>
      </c>
      <c r="Z1376" s="32">
        <v>0</v>
      </c>
      <c r="AA1376" s="21">
        <v>0</v>
      </c>
      <c r="AB1376" s="21">
        <v>0</v>
      </c>
      <c r="AC1376" s="21">
        <v>0</v>
      </c>
      <c r="AD1376" s="21">
        <v>1</v>
      </c>
      <c r="AE1376" s="21">
        <v>0</v>
      </c>
      <c r="AF1376" s="21">
        <v>60</v>
      </c>
      <c r="AG1376" s="21">
        <v>1</v>
      </c>
      <c r="AH1376" s="21" t="s">
        <v>613</v>
      </c>
      <c r="AI1376" s="19">
        <v>0</v>
      </c>
      <c r="AJ1376" s="19">
        <v>0</v>
      </c>
      <c r="AK1376" s="19">
        <v>0</v>
      </c>
      <c r="AL1376" s="19">
        <v>0</v>
      </c>
      <c r="AM1376" s="21">
        <v>0</v>
      </c>
      <c r="AN1376" s="21">
        <v>0</v>
      </c>
      <c r="AO1376" s="21">
        <v>0</v>
      </c>
      <c r="AP1376" s="21">
        <v>0</v>
      </c>
      <c r="AQ1376" s="21">
        <v>50000</v>
      </c>
      <c r="AR1376" s="21">
        <v>0</v>
      </c>
      <c r="AS1376" s="21">
        <v>0</v>
      </c>
      <c r="AT1376" s="19">
        <v>0</v>
      </c>
      <c r="AU1376" s="21">
        <v>90502001</v>
      </c>
      <c r="AV1376" s="21"/>
      <c r="AW1376" s="30" t="s">
        <v>204</v>
      </c>
      <c r="AX1376" s="21">
        <v>0</v>
      </c>
      <c r="AY1376" s="32">
        <v>0</v>
      </c>
      <c r="AZ1376" s="32">
        <v>0</v>
      </c>
      <c r="BA1376" s="30" t="s">
        <v>2898</v>
      </c>
      <c r="BB1376" s="21">
        <v>0</v>
      </c>
      <c r="BC1376" s="31">
        <v>0</v>
      </c>
      <c r="BD1376" s="31">
        <v>0</v>
      </c>
      <c r="BE1376" s="33" t="s">
        <v>2921</v>
      </c>
      <c r="BF1376" s="33" t="s">
        <v>2922</v>
      </c>
      <c r="BG1376" s="21">
        <v>0</v>
      </c>
      <c r="BH1376" s="21">
        <v>0</v>
      </c>
      <c r="BI1376" s="21">
        <v>0</v>
      </c>
      <c r="BJ1376" s="21">
        <v>0</v>
      </c>
      <c r="BK1376" s="21">
        <v>0</v>
      </c>
      <c r="BL1376" s="21">
        <v>0</v>
      </c>
      <c r="BM1376" s="25">
        <v>0</v>
      </c>
      <c r="BN1376" s="19">
        <v>1</v>
      </c>
      <c r="BO1376" s="19">
        <v>0</v>
      </c>
      <c r="BP1376" s="19">
        <v>0</v>
      </c>
      <c r="BQ1376" s="19">
        <v>0</v>
      </c>
      <c r="BR1376" s="19">
        <v>0</v>
      </c>
      <c r="BS1376" s="19">
        <v>0</v>
      </c>
      <c r="BT1376" s="19">
        <v>0</v>
      </c>
      <c r="BU1376" s="23">
        <v>0</v>
      </c>
      <c r="BV1376" s="23"/>
      <c r="BW1376" s="23"/>
      <c r="BX1376" s="23"/>
      <c r="BY1376" s="23"/>
      <c r="BZ1376" s="23"/>
    </row>
    <row r="1377" spans="3:78" ht="20.100000000000001" customHeight="1">
      <c r="C1377" s="21">
        <v>63002002</v>
      </c>
      <c r="D1377" s="30" t="s">
        <v>2906</v>
      </c>
      <c r="E1377" s="30" t="s">
        <v>2907</v>
      </c>
      <c r="F1377" s="21">
        <v>1</v>
      </c>
      <c r="G1377" s="21">
        <v>63002002</v>
      </c>
      <c r="H1377" s="21">
        <v>0</v>
      </c>
      <c r="I1377" s="31">
        <v>0</v>
      </c>
      <c r="J1377" s="32">
        <v>1</v>
      </c>
      <c r="K1377" s="32">
        <v>0</v>
      </c>
      <c r="L1377" s="21">
        <v>0</v>
      </c>
      <c r="M1377" s="21">
        <v>0</v>
      </c>
      <c r="N1377" s="21">
        <v>0</v>
      </c>
      <c r="O1377" s="21">
        <v>2</v>
      </c>
      <c r="P1377" s="21">
        <v>0</v>
      </c>
      <c r="Q1377" s="21">
        <v>0</v>
      </c>
      <c r="R1377" s="21">
        <v>0</v>
      </c>
      <c r="S1377" s="19">
        <v>0</v>
      </c>
      <c r="T1377" s="21">
        <v>0</v>
      </c>
      <c r="U1377" s="21">
        <v>1</v>
      </c>
      <c r="V1377" s="21">
        <v>0</v>
      </c>
      <c r="W1377" s="21">
        <v>0</v>
      </c>
      <c r="X1377" s="32">
        <v>0</v>
      </c>
      <c r="Y1377" s="19">
        <v>0</v>
      </c>
      <c r="Z1377" s="32">
        <v>0</v>
      </c>
      <c r="AA1377" s="21">
        <v>0</v>
      </c>
      <c r="AB1377" s="21">
        <v>0</v>
      </c>
      <c r="AC1377" s="21">
        <v>0</v>
      </c>
      <c r="AD1377" s="21">
        <v>1</v>
      </c>
      <c r="AE1377" s="21">
        <v>0</v>
      </c>
      <c r="AF1377" s="21">
        <v>0</v>
      </c>
      <c r="AG1377" s="21">
        <v>0</v>
      </c>
      <c r="AH1377" s="21" t="s">
        <v>204</v>
      </c>
      <c r="AI1377" s="19">
        <v>0</v>
      </c>
      <c r="AJ1377" s="19">
        <v>0</v>
      </c>
      <c r="AK1377" s="19">
        <v>0</v>
      </c>
      <c r="AL1377" s="19">
        <v>0</v>
      </c>
      <c r="AM1377" s="21">
        <v>0</v>
      </c>
      <c r="AN1377" s="21">
        <v>0</v>
      </c>
      <c r="AO1377" s="21">
        <v>0</v>
      </c>
      <c r="AP1377" s="21">
        <v>0</v>
      </c>
      <c r="AQ1377" s="21">
        <v>0</v>
      </c>
      <c r="AR1377" s="21">
        <v>0</v>
      </c>
      <c r="AS1377" s="21">
        <v>0</v>
      </c>
      <c r="AT1377" s="19">
        <v>0</v>
      </c>
      <c r="AU1377" s="21" t="s">
        <v>204</v>
      </c>
      <c r="AV1377" s="21"/>
      <c r="AW1377" s="30" t="s">
        <v>204</v>
      </c>
      <c r="AX1377" s="21">
        <v>0</v>
      </c>
      <c r="AY1377" s="32">
        <v>0</v>
      </c>
      <c r="AZ1377" s="32">
        <v>0</v>
      </c>
      <c r="BA1377" s="30" t="s">
        <v>204</v>
      </c>
      <c r="BB1377" s="21">
        <v>0</v>
      </c>
      <c r="BC1377" s="31"/>
      <c r="BD1377" s="31">
        <v>0</v>
      </c>
      <c r="BE1377" s="33" t="s">
        <v>2908</v>
      </c>
      <c r="BF1377" s="33" t="s">
        <v>2909</v>
      </c>
      <c r="BG1377" s="21">
        <v>0</v>
      </c>
      <c r="BH1377" s="21">
        <v>0</v>
      </c>
      <c r="BI1377" s="21">
        <v>0</v>
      </c>
      <c r="BJ1377" s="21">
        <v>0</v>
      </c>
      <c r="BK1377" s="21">
        <v>0</v>
      </c>
      <c r="BL1377" s="21">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63002003</v>
      </c>
      <c r="D1378" s="30" t="s">
        <v>2923</v>
      </c>
      <c r="E1378" s="30" t="s">
        <v>2924</v>
      </c>
      <c r="F1378" s="21">
        <v>1</v>
      </c>
      <c r="G1378" s="21">
        <v>1000001</v>
      </c>
      <c r="H1378" s="21">
        <v>0</v>
      </c>
      <c r="I1378" s="31">
        <v>0</v>
      </c>
      <c r="J1378" s="32">
        <v>1</v>
      </c>
      <c r="K1378" s="32">
        <v>0</v>
      </c>
      <c r="L1378" s="21">
        <v>0</v>
      </c>
      <c r="M1378" s="21">
        <v>0</v>
      </c>
      <c r="N1378" s="21">
        <v>0</v>
      </c>
      <c r="O1378" s="21">
        <v>8</v>
      </c>
      <c r="P1378" s="21">
        <v>8</v>
      </c>
      <c r="Q1378" s="21">
        <v>1</v>
      </c>
      <c r="R1378" s="21">
        <v>0</v>
      </c>
      <c r="S1378" s="19">
        <v>0</v>
      </c>
      <c r="T1378" s="21">
        <v>0</v>
      </c>
      <c r="U1378" s="21">
        <v>1</v>
      </c>
      <c r="V1378" s="21">
        <v>0</v>
      </c>
      <c r="W1378" s="21">
        <v>0</v>
      </c>
      <c r="X1378" s="32">
        <v>0</v>
      </c>
      <c r="Y1378" s="19">
        <v>0</v>
      </c>
      <c r="Z1378" s="32">
        <v>0</v>
      </c>
      <c r="AA1378" s="21">
        <v>0</v>
      </c>
      <c r="AB1378" s="21">
        <v>0</v>
      </c>
      <c r="AC1378" s="21">
        <v>0</v>
      </c>
      <c r="AD1378" s="21">
        <v>1</v>
      </c>
      <c r="AE1378" s="21">
        <v>0</v>
      </c>
      <c r="AF1378" s="21">
        <v>0</v>
      </c>
      <c r="AG1378" s="21">
        <v>0</v>
      </c>
      <c r="AH1378" s="21" t="s">
        <v>204</v>
      </c>
      <c r="AI1378" s="19">
        <v>0</v>
      </c>
      <c r="AJ1378" s="19">
        <v>0</v>
      </c>
      <c r="AK1378" s="19">
        <v>0</v>
      </c>
      <c r="AL1378" s="19">
        <v>0</v>
      </c>
      <c r="AM1378" s="21">
        <v>0</v>
      </c>
      <c r="AN1378" s="21">
        <v>0</v>
      </c>
      <c r="AO1378" s="21">
        <v>0</v>
      </c>
      <c r="AP1378" s="21">
        <v>0</v>
      </c>
      <c r="AQ1378" s="21">
        <v>0</v>
      </c>
      <c r="AR1378" s="21">
        <v>0</v>
      </c>
      <c r="AS1378" s="21">
        <v>0</v>
      </c>
      <c r="AT1378" s="19">
        <v>0</v>
      </c>
      <c r="AU1378" s="21" t="s">
        <v>204</v>
      </c>
      <c r="AV1378" s="21"/>
      <c r="AW1378" s="30" t="s">
        <v>204</v>
      </c>
      <c r="AX1378" s="21">
        <v>0</v>
      </c>
      <c r="AY1378" s="32">
        <v>0</v>
      </c>
      <c r="AZ1378" s="32">
        <v>0</v>
      </c>
      <c r="BA1378" s="30" t="s">
        <v>204</v>
      </c>
      <c r="BB1378" s="21" t="s">
        <v>2925</v>
      </c>
      <c r="BC1378" s="31"/>
      <c r="BD1378" s="31">
        <v>0</v>
      </c>
      <c r="BE1378" s="33" t="s">
        <v>2926</v>
      </c>
      <c r="BF1378" s="33" t="s">
        <v>2927</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19.5" customHeight="1">
      <c r="C1379" s="180">
        <v>63002004</v>
      </c>
      <c r="D1379" s="179" t="s">
        <v>2910</v>
      </c>
      <c r="E1379" s="179" t="s">
        <v>2928</v>
      </c>
      <c r="F1379" s="21">
        <v>1</v>
      </c>
      <c r="G1379" s="239">
        <v>63001004</v>
      </c>
      <c r="H1379" s="32">
        <v>0</v>
      </c>
      <c r="I1379" s="31">
        <v>0</v>
      </c>
      <c r="J1379" s="21">
        <v>1</v>
      </c>
      <c r="K1379" s="32">
        <v>0</v>
      </c>
      <c r="L1379" s="21">
        <v>0</v>
      </c>
      <c r="M1379" s="32">
        <v>0</v>
      </c>
      <c r="N1379" s="32">
        <v>0</v>
      </c>
      <c r="O1379" s="32">
        <v>2</v>
      </c>
      <c r="P1379" s="32">
        <v>1</v>
      </c>
      <c r="Q1379" s="32">
        <v>0.2</v>
      </c>
      <c r="R1379" s="32">
        <v>0</v>
      </c>
      <c r="S1379" s="19">
        <v>0</v>
      </c>
      <c r="T1379" s="31">
        <v>0</v>
      </c>
      <c r="U1379" s="21">
        <v>1</v>
      </c>
      <c r="V1379" s="32">
        <v>2</v>
      </c>
      <c r="W1379" s="32">
        <v>0</v>
      </c>
      <c r="X1379" s="32">
        <v>3.5</v>
      </c>
      <c r="Y1379" s="19">
        <v>0</v>
      </c>
      <c r="Z1379" s="32">
        <v>0</v>
      </c>
      <c r="AA1379" s="32">
        <v>0</v>
      </c>
      <c r="AB1379" s="32">
        <v>0</v>
      </c>
      <c r="AC1379" s="32">
        <v>0</v>
      </c>
      <c r="AD1379" s="32">
        <v>1</v>
      </c>
      <c r="AE1379" s="32">
        <v>0</v>
      </c>
      <c r="AF1379" s="32">
        <v>5</v>
      </c>
      <c r="AG1379" s="32">
        <v>1</v>
      </c>
      <c r="AH1379" s="32">
        <v>3.5</v>
      </c>
      <c r="AI1379" s="19">
        <v>1</v>
      </c>
      <c r="AJ1379" s="19">
        <v>1</v>
      </c>
      <c r="AK1379" s="19">
        <v>0</v>
      </c>
      <c r="AL1379" s="19">
        <v>6</v>
      </c>
      <c r="AM1379" s="32">
        <v>0</v>
      </c>
      <c r="AN1379" s="32">
        <v>0</v>
      </c>
      <c r="AO1379" s="32">
        <v>0</v>
      </c>
      <c r="AP1379" s="32">
        <v>0.25</v>
      </c>
      <c r="AQ1379" s="32">
        <v>3000</v>
      </c>
      <c r="AR1379" s="32">
        <v>2</v>
      </c>
      <c r="AS1379" s="32">
        <v>0</v>
      </c>
      <c r="AT1379" s="19">
        <v>0</v>
      </c>
      <c r="AU1379" s="329" t="s">
        <v>2929</v>
      </c>
      <c r="AV1379" s="19"/>
      <c r="AW1379" s="35" t="s">
        <v>205</v>
      </c>
      <c r="AX1379" s="32" t="s">
        <v>1473</v>
      </c>
      <c r="AY1379" s="32">
        <v>10003002</v>
      </c>
      <c r="AZ1379" s="32">
        <v>21020101</v>
      </c>
      <c r="BA1379" s="35" t="s">
        <v>206</v>
      </c>
      <c r="BB1379" s="35">
        <v>0</v>
      </c>
      <c r="BC1379" s="31">
        <v>0</v>
      </c>
      <c r="BD1379" s="31">
        <v>0</v>
      </c>
      <c r="BE1379" s="185" t="str">
        <f>"每次攻击有20%概率释放驭剑之击对目标范围内的怪物造成"&amp;X1379*100&amp;"%攻击伤害,并使目标眩晕1秒"</f>
        <v>每次攻击有20%概率释放驭剑之击对目标范围内的怪物造成350%攻击伤害,并使目标眩晕1秒</v>
      </c>
      <c r="BF1379" s="185" t="s">
        <v>2930</v>
      </c>
      <c r="BG1379" s="32">
        <v>0</v>
      </c>
      <c r="BH1379" s="21">
        <v>0</v>
      </c>
      <c r="BI1379" s="32">
        <v>0</v>
      </c>
      <c r="BJ1379" s="32">
        <v>0</v>
      </c>
      <c r="BK1379" s="32">
        <v>0</v>
      </c>
      <c r="BL1379" s="32">
        <v>0</v>
      </c>
      <c r="BM1379" s="25">
        <v>0</v>
      </c>
      <c r="BN1379" s="19">
        <v>0</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63002005</v>
      </c>
      <c r="D1380" s="30" t="s">
        <v>2931</v>
      </c>
      <c r="E1380" s="30" t="s">
        <v>2932</v>
      </c>
      <c r="F1380" s="21">
        <v>1</v>
      </c>
      <c r="G1380" s="21">
        <v>61012101</v>
      </c>
      <c r="H1380" s="21">
        <v>0</v>
      </c>
      <c r="I1380" s="31">
        <v>0</v>
      </c>
      <c r="J1380" s="21">
        <v>1</v>
      </c>
      <c r="K1380" s="21">
        <v>0</v>
      </c>
      <c r="L1380" s="21">
        <v>0</v>
      </c>
      <c r="M1380" s="21">
        <v>0</v>
      </c>
      <c r="N1380" s="21">
        <v>0</v>
      </c>
      <c r="O1380" s="21">
        <v>2</v>
      </c>
      <c r="P1380" s="21">
        <v>1</v>
      </c>
      <c r="Q1380" s="21">
        <v>0.4</v>
      </c>
      <c r="R1380" s="21">
        <v>0</v>
      </c>
      <c r="S1380" s="19">
        <v>0</v>
      </c>
      <c r="T1380" s="21">
        <v>0</v>
      </c>
      <c r="U1380" s="21">
        <v>1</v>
      </c>
      <c r="V1380" s="21">
        <v>1</v>
      </c>
      <c r="W1380" s="21">
        <v>0</v>
      </c>
      <c r="X1380" s="21">
        <v>2</v>
      </c>
      <c r="Y1380" s="19">
        <v>0</v>
      </c>
      <c r="Z1380" s="21">
        <v>500</v>
      </c>
      <c r="AA1380" s="21">
        <v>0</v>
      </c>
      <c r="AB1380" s="21">
        <v>0</v>
      </c>
      <c r="AC1380" s="21">
        <v>0</v>
      </c>
      <c r="AD1380" s="21">
        <v>1</v>
      </c>
      <c r="AE1380" s="21">
        <v>0</v>
      </c>
      <c r="AF1380" s="21">
        <v>3</v>
      </c>
      <c r="AG1380" s="21">
        <v>2</v>
      </c>
      <c r="AH1380" s="21" t="s">
        <v>1655</v>
      </c>
      <c r="AI1380" s="19">
        <v>2</v>
      </c>
      <c r="AJ1380" s="19">
        <v>0</v>
      </c>
      <c r="AK1380" s="19">
        <v>0</v>
      </c>
      <c r="AL1380" s="19">
        <v>1.5</v>
      </c>
      <c r="AM1380" s="21">
        <v>0</v>
      </c>
      <c r="AN1380" s="21">
        <v>0</v>
      </c>
      <c r="AO1380" s="21">
        <v>0</v>
      </c>
      <c r="AP1380" s="21">
        <v>0</v>
      </c>
      <c r="AQ1380" s="21">
        <v>3000</v>
      </c>
      <c r="AR1380" s="21">
        <v>0</v>
      </c>
      <c r="AS1380" s="21">
        <v>0</v>
      </c>
      <c r="AT1380" s="19">
        <v>0</v>
      </c>
      <c r="AU1380" s="21">
        <v>0</v>
      </c>
      <c r="AV1380" s="21"/>
      <c r="AW1380" s="30" t="s">
        <v>293</v>
      </c>
      <c r="AX1380" s="21" t="s">
        <v>1656</v>
      </c>
      <c r="AY1380" s="32">
        <v>10001007</v>
      </c>
      <c r="AZ1380" s="32">
        <v>21000010</v>
      </c>
      <c r="BA1380" s="30" t="s">
        <v>206</v>
      </c>
      <c r="BB1380" s="21">
        <v>0</v>
      </c>
      <c r="BC1380" s="31">
        <v>0</v>
      </c>
      <c r="BD1380" s="31">
        <v>0</v>
      </c>
      <c r="BE1380" s="171" t="str">
        <f>"每次攻击有40%概率立即对目标范围内的怪物造成"&amp;X1380*100&amp;"%攻击伤害+"&amp;Z1380&amp;"点固定伤害"</f>
        <v>每次攻击有40%概率立即对目标范围内的怪物造成200%攻击伤害+500点固定伤害</v>
      </c>
      <c r="BF1380" s="171" t="s">
        <v>2933</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63003001</v>
      </c>
      <c r="D1381" s="30" t="s">
        <v>2934</v>
      </c>
      <c r="E1381" s="30" t="s">
        <v>2935</v>
      </c>
      <c r="F1381" s="21">
        <v>1</v>
      </c>
      <c r="G1381" s="21">
        <v>63003001</v>
      </c>
      <c r="H1381" s="21">
        <v>0</v>
      </c>
      <c r="I1381" s="31">
        <v>0</v>
      </c>
      <c r="J1381" s="32">
        <v>1</v>
      </c>
      <c r="K1381" s="32">
        <v>0</v>
      </c>
      <c r="L1381" s="21">
        <v>0</v>
      </c>
      <c r="M1381" s="21">
        <v>0</v>
      </c>
      <c r="N1381" s="21">
        <v>0</v>
      </c>
      <c r="O1381" s="21">
        <v>2</v>
      </c>
      <c r="P1381" s="21">
        <v>12</v>
      </c>
      <c r="Q1381" s="21">
        <v>1</v>
      </c>
      <c r="R1381" s="21">
        <v>0</v>
      </c>
      <c r="S1381" s="19">
        <v>0</v>
      </c>
      <c r="T1381" s="21">
        <v>0</v>
      </c>
      <c r="U1381" s="21">
        <v>1</v>
      </c>
      <c r="V1381" s="21">
        <v>2</v>
      </c>
      <c r="W1381" s="21">
        <v>0</v>
      </c>
      <c r="X1381" s="32">
        <v>0</v>
      </c>
      <c r="Y1381" s="19">
        <v>0</v>
      </c>
      <c r="Z1381" s="32">
        <v>0</v>
      </c>
      <c r="AA1381" s="21">
        <v>0</v>
      </c>
      <c r="AB1381" s="21">
        <v>0</v>
      </c>
      <c r="AC1381" s="21">
        <v>0</v>
      </c>
      <c r="AD1381" s="21">
        <v>1</v>
      </c>
      <c r="AE1381" s="21">
        <v>0</v>
      </c>
      <c r="AF1381" s="21">
        <v>60</v>
      </c>
      <c r="AG1381" s="21">
        <v>1</v>
      </c>
      <c r="AH1381" s="21">
        <v>10</v>
      </c>
      <c r="AI1381" s="19">
        <v>0</v>
      </c>
      <c r="AJ1381" s="19">
        <v>0</v>
      </c>
      <c r="AK1381" s="19">
        <v>0</v>
      </c>
      <c r="AL1381" s="19">
        <v>0</v>
      </c>
      <c r="AM1381" s="21">
        <v>0</v>
      </c>
      <c r="AN1381" s="21">
        <v>0</v>
      </c>
      <c r="AO1381" s="21">
        <v>0</v>
      </c>
      <c r="AP1381" s="21">
        <v>0</v>
      </c>
      <c r="AQ1381" s="21">
        <v>50000</v>
      </c>
      <c r="AR1381" s="21">
        <v>0</v>
      </c>
      <c r="AS1381" s="21">
        <v>0</v>
      </c>
      <c r="AT1381" s="19">
        <v>90503001</v>
      </c>
      <c r="AU1381" s="21">
        <v>90503001</v>
      </c>
      <c r="AV1381" s="21"/>
      <c r="AW1381" s="30" t="s">
        <v>204</v>
      </c>
      <c r="AX1381" s="21">
        <v>0</v>
      </c>
      <c r="AY1381" s="32">
        <v>0</v>
      </c>
      <c r="AZ1381" s="32">
        <v>0</v>
      </c>
      <c r="BA1381" s="30" t="s">
        <v>2898</v>
      </c>
      <c r="BB1381" s="21">
        <v>0</v>
      </c>
      <c r="BC1381" s="31">
        <v>0</v>
      </c>
      <c r="BD1381" s="31">
        <v>0</v>
      </c>
      <c r="BE1381" s="33" t="s">
        <v>2936</v>
      </c>
      <c r="BF1381" s="33" t="s">
        <v>2937</v>
      </c>
      <c r="BG1381" s="21">
        <v>0</v>
      </c>
      <c r="BH1381" s="21">
        <v>0</v>
      </c>
      <c r="BI1381" s="21">
        <v>0</v>
      </c>
      <c r="BJ1381" s="21">
        <v>0</v>
      </c>
      <c r="BK1381" s="21">
        <v>0</v>
      </c>
      <c r="BL1381" s="21">
        <v>0</v>
      </c>
      <c r="BM1381" s="25">
        <v>0</v>
      </c>
      <c r="BN1381" s="19">
        <v>1</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63003002</v>
      </c>
      <c r="D1382" s="30" t="s">
        <v>2938</v>
      </c>
      <c r="E1382" s="30" t="s">
        <v>2939</v>
      </c>
      <c r="F1382" s="21">
        <v>1</v>
      </c>
      <c r="G1382" s="21">
        <v>63003002</v>
      </c>
      <c r="H1382" s="21">
        <v>0</v>
      </c>
      <c r="I1382" s="31">
        <v>0</v>
      </c>
      <c r="J1382" s="32">
        <v>1</v>
      </c>
      <c r="K1382" s="32">
        <v>0</v>
      </c>
      <c r="L1382" s="21">
        <v>0</v>
      </c>
      <c r="M1382" s="21">
        <v>0</v>
      </c>
      <c r="N1382" s="21">
        <v>0</v>
      </c>
      <c r="O1382" s="21">
        <v>2</v>
      </c>
      <c r="P1382" s="21">
        <v>0</v>
      </c>
      <c r="Q1382" s="21">
        <v>0</v>
      </c>
      <c r="R1382" s="21">
        <v>0</v>
      </c>
      <c r="S1382" s="19">
        <v>0</v>
      </c>
      <c r="T1382" s="21">
        <v>0</v>
      </c>
      <c r="U1382" s="21">
        <v>1</v>
      </c>
      <c r="V1382" s="21">
        <v>0</v>
      </c>
      <c r="W1382" s="21">
        <v>0</v>
      </c>
      <c r="X1382" s="32">
        <v>0</v>
      </c>
      <c r="Y1382" s="19">
        <v>0</v>
      </c>
      <c r="Z1382" s="32">
        <v>0</v>
      </c>
      <c r="AA1382" s="21">
        <v>0</v>
      </c>
      <c r="AB1382" s="21">
        <v>0</v>
      </c>
      <c r="AC1382" s="21">
        <v>0</v>
      </c>
      <c r="AD1382" s="21">
        <v>1</v>
      </c>
      <c r="AE1382" s="21">
        <v>0</v>
      </c>
      <c r="AF1382" s="21">
        <v>0</v>
      </c>
      <c r="AG1382" s="21">
        <v>0</v>
      </c>
      <c r="AH1382" s="21" t="s">
        <v>204</v>
      </c>
      <c r="AI1382" s="19">
        <v>0</v>
      </c>
      <c r="AJ1382" s="19">
        <v>0</v>
      </c>
      <c r="AK1382" s="19">
        <v>0</v>
      </c>
      <c r="AL1382" s="19">
        <v>0</v>
      </c>
      <c r="AM1382" s="21">
        <v>0</v>
      </c>
      <c r="AN1382" s="21">
        <v>0</v>
      </c>
      <c r="AO1382" s="21">
        <v>0</v>
      </c>
      <c r="AP1382" s="21">
        <v>0</v>
      </c>
      <c r="AQ1382" s="21">
        <v>0</v>
      </c>
      <c r="AR1382" s="21">
        <v>0</v>
      </c>
      <c r="AS1382" s="21">
        <v>0</v>
      </c>
      <c r="AT1382" s="19">
        <v>0</v>
      </c>
      <c r="AU1382" s="21" t="s">
        <v>204</v>
      </c>
      <c r="AV1382" s="21"/>
      <c r="AW1382" s="30" t="s">
        <v>204</v>
      </c>
      <c r="AX1382" s="21">
        <v>0</v>
      </c>
      <c r="AY1382" s="32">
        <v>0</v>
      </c>
      <c r="AZ1382" s="32">
        <v>0</v>
      </c>
      <c r="BA1382" s="30" t="s">
        <v>204</v>
      </c>
      <c r="BB1382" s="21">
        <v>0</v>
      </c>
      <c r="BC1382" s="31"/>
      <c r="BD1382" s="31">
        <v>0</v>
      </c>
      <c r="BE1382" s="33" t="s">
        <v>2940</v>
      </c>
      <c r="BF1382" s="33" t="s">
        <v>2941</v>
      </c>
      <c r="BG1382" s="21">
        <v>0</v>
      </c>
      <c r="BH1382" s="21">
        <v>0</v>
      </c>
      <c r="BI1382" s="21">
        <v>0</v>
      </c>
      <c r="BJ1382" s="21">
        <v>0</v>
      </c>
      <c r="BK1382" s="21">
        <v>0</v>
      </c>
      <c r="BL1382" s="21">
        <v>0</v>
      </c>
      <c r="BM1382" s="25">
        <v>0</v>
      </c>
      <c r="BN1382" s="19">
        <v>0</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63003003</v>
      </c>
      <c r="D1383" s="30" t="s">
        <v>2942</v>
      </c>
      <c r="E1383" s="30" t="s">
        <v>2924</v>
      </c>
      <c r="F1383" s="21">
        <v>1</v>
      </c>
      <c r="G1383" s="21">
        <v>1000002</v>
      </c>
      <c r="H1383" s="21">
        <v>0</v>
      </c>
      <c r="I1383" s="31">
        <v>0</v>
      </c>
      <c r="J1383" s="32">
        <v>1</v>
      </c>
      <c r="K1383" s="32">
        <v>0</v>
      </c>
      <c r="L1383" s="21">
        <v>0</v>
      </c>
      <c r="M1383" s="21">
        <v>0</v>
      </c>
      <c r="N1383" s="21">
        <v>0</v>
      </c>
      <c r="O1383" s="21">
        <v>8</v>
      </c>
      <c r="P1383" s="21">
        <v>8</v>
      </c>
      <c r="Q1383" s="21">
        <v>2</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t="s">
        <v>2943</v>
      </c>
      <c r="BC1383" s="31"/>
      <c r="BD1383" s="31">
        <v>0</v>
      </c>
      <c r="BE1383" s="33" t="s">
        <v>2944</v>
      </c>
      <c r="BF1383" s="33" t="s">
        <v>2945</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63003004</v>
      </c>
      <c r="D1384" s="179" t="s">
        <v>2910</v>
      </c>
      <c r="E1384" s="179" t="s">
        <v>2946</v>
      </c>
      <c r="F1384" s="180">
        <v>1</v>
      </c>
      <c r="G1384" s="180">
        <v>63001004</v>
      </c>
      <c r="H1384" s="180">
        <v>0</v>
      </c>
      <c r="I1384" s="180">
        <v>0</v>
      </c>
      <c r="J1384" s="32">
        <v>1</v>
      </c>
      <c r="K1384" s="32">
        <v>0</v>
      </c>
      <c r="L1384" s="21">
        <v>0</v>
      </c>
      <c r="M1384" s="180">
        <v>0</v>
      </c>
      <c r="N1384" s="180">
        <v>0</v>
      </c>
      <c r="O1384" s="180">
        <v>2</v>
      </c>
      <c r="P1384" s="180">
        <v>5</v>
      </c>
      <c r="Q1384" s="180">
        <v>0.2</v>
      </c>
      <c r="R1384" s="180">
        <v>0</v>
      </c>
      <c r="S1384" s="19">
        <v>0</v>
      </c>
      <c r="T1384" s="180">
        <v>0</v>
      </c>
      <c r="U1384" s="180">
        <v>1</v>
      </c>
      <c r="V1384" s="180">
        <v>2</v>
      </c>
      <c r="W1384" s="180">
        <v>0</v>
      </c>
      <c r="X1384" s="180">
        <v>0</v>
      </c>
      <c r="Y1384" s="19">
        <v>0</v>
      </c>
      <c r="Z1384" s="180">
        <v>0</v>
      </c>
      <c r="AA1384" s="180">
        <v>0</v>
      </c>
      <c r="AB1384" s="180">
        <v>0</v>
      </c>
      <c r="AC1384" s="180">
        <v>0</v>
      </c>
      <c r="AD1384" s="21">
        <v>1</v>
      </c>
      <c r="AE1384" s="180">
        <v>0</v>
      </c>
      <c r="AF1384" s="180">
        <v>6</v>
      </c>
      <c r="AG1384" s="180">
        <v>1</v>
      </c>
      <c r="AH1384" s="180">
        <v>1</v>
      </c>
      <c r="AI1384" s="180">
        <v>2</v>
      </c>
      <c r="AJ1384" s="180">
        <v>0</v>
      </c>
      <c r="AK1384" s="19">
        <v>0</v>
      </c>
      <c r="AL1384" s="180">
        <v>2</v>
      </c>
      <c r="AM1384" s="180">
        <v>0</v>
      </c>
      <c r="AN1384" s="180">
        <v>0</v>
      </c>
      <c r="AO1384" s="180">
        <v>0</v>
      </c>
      <c r="AP1384" s="21">
        <v>0</v>
      </c>
      <c r="AQ1384" s="180">
        <v>10000</v>
      </c>
      <c r="AR1384" s="180">
        <v>0.5</v>
      </c>
      <c r="AS1384" s="180">
        <v>0</v>
      </c>
      <c r="AT1384" s="180">
        <v>0</v>
      </c>
      <c r="AU1384" s="180" t="s">
        <v>204</v>
      </c>
      <c r="AV1384" s="180"/>
      <c r="AW1384" s="179" t="s">
        <v>205</v>
      </c>
      <c r="AX1384" s="180">
        <v>0</v>
      </c>
      <c r="AY1384" s="180">
        <v>0</v>
      </c>
      <c r="AZ1384" s="180">
        <v>0</v>
      </c>
      <c r="BA1384" s="179" t="s">
        <v>206</v>
      </c>
      <c r="BB1384" s="179" t="s">
        <v>204</v>
      </c>
      <c r="BC1384" s="180">
        <v>0</v>
      </c>
      <c r="BD1384" s="180">
        <v>0</v>
      </c>
      <c r="BE1384" s="181" t="s">
        <v>2947</v>
      </c>
      <c r="BF1384" s="181" t="s">
        <v>2948</v>
      </c>
      <c r="BG1384" s="180">
        <v>0</v>
      </c>
      <c r="BH1384" s="21">
        <v>0</v>
      </c>
      <c r="BI1384" s="180">
        <v>0</v>
      </c>
      <c r="BJ1384" s="180">
        <v>0</v>
      </c>
      <c r="BK1384" s="180">
        <v>0</v>
      </c>
      <c r="BL1384" s="180">
        <v>0</v>
      </c>
      <c r="BM1384" s="352" t="s">
        <v>2949</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63003005</v>
      </c>
      <c r="D1385" s="30" t="s">
        <v>2950</v>
      </c>
      <c r="E1385" s="30" t="s">
        <v>2951</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v>0</v>
      </c>
      <c r="BC1385" s="31"/>
      <c r="BD1385" s="31">
        <v>1</v>
      </c>
      <c r="BE1385" s="33" t="s">
        <v>2952</v>
      </c>
      <c r="BF1385" s="33" t="s">
        <v>2953</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63101001</v>
      </c>
      <c r="D1386" s="30" t="s">
        <v>2954</v>
      </c>
      <c r="E1386" s="30" t="s">
        <v>2955</v>
      </c>
      <c r="F1386" s="21">
        <v>1</v>
      </c>
      <c r="G1386" s="21">
        <v>63001001</v>
      </c>
      <c r="H1386" s="21">
        <v>0</v>
      </c>
      <c r="I1386" s="31">
        <v>0</v>
      </c>
      <c r="J1386" s="32">
        <v>1</v>
      </c>
      <c r="K1386" s="32">
        <v>0</v>
      </c>
      <c r="L1386" s="21">
        <v>0</v>
      </c>
      <c r="M1386" s="21">
        <v>0</v>
      </c>
      <c r="N1386" s="21">
        <v>0</v>
      </c>
      <c r="O1386" s="21">
        <v>2</v>
      </c>
      <c r="P1386" s="21">
        <v>12</v>
      </c>
      <c r="Q1386" s="21">
        <v>1</v>
      </c>
      <c r="R1386" s="21">
        <v>0</v>
      </c>
      <c r="S1386" s="19">
        <v>0</v>
      </c>
      <c r="T1386" s="21">
        <v>0</v>
      </c>
      <c r="U1386" s="21">
        <v>1</v>
      </c>
      <c r="V1386" s="21">
        <v>2</v>
      </c>
      <c r="W1386" s="21">
        <v>0</v>
      </c>
      <c r="X1386" s="32">
        <v>0</v>
      </c>
      <c r="Y1386" s="19">
        <v>0</v>
      </c>
      <c r="Z1386" s="32">
        <v>0</v>
      </c>
      <c r="AA1386" s="21">
        <v>0</v>
      </c>
      <c r="AB1386" s="21">
        <v>0</v>
      </c>
      <c r="AC1386" s="21">
        <v>0</v>
      </c>
      <c r="AD1386" s="21">
        <v>1</v>
      </c>
      <c r="AE1386" s="21">
        <v>0</v>
      </c>
      <c r="AF1386" s="21">
        <v>60</v>
      </c>
      <c r="AG1386" s="21">
        <v>1</v>
      </c>
      <c r="AH1386" s="21">
        <v>10</v>
      </c>
      <c r="AI1386" s="19">
        <v>0</v>
      </c>
      <c r="AJ1386" s="19">
        <v>0</v>
      </c>
      <c r="AK1386" s="19">
        <v>0</v>
      </c>
      <c r="AL1386" s="19">
        <v>0</v>
      </c>
      <c r="AM1386" s="21">
        <v>0</v>
      </c>
      <c r="AN1386" s="21">
        <v>0</v>
      </c>
      <c r="AO1386" s="21">
        <v>0</v>
      </c>
      <c r="AP1386" s="21">
        <v>0</v>
      </c>
      <c r="AQ1386" s="21">
        <v>50000</v>
      </c>
      <c r="AR1386" s="21">
        <v>0</v>
      </c>
      <c r="AS1386" s="21">
        <v>0</v>
      </c>
      <c r="AT1386" s="19">
        <v>0</v>
      </c>
      <c r="AU1386" s="21">
        <v>90511003</v>
      </c>
      <c r="AV1386" s="21"/>
      <c r="AW1386" s="30" t="s">
        <v>204</v>
      </c>
      <c r="AX1386" s="21">
        <v>0</v>
      </c>
      <c r="AY1386" s="32">
        <v>0</v>
      </c>
      <c r="AZ1386" s="32">
        <v>0</v>
      </c>
      <c r="BA1386" s="30" t="s">
        <v>2898</v>
      </c>
      <c r="BB1386" s="21">
        <v>0</v>
      </c>
      <c r="BC1386" s="31">
        <v>0</v>
      </c>
      <c r="BD1386" s="31">
        <v>0</v>
      </c>
      <c r="BE1386" s="33" t="s">
        <v>2956</v>
      </c>
      <c r="BF1386" s="33" t="s">
        <v>2957</v>
      </c>
      <c r="BG1386" s="21">
        <v>0</v>
      </c>
      <c r="BH1386" s="21">
        <v>0</v>
      </c>
      <c r="BI1386" s="21">
        <v>0</v>
      </c>
      <c r="BJ1386" s="21">
        <v>0</v>
      </c>
      <c r="BK1386" s="21">
        <v>0</v>
      </c>
      <c r="BL1386" s="21">
        <v>0</v>
      </c>
      <c r="BM1386" s="25">
        <v>0</v>
      </c>
      <c r="BN1386" s="19">
        <v>1</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63101002</v>
      </c>
      <c r="D1387" s="30" t="s">
        <v>2958</v>
      </c>
      <c r="E1387" s="30" t="s">
        <v>2959</v>
      </c>
      <c r="F1387" s="21">
        <v>1</v>
      </c>
      <c r="G1387" s="21">
        <v>1000003</v>
      </c>
      <c r="H1387" s="21">
        <v>0</v>
      </c>
      <c r="I1387" s="31">
        <v>0</v>
      </c>
      <c r="J1387" s="32">
        <v>1</v>
      </c>
      <c r="K1387" s="32">
        <v>0</v>
      </c>
      <c r="L1387" s="21">
        <v>0</v>
      </c>
      <c r="M1387" s="21">
        <v>0</v>
      </c>
      <c r="N1387" s="21">
        <v>0</v>
      </c>
      <c r="O1387" s="21">
        <v>8</v>
      </c>
      <c r="P1387" s="21">
        <v>8</v>
      </c>
      <c r="Q1387" s="21">
        <v>3</v>
      </c>
      <c r="R1387" s="21">
        <v>0</v>
      </c>
      <c r="S1387" s="19">
        <v>0</v>
      </c>
      <c r="T1387" s="21">
        <v>0</v>
      </c>
      <c r="U1387" s="21">
        <v>1</v>
      </c>
      <c r="V1387" s="21">
        <v>0</v>
      </c>
      <c r="W1387" s="21">
        <v>0</v>
      </c>
      <c r="X1387" s="32">
        <v>0</v>
      </c>
      <c r="Y1387" s="19">
        <v>0</v>
      </c>
      <c r="Z1387" s="32">
        <v>0</v>
      </c>
      <c r="AA1387" s="21">
        <v>0</v>
      </c>
      <c r="AB1387" s="21">
        <v>0</v>
      </c>
      <c r="AC1387" s="21">
        <v>0</v>
      </c>
      <c r="AD1387" s="21">
        <v>1</v>
      </c>
      <c r="AE1387" s="21">
        <v>0</v>
      </c>
      <c r="AF1387" s="21">
        <v>0</v>
      </c>
      <c r="AG1387" s="21">
        <v>0</v>
      </c>
      <c r="AH1387" s="21" t="s">
        <v>204</v>
      </c>
      <c r="AI1387" s="19">
        <v>0</v>
      </c>
      <c r="AJ1387" s="19">
        <v>0</v>
      </c>
      <c r="AK1387" s="19">
        <v>0</v>
      </c>
      <c r="AL1387" s="19">
        <v>0</v>
      </c>
      <c r="AM1387" s="21">
        <v>0</v>
      </c>
      <c r="AN1387" s="21">
        <v>0</v>
      </c>
      <c r="AO1387" s="21">
        <v>0</v>
      </c>
      <c r="AP1387" s="21">
        <v>0</v>
      </c>
      <c r="AQ1387" s="21">
        <v>0</v>
      </c>
      <c r="AR1387" s="21">
        <v>0</v>
      </c>
      <c r="AS1387" s="21">
        <v>0</v>
      </c>
      <c r="AT1387" s="19">
        <v>0</v>
      </c>
      <c r="AU1387" s="21" t="s">
        <v>204</v>
      </c>
      <c r="AV1387" s="21"/>
      <c r="AW1387" s="30" t="s">
        <v>204</v>
      </c>
      <c r="AX1387" s="21">
        <v>0</v>
      </c>
      <c r="AY1387" s="32">
        <v>0</v>
      </c>
      <c r="AZ1387" s="32">
        <v>0</v>
      </c>
      <c r="BA1387" s="30" t="s">
        <v>204</v>
      </c>
      <c r="BB1387" s="21" t="s">
        <v>2960</v>
      </c>
      <c r="BC1387" s="31"/>
      <c r="BD1387" s="31">
        <v>0</v>
      </c>
      <c r="BE1387" s="33" t="s">
        <v>2961</v>
      </c>
      <c r="BF1387" s="33" t="s">
        <v>2962</v>
      </c>
      <c r="BG1387" s="21">
        <v>0</v>
      </c>
      <c r="BH1387" s="21">
        <v>0</v>
      </c>
      <c r="BI1387" s="21">
        <v>0</v>
      </c>
      <c r="BJ1387" s="21">
        <v>0</v>
      </c>
      <c r="BK1387" s="21">
        <v>0</v>
      </c>
      <c r="BL1387" s="21">
        <v>0</v>
      </c>
      <c r="BM1387" s="25">
        <v>0</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63101003</v>
      </c>
      <c r="D1388" s="30" t="s">
        <v>2963</v>
      </c>
      <c r="E1388" s="30" t="s">
        <v>2964</v>
      </c>
      <c r="F1388" s="21">
        <v>1</v>
      </c>
      <c r="G1388" s="21">
        <v>63001003</v>
      </c>
      <c r="H1388" s="21">
        <v>0</v>
      </c>
      <c r="I1388" s="31">
        <v>0</v>
      </c>
      <c r="J1388" s="32">
        <v>1</v>
      </c>
      <c r="K1388" s="32">
        <v>0</v>
      </c>
      <c r="L1388" s="21">
        <v>0</v>
      </c>
      <c r="M1388" s="21">
        <v>0</v>
      </c>
      <c r="N1388" s="21">
        <v>0</v>
      </c>
      <c r="O1388" s="21">
        <v>2</v>
      </c>
      <c r="P1388" s="21">
        <v>0</v>
      </c>
      <c r="Q1388" s="21">
        <v>0</v>
      </c>
      <c r="R1388" s="21">
        <v>0</v>
      </c>
      <c r="S1388" s="19">
        <v>0</v>
      </c>
      <c r="T1388" s="21">
        <v>0</v>
      </c>
      <c r="U1388" s="21">
        <v>1</v>
      </c>
      <c r="V1388" s="21">
        <v>0</v>
      </c>
      <c r="W1388" s="21">
        <v>0</v>
      </c>
      <c r="X1388" s="32">
        <v>0</v>
      </c>
      <c r="Y1388" s="19">
        <v>0</v>
      </c>
      <c r="Z1388" s="32">
        <v>0</v>
      </c>
      <c r="AA1388" s="21">
        <v>0</v>
      </c>
      <c r="AB1388" s="21">
        <v>0</v>
      </c>
      <c r="AC1388" s="21">
        <v>0</v>
      </c>
      <c r="AD1388" s="21">
        <v>1</v>
      </c>
      <c r="AE1388" s="21">
        <v>0</v>
      </c>
      <c r="AF1388" s="21">
        <v>0</v>
      </c>
      <c r="AG1388" s="21">
        <v>0</v>
      </c>
      <c r="AH1388" s="21" t="s">
        <v>204</v>
      </c>
      <c r="AI1388" s="19">
        <v>0</v>
      </c>
      <c r="AJ1388" s="19">
        <v>0</v>
      </c>
      <c r="AK1388" s="19">
        <v>0</v>
      </c>
      <c r="AL1388" s="19">
        <v>0</v>
      </c>
      <c r="AM1388" s="21">
        <v>0</v>
      </c>
      <c r="AN1388" s="21">
        <v>0</v>
      </c>
      <c r="AO1388" s="21">
        <v>0</v>
      </c>
      <c r="AP1388" s="21">
        <v>0</v>
      </c>
      <c r="AQ1388" s="21">
        <v>0</v>
      </c>
      <c r="AR1388" s="21">
        <v>0</v>
      </c>
      <c r="AS1388" s="21">
        <v>0</v>
      </c>
      <c r="AT1388" s="19">
        <v>0</v>
      </c>
      <c r="AU1388" s="21" t="s">
        <v>204</v>
      </c>
      <c r="AV1388" s="21"/>
      <c r="AW1388" s="30" t="s">
        <v>204</v>
      </c>
      <c r="AX1388" s="21">
        <v>0</v>
      </c>
      <c r="AY1388" s="32">
        <v>0</v>
      </c>
      <c r="AZ1388" s="32">
        <v>0</v>
      </c>
      <c r="BA1388" s="30" t="s">
        <v>204</v>
      </c>
      <c r="BB1388" s="21">
        <v>0</v>
      </c>
      <c r="BC1388" s="31"/>
      <c r="BD1388" s="31">
        <v>0</v>
      </c>
      <c r="BE1388" s="33" t="s">
        <v>2965</v>
      </c>
      <c r="BF1388" s="33" t="s">
        <v>2966</v>
      </c>
      <c r="BG1388" s="21">
        <v>0</v>
      </c>
      <c r="BH1388" s="21">
        <v>0</v>
      </c>
      <c r="BI1388" s="21">
        <v>0</v>
      </c>
      <c r="BJ1388" s="21">
        <v>0</v>
      </c>
      <c r="BK1388" s="21">
        <v>0</v>
      </c>
      <c r="BL1388" s="21">
        <v>0</v>
      </c>
      <c r="BM1388" s="25">
        <v>0</v>
      </c>
      <c r="BN1388" s="19">
        <v>0</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63101004</v>
      </c>
      <c r="D1389" s="179" t="s">
        <v>2910</v>
      </c>
      <c r="E1389" s="179" t="s">
        <v>2967</v>
      </c>
      <c r="F1389" s="180">
        <v>1</v>
      </c>
      <c r="G1389" s="180">
        <v>63001004</v>
      </c>
      <c r="H1389" s="180">
        <v>0</v>
      </c>
      <c r="I1389" s="180">
        <v>0</v>
      </c>
      <c r="J1389" s="32">
        <v>1</v>
      </c>
      <c r="K1389" s="32">
        <v>0</v>
      </c>
      <c r="L1389" s="21">
        <v>0</v>
      </c>
      <c r="M1389" s="180">
        <v>0</v>
      </c>
      <c r="N1389" s="180">
        <v>0</v>
      </c>
      <c r="O1389" s="180">
        <v>2</v>
      </c>
      <c r="P1389" s="180">
        <v>17</v>
      </c>
      <c r="Q1389" s="180">
        <v>0.15</v>
      </c>
      <c r="R1389" s="180">
        <v>0</v>
      </c>
      <c r="S1389" s="19">
        <v>0</v>
      </c>
      <c r="T1389" s="180">
        <v>0</v>
      </c>
      <c r="U1389" s="180">
        <v>1</v>
      </c>
      <c r="V1389" s="180">
        <v>2</v>
      </c>
      <c r="W1389" s="180">
        <v>0</v>
      </c>
      <c r="X1389" s="180">
        <v>0</v>
      </c>
      <c r="Y1389" s="19">
        <v>0</v>
      </c>
      <c r="Z1389" s="180">
        <v>0</v>
      </c>
      <c r="AA1389" s="180">
        <v>0</v>
      </c>
      <c r="AB1389" s="180">
        <v>0</v>
      </c>
      <c r="AC1389" s="180">
        <v>0</v>
      </c>
      <c r="AD1389" s="21">
        <v>1</v>
      </c>
      <c r="AE1389" s="180">
        <v>0</v>
      </c>
      <c r="AF1389" s="180">
        <v>15</v>
      </c>
      <c r="AG1389" s="180">
        <v>1</v>
      </c>
      <c r="AH1389" s="180">
        <v>1</v>
      </c>
      <c r="AI1389" s="180">
        <v>2</v>
      </c>
      <c r="AJ1389" s="180">
        <v>0</v>
      </c>
      <c r="AK1389" s="19">
        <v>0</v>
      </c>
      <c r="AL1389" s="180">
        <v>2</v>
      </c>
      <c r="AM1389" s="180">
        <v>0</v>
      </c>
      <c r="AN1389" s="180">
        <v>0</v>
      </c>
      <c r="AO1389" s="180">
        <v>0</v>
      </c>
      <c r="AP1389" s="21">
        <v>0</v>
      </c>
      <c r="AQ1389" s="180">
        <v>10000</v>
      </c>
      <c r="AR1389" s="180">
        <v>0.5</v>
      </c>
      <c r="AS1389" s="180">
        <v>0</v>
      </c>
      <c r="AT1389" s="180">
        <v>0</v>
      </c>
      <c r="AU1389" s="180" t="s">
        <v>204</v>
      </c>
      <c r="AV1389" s="180"/>
      <c r="AW1389" s="179"/>
      <c r="AX1389" s="180">
        <v>0</v>
      </c>
      <c r="AY1389" s="180">
        <v>0</v>
      </c>
      <c r="AZ1389" s="180">
        <v>0</v>
      </c>
      <c r="BA1389" s="179" t="s">
        <v>206</v>
      </c>
      <c r="BB1389" s="179" t="s">
        <v>204</v>
      </c>
      <c r="BC1389" s="180">
        <v>0</v>
      </c>
      <c r="BD1389" s="180">
        <v>0</v>
      </c>
      <c r="BE1389" s="181" t="s">
        <v>2968</v>
      </c>
      <c r="BF1389" s="181" t="s">
        <v>2969</v>
      </c>
      <c r="BG1389" s="180">
        <v>0</v>
      </c>
      <c r="BH1389" s="21">
        <v>0</v>
      </c>
      <c r="BI1389" s="180">
        <v>0</v>
      </c>
      <c r="BJ1389" s="180">
        <v>0</v>
      </c>
      <c r="BK1389" s="180">
        <v>0</v>
      </c>
      <c r="BL1389" s="180">
        <v>0</v>
      </c>
      <c r="BM1389" s="352" t="s">
        <v>2970</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63102001</v>
      </c>
      <c r="D1390" s="30" t="s">
        <v>2971</v>
      </c>
      <c r="E1390" s="30" t="s">
        <v>2972</v>
      </c>
      <c r="F1390" s="21">
        <v>1</v>
      </c>
      <c r="G1390" s="21">
        <v>63002001</v>
      </c>
      <c r="H1390" s="21">
        <v>0</v>
      </c>
      <c r="I1390" s="31">
        <v>0</v>
      </c>
      <c r="J1390" s="32">
        <v>1</v>
      </c>
      <c r="K1390" s="32">
        <v>0</v>
      </c>
      <c r="L1390" s="21">
        <v>0</v>
      </c>
      <c r="M1390" s="21">
        <v>0</v>
      </c>
      <c r="N1390" s="21">
        <v>0</v>
      </c>
      <c r="O1390" s="21">
        <v>2</v>
      </c>
      <c r="P1390" s="21">
        <v>12</v>
      </c>
      <c r="Q1390" s="21">
        <v>1</v>
      </c>
      <c r="R1390" s="21">
        <v>0</v>
      </c>
      <c r="S1390" s="19">
        <v>0</v>
      </c>
      <c r="T1390" s="21">
        <v>0</v>
      </c>
      <c r="U1390" s="21">
        <v>1</v>
      </c>
      <c r="V1390" s="21">
        <v>2</v>
      </c>
      <c r="W1390" s="21">
        <v>0</v>
      </c>
      <c r="X1390" s="32">
        <v>0</v>
      </c>
      <c r="Y1390" s="19">
        <v>0</v>
      </c>
      <c r="Z1390" s="32">
        <v>0</v>
      </c>
      <c r="AA1390" s="21">
        <v>0</v>
      </c>
      <c r="AB1390" s="21">
        <v>0</v>
      </c>
      <c r="AC1390" s="21">
        <v>0</v>
      </c>
      <c r="AD1390" s="21">
        <v>1</v>
      </c>
      <c r="AE1390" s="21">
        <v>0</v>
      </c>
      <c r="AF1390" s="21">
        <v>60</v>
      </c>
      <c r="AG1390" s="21">
        <v>1</v>
      </c>
      <c r="AH1390" s="21">
        <v>10</v>
      </c>
      <c r="AI1390" s="19">
        <v>0</v>
      </c>
      <c r="AJ1390" s="19">
        <v>0</v>
      </c>
      <c r="AK1390" s="19">
        <v>0</v>
      </c>
      <c r="AL1390" s="19">
        <v>0</v>
      </c>
      <c r="AM1390" s="21">
        <v>0</v>
      </c>
      <c r="AN1390" s="21">
        <v>0</v>
      </c>
      <c r="AO1390" s="21">
        <v>0</v>
      </c>
      <c r="AP1390" s="21">
        <v>0</v>
      </c>
      <c r="AQ1390" s="21">
        <v>50000</v>
      </c>
      <c r="AR1390" s="21">
        <v>0</v>
      </c>
      <c r="AS1390" s="21">
        <v>0</v>
      </c>
      <c r="AT1390" s="19">
        <v>0</v>
      </c>
      <c r="AU1390" s="21">
        <v>90512001</v>
      </c>
      <c r="AV1390" s="21"/>
      <c r="AW1390" s="30" t="s">
        <v>204</v>
      </c>
      <c r="AX1390" s="21">
        <v>0</v>
      </c>
      <c r="AY1390" s="32">
        <v>0</v>
      </c>
      <c r="AZ1390" s="32">
        <v>0</v>
      </c>
      <c r="BA1390" s="30" t="s">
        <v>2898</v>
      </c>
      <c r="BB1390" s="21">
        <v>0</v>
      </c>
      <c r="BC1390" s="31">
        <v>0</v>
      </c>
      <c r="BD1390" s="31">
        <v>0</v>
      </c>
      <c r="BE1390" s="33" t="s">
        <v>2973</v>
      </c>
      <c r="BF1390" s="33" t="s">
        <v>2974</v>
      </c>
      <c r="BG1390" s="21">
        <v>0</v>
      </c>
      <c r="BH1390" s="21">
        <v>0</v>
      </c>
      <c r="BI1390" s="21">
        <v>0</v>
      </c>
      <c r="BJ1390" s="21">
        <v>0</v>
      </c>
      <c r="BK1390" s="21">
        <v>0</v>
      </c>
      <c r="BL1390" s="21">
        <v>0</v>
      </c>
      <c r="BM1390" s="25">
        <v>0</v>
      </c>
      <c r="BN1390" s="19">
        <v>1</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63102002</v>
      </c>
      <c r="D1391" s="30" t="s">
        <v>2963</v>
      </c>
      <c r="E1391" s="30" t="s">
        <v>2964</v>
      </c>
      <c r="F1391" s="21">
        <v>1</v>
      </c>
      <c r="G1391" s="21">
        <v>63001003</v>
      </c>
      <c r="H1391" s="21">
        <v>0</v>
      </c>
      <c r="I1391" s="31">
        <v>0</v>
      </c>
      <c r="J1391" s="32">
        <v>1</v>
      </c>
      <c r="K1391" s="32">
        <v>0</v>
      </c>
      <c r="L1391" s="21">
        <v>0</v>
      </c>
      <c r="M1391" s="21">
        <v>0</v>
      </c>
      <c r="N1391" s="21">
        <v>0</v>
      </c>
      <c r="O1391" s="21">
        <v>2</v>
      </c>
      <c r="P1391" s="21">
        <v>0</v>
      </c>
      <c r="Q1391" s="21">
        <v>0</v>
      </c>
      <c r="R1391" s="21">
        <v>0</v>
      </c>
      <c r="S1391" s="19">
        <v>0</v>
      </c>
      <c r="T1391" s="21">
        <v>0</v>
      </c>
      <c r="U1391" s="21">
        <v>1</v>
      </c>
      <c r="V1391" s="21">
        <v>0</v>
      </c>
      <c r="W1391" s="21">
        <v>0</v>
      </c>
      <c r="X1391" s="32">
        <v>0</v>
      </c>
      <c r="Y1391" s="19">
        <v>0</v>
      </c>
      <c r="Z1391" s="32">
        <v>0</v>
      </c>
      <c r="AA1391" s="21">
        <v>0</v>
      </c>
      <c r="AB1391" s="21">
        <v>0</v>
      </c>
      <c r="AC1391" s="21">
        <v>0</v>
      </c>
      <c r="AD1391" s="21">
        <v>1</v>
      </c>
      <c r="AE1391" s="21">
        <v>0</v>
      </c>
      <c r="AF1391" s="21">
        <v>0</v>
      </c>
      <c r="AG1391" s="21">
        <v>0</v>
      </c>
      <c r="AH1391" s="21" t="s">
        <v>204</v>
      </c>
      <c r="AI1391" s="19">
        <v>0</v>
      </c>
      <c r="AJ1391" s="19">
        <v>0</v>
      </c>
      <c r="AK1391" s="19">
        <v>0</v>
      </c>
      <c r="AL1391" s="19">
        <v>0</v>
      </c>
      <c r="AM1391" s="21">
        <v>0</v>
      </c>
      <c r="AN1391" s="21">
        <v>0</v>
      </c>
      <c r="AO1391" s="21">
        <v>0</v>
      </c>
      <c r="AP1391" s="21">
        <v>0</v>
      </c>
      <c r="AQ1391" s="21">
        <v>0</v>
      </c>
      <c r="AR1391" s="21">
        <v>0</v>
      </c>
      <c r="AS1391" s="21">
        <v>0</v>
      </c>
      <c r="AT1391" s="19">
        <v>0</v>
      </c>
      <c r="AU1391" s="21" t="s">
        <v>204</v>
      </c>
      <c r="AV1391" s="21"/>
      <c r="AW1391" s="30" t="s">
        <v>204</v>
      </c>
      <c r="AX1391" s="21">
        <v>0</v>
      </c>
      <c r="AY1391" s="32">
        <v>0</v>
      </c>
      <c r="AZ1391" s="32">
        <v>0</v>
      </c>
      <c r="BA1391" s="30" t="s">
        <v>204</v>
      </c>
      <c r="BB1391" s="21">
        <v>0</v>
      </c>
      <c r="BC1391" s="31"/>
      <c r="BD1391" s="31">
        <v>0</v>
      </c>
      <c r="BE1391" s="33" t="s">
        <v>2965</v>
      </c>
      <c r="BF1391" s="33" t="s">
        <v>2966</v>
      </c>
      <c r="BG1391" s="21">
        <v>0</v>
      </c>
      <c r="BH1391" s="21">
        <v>0</v>
      </c>
      <c r="BI1391" s="21">
        <v>0</v>
      </c>
      <c r="BJ1391" s="21">
        <v>0</v>
      </c>
      <c r="BK1391" s="21">
        <v>0</v>
      </c>
      <c r="BL1391" s="21">
        <v>0</v>
      </c>
      <c r="BM1391" s="25">
        <v>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63102003</v>
      </c>
      <c r="D1392" s="30" t="s">
        <v>2975</v>
      </c>
      <c r="E1392" s="30" t="s">
        <v>2976</v>
      </c>
      <c r="F1392" s="21">
        <v>1</v>
      </c>
      <c r="G1392" s="21">
        <v>1000004</v>
      </c>
      <c r="H1392" s="21">
        <v>0</v>
      </c>
      <c r="I1392" s="31">
        <v>0</v>
      </c>
      <c r="J1392" s="32">
        <v>1</v>
      </c>
      <c r="K1392" s="32">
        <v>0</v>
      </c>
      <c r="L1392" s="21">
        <v>0</v>
      </c>
      <c r="M1392" s="21">
        <v>0</v>
      </c>
      <c r="N1392" s="21">
        <v>0</v>
      </c>
      <c r="O1392" s="21">
        <v>8</v>
      </c>
      <c r="P1392" s="21">
        <v>8</v>
      </c>
      <c r="Q1392" s="21">
        <v>4</v>
      </c>
      <c r="R1392" s="21">
        <v>0</v>
      </c>
      <c r="S1392" s="19">
        <v>0</v>
      </c>
      <c r="T1392" s="21">
        <v>0</v>
      </c>
      <c r="U1392" s="21">
        <v>1</v>
      </c>
      <c r="V1392" s="21">
        <v>0</v>
      </c>
      <c r="W1392" s="21">
        <v>0</v>
      </c>
      <c r="X1392" s="32">
        <v>0</v>
      </c>
      <c r="Y1392" s="19">
        <v>0</v>
      </c>
      <c r="Z1392" s="32">
        <v>0</v>
      </c>
      <c r="AA1392" s="21">
        <v>0</v>
      </c>
      <c r="AB1392" s="21">
        <v>0</v>
      </c>
      <c r="AC1392" s="21">
        <v>0</v>
      </c>
      <c r="AD1392" s="21">
        <v>1</v>
      </c>
      <c r="AE1392" s="21">
        <v>0</v>
      </c>
      <c r="AF1392" s="21">
        <v>0</v>
      </c>
      <c r="AG1392" s="21">
        <v>0</v>
      </c>
      <c r="AH1392" s="21" t="s">
        <v>204</v>
      </c>
      <c r="AI1392" s="19">
        <v>0</v>
      </c>
      <c r="AJ1392" s="19">
        <v>0</v>
      </c>
      <c r="AK1392" s="19">
        <v>0</v>
      </c>
      <c r="AL1392" s="19">
        <v>0</v>
      </c>
      <c r="AM1392" s="21">
        <v>0</v>
      </c>
      <c r="AN1392" s="21">
        <v>0</v>
      </c>
      <c r="AO1392" s="21">
        <v>0</v>
      </c>
      <c r="AP1392" s="21">
        <v>0</v>
      </c>
      <c r="AQ1392" s="21">
        <v>0</v>
      </c>
      <c r="AR1392" s="21">
        <v>0</v>
      </c>
      <c r="AS1392" s="21">
        <v>0</v>
      </c>
      <c r="AT1392" s="19">
        <v>0</v>
      </c>
      <c r="AU1392" s="21" t="s">
        <v>204</v>
      </c>
      <c r="AV1392" s="21"/>
      <c r="AW1392" s="30" t="s">
        <v>204</v>
      </c>
      <c r="AX1392" s="21">
        <v>0</v>
      </c>
      <c r="AY1392" s="32">
        <v>0</v>
      </c>
      <c r="AZ1392" s="32">
        <v>0</v>
      </c>
      <c r="BA1392" s="30" t="s">
        <v>204</v>
      </c>
      <c r="BB1392" s="21" t="s">
        <v>2977</v>
      </c>
      <c r="BC1392" s="31"/>
      <c r="BD1392" s="31">
        <v>0</v>
      </c>
      <c r="BE1392" s="33" t="s">
        <v>2978</v>
      </c>
      <c r="BF1392" s="33" t="s">
        <v>2979</v>
      </c>
      <c r="BG1392" s="21">
        <v>0</v>
      </c>
      <c r="BH1392" s="21">
        <v>0</v>
      </c>
      <c r="BI1392" s="21">
        <v>0</v>
      </c>
      <c r="BJ1392" s="21">
        <v>0</v>
      </c>
      <c r="BK1392" s="21">
        <v>0</v>
      </c>
      <c r="BL1392" s="21">
        <v>0</v>
      </c>
      <c r="BM1392" s="25">
        <v>0</v>
      </c>
      <c r="BN1392" s="19">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63102004</v>
      </c>
      <c r="D1393" s="179" t="s">
        <v>2910</v>
      </c>
      <c r="E1393" s="179" t="s">
        <v>2980</v>
      </c>
      <c r="F1393" s="180">
        <v>1</v>
      </c>
      <c r="G1393" s="180">
        <v>63001004</v>
      </c>
      <c r="H1393" s="180">
        <v>0</v>
      </c>
      <c r="I1393" s="180">
        <v>0</v>
      </c>
      <c r="J1393" s="32">
        <v>1</v>
      </c>
      <c r="K1393" s="32">
        <v>0</v>
      </c>
      <c r="L1393" s="21">
        <v>0</v>
      </c>
      <c r="M1393" s="180">
        <v>0</v>
      </c>
      <c r="N1393" s="180">
        <v>0</v>
      </c>
      <c r="O1393" s="180">
        <v>2</v>
      </c>
      <c r="P1393" s="180">
        <v>4</v>
      </c>
      <c r="Q1393" s="180">
        <v>0.35</v>
      </c>
      <c r="R1393" s="180">
        <v>0</v>
      </c>
      <c r="S1393" s="19">
        <v>0</v>
      </c>
      <c r="T1393" s="180">
        <v>0</v>
      </c>
      <c r="U1393" s="180">
        <v>1</v>
      </c>
      <c r="V1393" s="180">
        <v>2</v>
      </c>
      <c r="W1393" s="180">
        <v>0</v>
      </c>
      <c r="X1393" s="180">
        <v>0</v>
      </c>
      <c r="Y1393" s="19">
        <v>0</v>
      </c>
      <c r="Z1393" s="180">
        <v>0</v>
      </c>
      <c r="AA1393" s="180">
        <v>0</v>
      </c>
      <c r="AB1393" s="180">
        <v>0</v>
      </c>
      <c r="AC1393" s="180">
        <v>0</v>
      </c>
      <c r="AD1393" s="21">
        <v>1</v>
      </c>
      <c r="AE1393" s="180">
        <v>0</v>
      </c>
      <c r="AF1393" s="180">
        <v>3</v>
      </c>
      <c r="AG1393" s="180">
        <v>1</v>
      </c>
      <c r="AH1393" s="180">
        <v>1</v>
      </c>
      <c r="AI1393" s="180">
        <v>2</v>
      </c>
      <c r="AJ1393" s="180">
        <v>0</v>
      </c>
      <c r="AK1393" s="19">
        <v>0</v>
      </c>
      <c r="AL1393" s="180">
        <v>2</v>
      </c>
      <c r="AM1393" s="180">
        <v>0</v>
      </c>
      <c r="AN1393" s="180">
        <v>0</v>
      </c>
      <c r="AO1393" s="180">
        <v>0</v>
      </c>
      <c r="AP1393" s="21">
        <v>0</v>
      </c>
      <c r="AQ1393" s="180">
        <v>1000</v>
      </c>
      <c r="AR1393" s="180">
        <v>0.5</v>
      </c>
      <c r="AS1393" s="180">
        <v>0</v>
      </c>
      <c r="AT1393" s="180">
        <v>0</v>
      </c>
      <c r="AU1393" s="180" t="s">
        <v>204</v>
      </c>
      <c r="AV1393" s="180"/>
      <c r="AW1393" s="179" t="s">
        <v>205</v>
      </c>
      <c r="AX1393" s="180">
        <v>0</v>
      </c>
      <c r="AY1393" s="180">
        <v>0</v>
      </c>
      <c r="AZ1393" s="180">
        <v>0</v>
      </c>
      <c r="BA1393" s="179" t="s">
        <v>206</v>
      </c>
      <c r="BB1393" s="179" t="s">
        <v>204</v>
      </c>
      <c r="BC1393" s="180">
        <v>0</v>
      </c>
      <c r="BD1393" s="180">
        <v>0</v>
      </c>
      <c r="BE1393" s="181" t="s">
        <v>2981</v>
      </c>
      <c r="BF1393" s="181" t="s">
        <v>2982</v>
      </c>
      <c r="BG1393" s="180">
        <v>0</v>
      </c>
      <c r="BH1393" s="21">
        <v>0</v>
      </c>
      <c r="BI1393" s="180">
        <v>0</v>
      </c>
      <c r="BJ1393" s="180">
        <v>0</v>
      </c>
      <c r="BK1393" s="180">
        <v>0</v>
      </c>
      <c r="BL1393" s="180">
        <v>0</v>
      </c>
      <c r="BM1393" s="352" t="s">
        <v>2983</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63103001</v>
      </c>
      <c r="D1394" s="30" t="s">
        <v>2984</v>
      </c>
      <c r="E1394" s="30" t="s">
        <v>2985</v>
      </c>
      <c r="F1394" s="180">
        <v>1</v>
      </c>
      <c r="G1394" s="180">
        <v>63103001</v>
      </c>
      <c r="H1394" s="180">
        <v>0</v>
      </c>
      <c r="I1394" s="180">
        <v>0</v>
      </c>
      <c r="J1394" s="180">
        <v>1</v>
      </c>
      <c r="K1394" s="180">
        <v>0</v>
      </c>
      <c r="L1394" s="180">
        <v>0</v>
      </c>
      <c r="M1394" s="180">
        <v>0</v>
      </c>
      <c r="N1394" s="180">
        <v>0</v>
      </c>
      <c r="O1394" s="180">
        <v>2</v>
      </c>
      <c r="P1394" s="180">
        <v>10</v>
      </c>
      <c r="Q1394" s="180">
        <v>1</v>
      </c>
      <c r="R1394" s="180">
        <v>0</v>
      </c>
      <c r="S1394" s="180">
        <v>0</v>
      </c>
      <c r="T1394" s="180">
        <v>0</v>
      </c>
      <c r="U1394" s="180">
        <v>1</v>
      </c>
      <c r="V1394" s="180">
        <v>2</v>
      </c>
      <c r="W1394" s="180">
        <v>0</v>
      </c>
      <c r="X1394" s="180">
        <v>0</v>
      </c>
      <c r="Y1394" s="19">
        <v>0</v>
      </c>
      <c r="Z1394" s="180">
        <v>0</v>
      </c>
      <c r="AA1394" s="180">
        <v>0</v>
      </c>
      <c r="AB1394" s="180">
        <v>0</v>
      </c>
      <c r="AC1394" s="180">
        <v>0</v>
      </c>
      <c r="AD1394" s="21">
        <v>1</v>
      </c>
      <c r="AE1394" s="180">
        <v>0</v>
      </c>
      <c r="AF1394" s="180">
        <v>30</v>
      </c>
      <c r="AG1394" s="180">
        <v>0</v>
      </c>
      <c r="AH1394" s="180">
        <v>0</v>
      </c>
      <c r="AI1394" s="180">
        <v>7</v>
      </c>
      <c r="AJ1394" s="180">
        <v>0</v>
      </c>
      <c r="AK1394" s="180">
        <v>0</v>
      </c>
      <c r="AL1394" s="180">
        <v>3</v>
      </c>
      <c r="AM1394" s="180">
        <v>0</v>
      </c>
      <c r="AN1394" s="180">
        <v>0</v>
      </c>
      <c r="AO1394" s="180">
        <v>0</v>
      </c>
      <c r="AP1394" s="180">
        <v>0</v>
      </c>
      <c r="AQ1394" s="180">
        <v>2000</v>
      </c>
      <c r="AR1394" s="180">
        <v>0</v>
      </c>
      <c r="AS1394" s="180">
        <v>0</v>
      </c>
      <c r="AT1394" s="180">
        <v>0</v>
      </c>
      <c r="AU1394" s="180">
        <v>90513001</v>
      </c>
      <c r="AV1394" s="180"/>
      <c r="AW1394" s="179" t="s">
        <v>204</v>
      </c>
      <c r="AX1394" s="180">
        <v>0</v>
      </c>
      <c r="AY1394" s="180">
        <v>0</v>
      </c>
      <c r="AZ1394" s="180">
        <v>0</v>
      </c>
      <c r="BA1394" s="179" t="s">
        <v>206</v>
      </c>
      <c r="BB1394" s="179">
        <v>0</v>
      </c>
      <c r="BC1394" s="180">
        <v>0</v>
      </c>
      <c r="BD1394" s="180">
        <v>0</v>
      </c>
      <c r="BE1394" s="33" t="s">
        <v>2986</v>
      </c>
      <c r="BF1394" s="33" t="s">
        <v>2987</v>
      </c>
      <c r="BG1394" s="180">
        <v>0</v>
      </c>
      <c r="BH1394" s="180">
        <v>0</v>
      </c>
      <c r="BI1394" s="180">
        <v>0</v>
      </c>
      <c r="BJ1394" s="180">
        <v>0</v>
      </c>
      <c r="BK1394" s="180">
        <v>0</v>
      </c>
      <c r="BL1394" s="180">
        <v>0</v>
      </c>
      <c r="BM1394" s="244">
        <v>0</v>
      </c>
      <c r="BN1394" s="180">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63103002</v>
      </c>
      <c r="D1395" s="30" t="s">
        <v>2938</v>
      </c>
      <c r="E1395" s="30" t="s">
        <v>2939</v>
      </c>
      <c r="F1395" s="21">
        <v>1</v>
      </c>
      <c r="G1395" s="21">
        <v>63003002</v>
      </c>
      <c r="H1395" s="21">
        <v>0</v>
      </c>
      <c r="I1395" s="31">
        <v>0</v>
      </c>
      <c r="J1395" s="32">
        <v>1</v>
      </c>
      <c r="K1395" s="32">
        <v>0</v>
      </c>
      <c r="L1395" s="21">
        <v>0</v>
      </c>
      <c r="M1395" s="21">
        <v>0</v>
      </c>
      <c r="N1395" s="21">
        <v>0</v>
      </c>
      <c r="O1395" s="21">
        <v>2</v>
      </c>
      <c r="P1395" s="21">
        <v>0</v>
      </c>
      <c r="Q1395" s="21">
        <v>0</v>
      </c>
      <c r="R1395" s="21">
        <v>0</v>
      </c>
      <c r="S1395" s="19">
        <v>0</v>
      </c>
      <c r="T1395" s="21">
        <v>0</v>
      </c>
      <c r="U1395" s="21">
        <v>1</v>
      </c>
      <c r="V1395" s="21">
        <v>0</v>
      </c>
      <c r="W1395" s="21">
        <v>0</v>
      </c>
      <c r="X1395" s="32">
        <v>0</v>
      </c>
      <c r="Y1395" s="19">
        <v>0</v>
      </c>
      <c r="Z1395" s="32">
        <v>0</v>
      </c>
      <c r="AA1395" s="21">
        <v>0</v>
      </c>
      <c r="AB1395" s="21">
        <v>0</v>
      </c>
      <c r="AC1395" s="21">
        <v>0</v>
      </c>
      <c r="AD1395" s="21">
        <v>1</v>
      </c>
      <c r="AE1395" s="21">
        <v>0</v>
      </c>
      <c r="AF1395" s="21">
        <v>0</v>
      </c>
      <c r="AG1395" s="21">
        <v>0</v>
      </c>
      <c r="AH1395" s="21" t="s">
        <v>204</v>
      </c>
      <c r="AI1395" s="19">
        <v>0</v>
      </c>
      <c r="AJ1395" s="19">
        <v>0</v>
      </c>
      <c r="AK1395" s="19">
        <v>0</v>
      </c>
      <c r="AL1395" s="19">
        <v>0</v>
      </c>
      <c r="AM1395" s="21">
        <v>0</v>
      </c>
      <c r="AN1395" s="21">
        <v>0</v>
      </c>
      <c r="AO1395" s="21">
        <v>0</v>
      </c>
      <c r="AP1395" s="21">
        <v>0</v>
      </c>
      <c r="AQ1395" s="21">
        <v>0</v>
      </c>
      <c r="AR1395" s="21">
        <v>0</v>
      </c>
      <c r="AS1395" s="21">
        <v>0</v>
      </c>
      <c r="AT1395" s="19">
        <v>0</v>
      </c>
      <c r="AU1395" s="21" t="s">
        <v>204</v>
      </c>
      <c r="AV1395" s="21"/>
      <c r="AW1395" s="30" t="s">
        <v>204</v>
      </c>
      <c r="AX1395" s="21">
        <v>0</v>
      </c>
      <c r="AY1395" s="32">
        <v>0</v>
      </c>
      <c r="AZ1395" s="32">
        <v>0</v>
      </c>
      <c r="BA1395" s="30" t="s">
        <v>204</v>
      </c>
      <c r="BB1395" s="21">
        <v>0</v>
      </c>
      <c r="BC1395" s="31">
        <v>0</v>
      </c>
      <c r="BD1395" s="31">
        <v>0</v>
      </c>
      <c r="BE1395" s="33" t="s">
        <v>2940</v>
      </c>
      <c r="BF1395" s="33" t="s">
        <v>2941</v>
      </c>
      <c r="BG1395" s="21">
        <v>0</v>
      </c>
      <c r="BH1395" s="21">
        <v>0</v>
      </c>
      <c r="BI1395" s="21">
        <v>0</v>
      </c>
      <c r="BJ1395" s="21">
        <v>0</v>
      </c>
      <c r="BK1395" s="21">
        <v>0</v>
      </c>
      <c r="BL1395" s="21">
        <v>0</v>
      </c>
      <c r="BM1395" s="25">
        <v>0</v>
      </c>
      <c r="BN1395" s="19">
        <v>0</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21">
        <v>63103003</v>
      </c>
      <c r="D1396" s="30" t="s">
        <v>2988</v>
      </c>
      <c r="E1396" s="30" t="s">
        <v>2989</v>
      </c>
      <c r="F1396" s="21">
        <v>1</v>
      </c>
      <c r="G1396" s="21">
        <v>63003003</v>
      </c>
      <c r="H1396" s="21">
        <v>0</v>
      </c>
      <c r="I1396" s="31">
        <v>0</v>
      </c>
      <c r="J1396" s="32">
        <v>1</v>
      </c>
      <c r="K1396" s="32">
        <v>0</v>
      </c>
      <c r="L1396" s="21">
        <v>0</v>
      </c>
      <c r="M1396" s="21">
        <v>0</v>
      </c>
      <c r="N1396" s="21">
        <v>0</v>
      </c>
      <c r="O1396" s="21">
        <v>8</v>
      </c>
      <c r="P1396" s="21">
        <v>0</v>
      </c>
      <c r="Q1396" s="21">
        <v>0</v>
      </c>
      <c r="R1396" s="21">
        <v>0</v>
      </c>
      <c r="S1396" s="19">
        <v>0</v>
      </c>
      <c r="T1396" s="21">
        <v>0</v>
      </c>
      <c r="U1396" s="21">
        <v>1</v>
      </c>
      <c r="V1396" s="21">
        <v>0</v>
      </c>
      <c r="W1396" s="21">
        <v>0</v>
      </c>
      <c r="X1396" s="32">
        <v>0</v>
      </c>
      <c r="Y1396" s="19">
        <v>0</v>
      </c>
      <c r="Z1396" s="32">
        <v>0</v>
      </c>
      <c r="AA1396" s="21">
        <v>0</v>
      </c>
      <c r="AB1396" s="21">
        <v>0</v>
      </c>
      <c r="AC1396" s="21">
        <v>0</v>
      </c>
      <c r="AD1396" s="21">
        <v>1</v>
      </c>
      <c r="AE1396" s="21">
        <v>0</v>
      </c>
      <c r="AF1396" s="21">
        <v>0</v>
      </c>
      <c r="AG1396" s="21">
        <v>0</v>
      </c>
      <c r="AH1396" s="21" t="s">
        <v>204</v>
      </c>
      <c r="AI1396" s="19">
        <v>0</v>
      </c>
      <c r="AJ1396" s="19">
        <v>0</v>
      </c>
      <c r="AK1396" s="19">
        <v>0</v>
      </c>
      <c r="AL1396" s="19">
        <v>0</v>
      </c>
      <c r="AM1396" s="21">
        <v>0</v>
      </c>
      <c r="AN1396" s="21">
        <v>0</v>
      </c>
      <c r="AO1396" s="21">
        <v>0</v>
      </c>
      <c r="AP1396" s="21">
        <v>0</v>
      </c>
      <c r="AQ1396" s="21">
        <v>0</v>
      </c>
      <c r="AR1396" s="21">
        <v>0</v>
      </c>
      <c r="AS1396" s="21">
        <v>0</v>
      </c>
      <c r="AT1396" s="19">
        <v>0</v>
      </c>
      <c r="AU1396" s="21" t="s">
        <v>204</v>
      </c>
      <c r="AV1396" s="21"/>
      <c r="AW1396" s="30" t="s">
        <v>204</v>
      </c>
      <c r="AX1396" s="21">
        <v>0</v>
      </c>
      <c r="AY1396" s="32">
        <v>0</v>
      </c>
      <c r="AZ1396" s="32">
        <v>0</v>
      </c>
      <c r="BA1396" s="30" t="s">
        <v>204</v>
      </c>
      <c r="BB1396" s="21" t="s">
        <v>2990</v>
      </c>
      <c r="BC1396" s="31">
        <v>0</v>
      </c>
      <c r="BD1396" s="31">
        <v>0</v>
      </c>
      <c r="BE1396" s="33" t="s">
        <v>2991</v>
      </c>
      <c r="BF1396" s="33" t="s">
        <v>2992</v>
      </c>
      <c r="BG1396" s="21">
        <v>0</v>
      </c>
      <c r="BH1396" s="21">
        <v>0</v>
      </c>
      <c r="BI1396" s="21">
        <v>0</v>
      </c>
      <c r="BJ1396" s="21">
        <v>0</v>
      </c>
      <c r="BK1396" s="21">
        <v>0</v>
      </c>
      <c r="BL1396" s="21">
        <v>0</v>
      </c>
      <c r="BM1396" s="25">
        <v>0</v>
      </c>
      <c r="BN1396" s="19">
        <v>0</v>
      </c>
      <c r="BO1396" s="19">
        <v>0</v>
      </c>
      <c r="BP1396" s="19">
        <v>0</v>
      </c>
      <c r="BQ1396" s="19">
        <v>0</v>
      </c>
      <c r="BR1396" s="19">
        <v>0</v>
      </c>
      <c r="BS1396" s="19">
        <v>0</v>
      </c>
      <c r="BT1396" s="19">
        <v>0</v>
      </c>
      <c r="BU1396" s="23">
        <v>0</v>
      </c>
      <c r="BV1396" s="23"/>
      <c r="BW1396" s="23"/>
      <c r="BX1396" s="23"/>
      <c r="BY1396" s="23"/>
      <c r="BZ1396" s="23"/>
    </row>
    <row r="1397" spans="3:78" ht="20.100000000000001" customHeight="1">
      <c r="C1397" s="21">
        <v>63103004</v>
      </c>
      <c r="D1397" s="179" t="s">
        <v>2910</v>
      </c>
      <c r="E1397" s="179" t="s">
        <v>2993</v>
      </c>
      <c r="F1397" s="180">
        <v>1</v>
      </c>
      <c r="G1397" s="180">
        <v>63001004</v>
      </c>
      <c r="H1397" s="180">
        <v>0</v>
      </c>
      <c r="I1397" s="180">
        <v>0</v>
      </c>
      <c r="J1397" s="32">
        <v>1</v>
      </c>
      <c r="K1397" s="32">
        <v>0</v>
      </c>
      <c r="L1397" s="21">
        <v>0</v>
      </c>
      <c r="M1397" s="180">
        <v>0</v>
      </c>
      <c r="N1397" s="180">
        <v>0</v>
      </c>
      <c r="O1397" s="180">
        <v>2</v>
      </c>
      <c r="P1397" s="180">
        <v>10</v>
      </c>
      <c r="Q1397" s="180">
        <v>0.2</v>
      </c>
      <c r="R1397" s="180">
        <v>0</v>
      </c>
      <c r="S1397" s="19">
        <v>0</v>
      </c>
      <c r="T1397" s="180">
        <v>0</v>
      </c>
      <c r="U1397" s="180">
        <v>1</v>
      </c>
      <c r="V1397" s="180">
        <v>2</v>
      </c>
      <c r="W1397" s="180">
        <v>0</v>
      </c>
      <c r="X1397" s="180">
        <v>0</v>
      </c>
      <c r="Y1397" s="19">
        <v>0</v>
      </c>
      <c r="Z1397" s="180">
        <v>0</v>
      </c>
      <c r="AA1397" s="180">
        <v>0</v>
      </c>
      <c r="AB1397" s="180">
        <v>0</v>
      </c>
      <c r="AC1397" s="180">
        <v>0</v>
      </c>
      <c r="AD1397" s="21">
        <v>1</v>
      </c>
      <c r="AE1397" s="180">
        <v>0</v>
      </c>
      <c r="AF1397" s="180">
        <v>5</v>
      </c>
      <c r="AG1397" s="180">
        <v>1</v>
      </c>
      <c r="AH1397" s="180">
        <v>1</v>
      </c>
      <c r="AI1397" s="180">
        <v>2</v>
      </c>
      <c r="AJ1397" s="180">
        <v>0</v>
      </c>
      <c r="AK1397" s="19">
        <v>0</v>
      </c>
      <c r="AL1397" s="180">
        <v>2</v>
      </c>
      <c r="AM1397" s="180">
        <v>0</v>
      </c>
      <c r="AN1397" s="180">
        <v>0</v>
      </c>
      <c r="AO1397" s="180">
        <v>0</v>
      </c>
      <c r="AP1397" s="21">
        <v>0</v>
      </c>
      <c r="AQ1397" s="180">
        <v>10000</v>
      </c>
      <c r="AR1397" s="180">
        <v>0</v>
      </c>
      <c r="AS1397" s="180">
        <v>0</v>
      </c>
      <c r="AT1397" s="180">
        <v>0</v>
      </c>
      <c r="AU1397" s="180" t="s">
        <v>204</v>
      </c>
      <c r="AV1397" s="180"/>
      <c r="AW1397" s="179" t="s">
        <v>205</v>
      </c>
      <c r="AX1397" s="180">
        <v>0</v>
      </c>
      <c r="AY1397" s="180">
        <v>0</v>
      </c>
      <c r="AZ1397" s="180">
        <v>0</v>
      </c>
      <c r="BA1397" s="179" t="s">
        <v>206</v>
      </c>
      <c r="BB1397" s="179" t="s">
        <v>204</v>
      </c>
      <c r="BC1397" s="180">
        <v>0</v>
      </c>
      <c r="BD1397" s="180">
        <v>0</v>
      </c>
      <c r="BE1397" s="181" t="s">
        <v>5751</v>
      </c>
      <c r="BF1397" s="181" t="s">
        <v>5752</v>
      </c>
      <c r="BG1397" s="180">
        <v>0</v>
      </c>
      <c r="BH1397" s="21">
        <v>0</v>
      </c>
      <c r="BI1397" s="180">
        <v>0</v>
      </c>
      <c r="BJ1397" s="180">
        <v>0</v>
      </c>
      <c r="BK1397" s="180">
        <v>0</v>
      </c>
      <c r="BL1397" s="180">
        <v>0</v>
      </c>
      <c r="BM1397" s="352" t="s">
        <v>2994</v>
      </c>
      <c r="BN1397" s="19">
        <v>1</v>
      </c>
      <c r="BO1397" s="19">
        <v>0</v>
      </c>
      <c r="BP1397" s="19">
        <v>0</v>
      </c>
      <c r="BQ1397" s="19">
        <v>0</v>
      </c>
      <c r="BR1397" s="19">
        <v>0</v>
      </c>
      <c r="BS1397" s="19">
        <v>0</v>
      </c>
      <c r="BT1397" s="19">
        <v>0</v>
      </c>
      <c r="BU1397" s="23">
        <v>0</v>
      </c>
      <c r="BV1397" s="23"/>
      <c r="BW1397" s="23"/>
      <c r="BX1397" s="23"/>
      <c r="BY1397" s="23"/>
      <c r="BZ1397" s="23"/>
    </row>
    <row r="1398" spans="3:78" ht="20.100000000000001" customHeight="1">
      <c r="C1398" s="38">
        <v>63103098</v>
      </c>
      <c r="D1398" s="42" t="s">
        <v>2995</v>
      </c>
      <c r="E1398" s="42" t="s">
        <v>2996</v>
      </c>
      <c r="F1398" s="38">
        <v>1</v>
      </c>
      <c r="G1398" s="38">
        <v>63001004</v>
      </c>
      <c r="H1398" s="38">
        <v>0</v>
      </c>
      <c r="I1398" s="38">
        <v>0</v>
      </c>
      <c r="J1398" s="38">
        <v>1</v>
      </c>
      <c r="K1398" s="38">
        <v>0</v>
      </c>
      <c r="L1398" s="38">
        <v>0</v>
      </c>
      <c r="M1398" s="38">
        <v>0</v>
      </c>
      <c r="N1398" s="38">
        <v>0</v>
      </c>
      <c r="O1398" s="38">
        <v>2</v>
      </c>
      <c r="P1398" s="38">
        <v>3</v>
      </c>
      <c r="Q1398" s="38">
        <v>0.1</v>
      </c>
      <c r="R1398" s="38">
        <v>0</v>
      </c>
      <c r="S1398" s="38">
        <v>0</v>
      </c>
      <c r="T1398" s="38">
        <v>0</v>
      </c>
      <c r="U1398" s="38">
        <v>1</v>
      </c>
      <c r="V1398" s="38">
        <v>2</v>
      </c>
      <c r="W1398" s="38">
        <v>0</v>
      </c>
      <c r="X1398" s="38">
        <v>0</v>
      </c>
      <c r="Y1398" s="19">
        <v>0</v>
      </c>
      <c r="Z1398" s="38">
        <v>0</v>
      </c>
      <c r="AA1398" s="38">
        <v>0</v>
      </c>
      <c r="AB1398" s="38">
        <v>0</v>
      </c>
      <c r="AC1398" s="38">
        <v>0</v>
      </c>
      <c r="AD1398" s="38">
        <v>1</v>
      </c>
      <c r="AE1398" s="38">
        <v>0</v>
      </c>
      <c r="AF1398" s="38">
        <v>15</v>
      </c>
      <c r="AG1398" s="38">
        <v>1</v>
      </c>
      <c r="AH1398" s="38">
        <v>1</v>
      </c>
      <c r="AI1398" s="38">
        <v>2</v>
      </c>
      <c r="AJ1398" s="38">
        <v>0</v>
      </c>
      <c r="AK1398" s="38">
        <v>0</v>
      </c>
      <c r="AL1398" s="38">
        <v>2</v>
      </c>
      <c r="AM1398" s="38">
        <v>0</v>
      </c>
      <c r="AN1398" s="38">
        <v>0</v>
      </c>
      <c r="AO1398" s="38">
        <v>0</v>
      </c>
      <c r="AP1398" s="38">
        <v>0</v>
      </c>
      <c r="AQ1398" s="38">
        <v>10000</v>
      </c>
      <c r="AR1398" s="38">
        <v>0</v>
      </c>
      <c r="AS1398" s="38">
        <v>0</v>
      </c>
      <c r="AT1398" s="38">
        <v>0</v>
      </c>
      <c r="AU1398" s="38" t="s">
        <v>204</v>
      </c>
      <c r="AV1398" s="38"/>
      <c r="AW1398" s="42" t="s">
        <v>205</v>
      </c>
      <c r="AX1398" s="38">
        <v>0</v>
      </c>
      <c r="AY1398" s="38">
        <v>0</v>
      </c>
      <c r="AZ1398" s="38">
        <v>0</v>
      </c>
      <c r="BA1398" s="42" t="s">
        <v>206</v>
      </c>
      <c r="BB1398" s="42" t="s">
        <v>204</v>
      </c>
      <c r="BC1398" s="38">
        <v>0</v>
      </c>
      <c r="BD1398" s="38">
        <v>0</v>
      </c>
      <c r="BE1398" s="183" t="s">
        <v>2997</v>
      </c>
      <c r="BF1398" s="183" t="s">
        <v>2998</v>
      </c>
      <c r="BG1398" s="38">
        <v>0</v>
      </c>
      <c r="BH1398" s="38">
        <v>0</v>
      </c>
      <c r="BI1398" s="38">
        <v>0</v>
      </c>
      <c r="BJ1398" s="38">
        <v>0</v>
      </c>
      <c r="BK1398" s="38">
        <v>0</v>
      </c>
      <c r="BL1398" s="38">
        <v>0</v>
      </c>
      <c r="BM1398" s="353" t="s">
        <v>2999</v>
      </c>
      <c r="BN1398" s="38">
        <v>1</v>
      </c>
      <c r="BO1398" s="38">
        <v>0</v>
      </c>
      <c r="BP1398" s="38">
        <v>0</v>
      </c>
      <c r="BQ1398" s="38">
        <v>0</v>
      </c>
      <c r="BR1398" s="38">
        <v>0</v>
      </c>
      <c r="BS1398" s="38">
        <v>0</v>
      </c>
      <c r="BT1398" s="19">
        <v>0</v>
      </c>
      <c r="BU1398" s="23">
        <v>0</v>
      </c>
      <c r="BV1398" s="23"/>
      <c r="BW1398" s="23"/>
      <c r="BX1398" s="23"/>
      <c r="BY1398" s="23"/>
      <c r="BZ1398" s="23"/>
    </row>
    <row r="1399" spans="3:78" ht="20.100000000000001" customHeight="1">
      <c r="C1399" s="38">
        <v>63103099</v>
      </c>
      <c r="D1399" s="42" t="s">
        <v>3000</v>
      </c>
      <c r="E1399" s="42" t="s">
        <v>3001</v>
      </c>
      <c r="F1399" s="38">
        <v>1</v>
      </c>
      <c r="G1399" s="38">
        <v>63003001</v>
      </c>
      <c r="H1399" s="38">
        <v>0</v>
      </c>
      <c r="I1399" s="38">
        <v>0</v>
      </c>
      <c r="J1399" s="38">
        <v>1</v>
      </c>
      <c r="K1399" s="38">
        <v>0</v>
      </c>
      <c r="L1399" s="38">
        <v>0</v>
      </c>
      <c r="M1399" s="38">
        <v>0</v>
      </c>
      <c r="N1399" s="38">
        <v>0</v>
      </c>
      <c r="O1399" s="38">
        <v>2</v>
      </c>
      <c r="P1399" s="38">
        <v>2</v>
      </c>
      <c r="Q1399" s="38">
        <v>1</v>
      </c>
      <c r="R1399" s="38">
        <v>0</v>
      </c>
      <c r="S1399" s="38">
        <v>0</v>
      </c>
      <c r="T1399" s="38">
        <v>0</v>
      </c>
      <c r="U1399" s="38">
        <v>1</v>
      </c>
      <c r="V1399" s="38">
        <v>2</v>
      </c>
      <c r="W1399" s="38">
        <v>0</v>
      </c>
      <c r="X1399" s="38">
        <v>0</v>
      </c>
      <c r="Y1399" s="19">
        <v>0</v>
      </c>
      <c r="Z1399" s="38">
        <v>0</v>
      </c>
      <c r="AA1399" s="38">
        <v>0</v>
      </c>
      <c r="AB1399" s="38">
        <v>0</v>
      </c>
      <c r="AC1399" s="38">
        <v>0</v>
      </c>
      <c r="AD1399" s="38">
        <v>1</v>
      </c>
      <c r="AE1399" s="38">
        <v>0</v>
      </c>
      <c r="AF1399" s="38">
        <v>60</v>
      </c>
      <c r="AG1399" s="38">
        <v>1</v>
      </c>
      <c r="AH1399" s="38">
        <v>10</v>
      </c>
      <c r="AI1399" s="38">
        <v>0</v>
      </c>
      <c r="AJ1399" s="38">
        <v>0</v>
      </c>
      <c r="AK1399" s="38">
        <v>0</v>
      </c>
      <c r="AL1399" s="38">
        <v>0</v>
      </c>
      <c r="AM1399" s="38">
        <v>0</v>
      </c>
      <c r="AN1399" s="38">
        <v>0</v>
      </c>
      <c r="AO1399" s="38">
        <v>0</v>
      </c>
      <c r="AP1399" s="38">
        <v>0</v>
      </c>
      <c r="AQ1399" s="38">
        <v>50000</v>
      </c>
      <c r="AR1399" s="38">
        <v>0</v>
      </c>
      <c r="AS1399" s="38">
        <v>0</v>
      </c>
      <c r="AT1399" s="38">
        <v>0</v>
      </c>
      <c r="AU1399" s="38">
        <v>90513001</v>
      </c>
      <c r="AV1399" s="38"/>
      <c r="AW1399" s="42" t="s">
        <v>204</v>
      </c>
      <c r="AX1399" s="38">
        <v>0</v>
      </c>
      <c r="AY1399" s="38">
        <v>0</v>
      </c>
      <c r="AZ1399" s="38">
        <v>0</v>
      </c>
      <c r="BA1399" s="42" t="s">
        <v>3002</v>
      </c>
      <c r="BB1399" s="38">
        <v>0</v>
      </c>
      <c r="BC1399" s="38">
        <v>0</v>
      </c>
      <c r="BD1399" s="38">
        <v>0</v>
      </c>
      <c r="BE1399" s="217" t="s">
        <v>3003</v>
      </c>
      <c r="BF1399" s="217" t="s">
        <v>3004</v>
      </c>
      <c r="BG1399" s="38">
        <v>0</v>
      </c>
      <c r="BH1399" s="38">
        <v>0</v>
      </c>
      <c r="BI1399" s="38">
        <v>0</v>
      </c>
      <c r="BJ1399" s="38">
        <v>0</v>
      </c>
      <c r="BK1399" s="38">
        <v>0</v>
      </c>
      <c r="BL1399" s="38">
        <v>0</v>
      </c>
      <c r="BM1399" s="34">
        <v>0</v>
      </c>
      <c r="BN1399" s="38">
        <v>1</v>
      </c>
      <c r="BO1399" s="38">
        <v>0</v>
      </c>
      <c r="BP1399" s="38">
        <v>0</v>
      </c>
      <c r="BQ1399" s="38">
        <v>0</v>
      </c>
      <c r="BR1399" s="38">
        <v>0</v>
      </c>
      <c r="BS1399" s="38">
        <v>0</v>
      </c>
      <c r="BT1399" s="19">
        <v>0</v>
      </c>
      <c r="BU1399" s="23">
        <v>0</v>
      </c>
      <c r="BV1399" s="23"/>
      <c r="BW1399" s="23"/>
      <c r="BX1399" s="23"/>
      <c r="BY1399" s="23"/>
      <c r="BZ1399" s="23"/>
    </row>
    <row r="1400" spans="3:78" ht="20.100000000000001" customHeight="1">
      <c r="C1400" s="72">
        <v>63200101</v>
      </c>
      <c r="D1400" s="71" t="s">
        <v>3005</v>
      </c>
      <c r="E1400" s="71" t="s">
        <v>3006</v>
      </c>
      <c r="F1400" s="72">
        <v>1</v>
      </c>
      <c r="G1400" s="72">
        <v>63200101</v>
      </c>
      <c r="H1400" s="72">
        <v>0</v>
      </c>
      <c r="I1400" s="75">
        <v>0</v>
      </c>
      <c r="J1400" s="74">
        <v>1</v>
      </c>
      <c r="K1400" s="74">
        <v>0</v>
      </c>
      <c r="L1400" s="72">
        <v>0</v>
      </c>
      <c r="M1400" s="72">
        <v>0</v>
      </c>
      <c r="N1400" s="72">
        <v>0</v>
      </c>
      <c r="O1400" s="72">
        <v>2</v>
      </c>
      <c r="P1400" s="72">
        <v>1</v>
      </c>
      <c r="Q1400" s="72">
        <v>0.5</v>
      </c>
      <c r="R1400" s="72">
        <v>0</v>
      </c>
      <c r="S1400" s="73">
        <v>0</v>
      </c>
      <c r="T1400" s="72">
        <v>0</v>
      </c>
      <c r="U1400" s="72">
        <v>1</v>
      </c>
      <c r="V1400" s="72">
        <v>2</v>
      </c>
      <c r="W1400" s="72">
        <v>0</v>
      </c>
      <c r="X1400" s="74">
        <v>0</v>
      </c>
      <c r="Y1400" s="19">
        <v>0</v>
      </c>
      <c r="Z1400" s="74">
        <v>0</v>
      </c>
      <c r="AA1400" s="72">
        <v>0</v>
      </c>
      <c r="AB1400" s="72">
        <v>0</v>
      </c>
      <c r="AC1400" s="72">
        <v>0</v>
      </c>
      <c r="AD1400" s="72">
        <v>0</v>
      </c>
      <c r="AE1400" s="72">
        <v>0</v>
      </c>
      <c r="AF1400" s="72">
        <v>18</v>
      </c>
      <c r="AG1400" s="72">
        <v>0</v>
      </c>
      <c r="AH1400" s="72">
        <v>0</v>
      </c>
      <c r="AI1400" s="73">
        <v>2</v>
      </c>
      <c r="AJ1400" s="73">
        <v>0</v>
      </c>
      <c r="AK1400" s="73">
        <v>0</v>
      </c>
      <c r="AL1400" s="73">
        <v>0</v>
      </c>
      <c r="AM1400" s="72">
        <v>0</v>
      </c>
      <c r="AN1400" s="72">
        <v>0</v>
      </c>
      <c r="AO1400" s="72">
        <v>0</v>
      </c>
      <c r="AP1400" s="72">
        <v>0</v>
      </c>
      <c r="AQ1400" s="72">
        <v>1000</v>
      </c>
      <c r="AR1400" s="72">
        <v>0</v>
      </c>
      <c r="AS1400" s="72">
        <v>0</v>
      </c>
      <c r="AT1400" s="73"/>
      <c r="AU1400" s="72" t="s">
        <v>204</v>
      </c>
      <c r="AV1400" s="72"/>
      <c r="AW1400" s="71" t="s">
        <v>204</v>
      </c>
      <c r="AX1400" s="72" t="s">
        <v>1582</v>
      </c>
      <c r="AY1400" s="74">
        <v>0</v>
      </c>
      <c r="AZ1400" s="74">
        <v>0</v>
      </c>
      <c r="BA1400" s="71" t="s">
        <v>206</v>
      </c>
      <c r="BB1400" s="72" t="s">
        <v>204</v>
      </c>
      <c r="BC1400" s="75">
        <v>0</v>
      </c>
      <c r="BD1400" s="75">
        <v>0</v>
      </c>
      <c r="BE1400" s="76" t="s">
        <v>3007</v>
      </c>
      <c r="BF1400" s="76" t="s">
        <v>3008</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63200102</v>
      </c>
      <c r="D1401" s="131" t="s">
        <v>2503</v>
      </c>
      <c r="E1401" s="131" t="s">
        <v>3009</v>
      </c>
      <c r="F1401" s="73">
        <v>1</v>
      </c>
      <c r="G1401" s="73">
        <v>10001</v>
      </c>
      <c r="H1401" s="73">
        <v>0</v>
      </c>
      <c r="I1401" s="73">
        <v>0</v>
      </c>
      <c r="J1401" s="73">
        <v>1</v>
      </c>
      <c r="K1401" s="73">
        <v>0</v>
      </c>
      <c r="L1401" s="72">
        <v>0</v>
      </c>
      <c r="M1401" s="73">
        <v>0</v>
      </c>
      <c r="N1401" s="73">
        <v>0</v>
      </c>
      <c r="O1401" s="73">
        <v>2</v>
      </c>
      <c r="P1401" s="73">
        <v>15</v>
      </c>
      <c r="Q1401" s="73">
        <v>1</v>
      </c>
      <c r="R1401" s="73">
        <v>0</v>
      </c>
      <c r="S1401" s="73">
        <v>0</v>
      </c>
      <c r="T1401" s="73">
        <v>0</v>
      </c>
      <c r="U1401" s="73">
        <v>1</v>
      </c>
      <c r="V1401" s="73">
        <v>2</v>
      </c>
      <c r="W1401" s="73">
        <v>0</v>
      </c>
      <c r="X1401" s="73">
        <v>0</v>
      </c>
      <c r="Y1401" s="19">
        <v>0</v>
      </c>
      <c r="Z1401" s="73">
        <v>0</v>
      </c>
      <c r="AA1401" s="73">
        <v>0</v>
      </c>
      <c r="AB1401" s="73">
        <v>0</v>
      </c>
      <c r="AC1401" s="73">
        <v>0</v>
      </c>
      <c r="AD1401" s="73">
        <v>0</v>
      </c>
      <c r="AE1401" s="73">
        <v>0</v>
      </c>
      <c r="AF1401" s="73">
        <v>25</v>
      </c>
      <c r="AG1401" s="73">
        <v>0</v>
      </c>
      <c r="AH1401" s="73">
        <v>0</v>
      </c>
      <c r="AI1401" s="73">
        <v>2</v>
      </c>
      <c r="AJ1401" s="73">
        <v>1</v>
      </c>
      <c r="AK1401" s="73">
        <v>0</v>
      </c>
      <c r="AL1401" s="73">
        <v>0</v>
      </c>
      <c r="AM1401" s="73">
        <v>0</v>
      </c>
      <c r="AN1401" s="73">
        <v>0</v>
      </c>
      <c r="AO1401" s="73">
        <v>0</v>
      </c>
      <c r="AP1401" s="73">
        <v>0</v>
      </c>
      <c r="AQ1401" s="73">
        <v>1000</v>
      </c>
      <c r="AR1401" s="73">
        <v>0</v>
      </c>
      <c r="AS1401" s="73">
        <v>0</v>
      </c>
      <c r="AT1401" s="330" t="s">
        <v>3010</v>
      </c>
      <c r="AU1401" s="73" t="s">
        <v>204</v>
      </c>
      <c r="AV1401" s="73"/>
      <c r="AW1401" s="131" t="s">
        <v>205</v>
      </c>
      <c r="AX1401" s="73" t="s">
        <v>1582</v>
      </c>
      <c r="AY1401" s="73">
        <v>0</v>
      </c>
      <c r="AZ1401" s="73">
        <v>40000003</v>
      </c>
      <c r="BA1401" s="131" t="s">
        <v>206</v>
      </c>
      <c r="BB1401" s="131" t="s">
        <v>204</v>
      </c>
      <c r="BC1401" s="73">
        <v>0</v>
      </c>
      <c r="BD1401" s="73">
        <v>1</v>
      </c>
      <c r="BE1401" s="242" t="s">
        <v>3011</v>
      </c>
      <c r="BF1401" s="242" t="s">
        <v>3012</v>
      </c>
      <c r="BG1401" s="73">
        <v>0</v>
      </c>
      <c r="BH1401" s="73">
        <v>0</v>
      </c>
      <c r="BI1401" s="73">
        <v>0</v>
      </c>
      <c r="BJ1401" s="73">
        <v>0</v>
      </c>
      <c r="BK1401" s="73">
        <v>0</v>
      </c>
      <c r="BL1401" s="73">
        <v>0</v>
      </c>
      <c r="BM1401" s="133">
        <v>0</v>
      </c>
      <c r="BN1401" s="73">
        <v>1</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63200103</v>
      </c>
      <c r="D1402" s="71" t="s">
        <v>3013</v>
      </c>
      <c r="E1402" s="71" t="s">
        <v>3014</v>
      </c>
      <c r="F1402" s="72">
        <v>1</v>
      </c>
      <c r="G1402" s="72">
        <v>1000004</v>
      </c>
      <c r="H1402" s="72">
        <v>0</v>
      </c>
      <c r="I1402" s="75">
        <v>0</v>
      </c>
      <c r="J1402" s="74">
        <v>1</v>
      </c>
      <c r="K1402" s="74">
        <v>0</v>
      </c>
      <c r="L1402" s="72">
        <v>0</v>
      </c>
      <c r="M1402" s="72">
        <v>0</v>
      </c>
      <c r="N1402" s="72">
        <v>0</v>
      </c>
      <c r="O1402" s="72">
        <v>8</v>
      </c>
      <c r="P1402" s="72">
        <v>8</v>
      </c>
      <c r="Q1402" s="72">
        <v>4</v>
      </c>
      <c r="R1402" s="72">
        <v>0</v>
      </c>
      <c r="S1402" s="73">
        <v>0</v>
      </c>
      <c r="T1402" s="72">
        <v>0</v>
      </c>
      <c r="U1402" s="72">
        <v>1</v>
      </c>
      <c r="V1402" s="72">
        <v>0</v>
      </c>
      <c r="W1402" s="72">
        <v>0</v>
      </c>
      <c r="X1402" s="74">
        <v>0</v>
      </c>
      <c r="Y1402" s="19">
        <v>0</v>
      </c>
      <c r="Z1402" s="74">
        <v>0</v>
      </c>
      <c r="AA1402" s="72">
        <v>0</v>
      </c>
      <c r="AB1402" s="72">
        <v>0</v>
      </c>
      <c r="AC1402" s="72">
        <v>0</v>
      </c>
      <c r="AD1402" s="72">
        <v>0</v>
      </c>
      <c r="AE1402" s="72">
        <v>0</v>
      </c>
      <c r="AF1402" s="72">
        <v>0</v>
      </c>
      <c r="AG1402" s="72">
        <v>0</v>
      </c>
      <c r="AH1402" s="72" t="s">
        <v>204</v>
      </c>
      <c r="AI1402" s="73">
        <v>0</v>
      </c>
      <c r="AJ1402" s="73">
        <v>0</v>
      </c>
      <c r="AK1402" s="73">
        <v>0</v>
      </c>
      <c r="AL1402" s="73">
        <v>0</v>
      </c>
      <c r="AM1402" s="72">
        <v>0</v>
      </c>
      <c r="AN1402" s="72">
        <v>0</v>
      </c>
      <c r="AO1402" s="72">
        <v>0</v>
      </c>
      <c r="AP1402" s="72">
        <v>0</v>
      </c>
      <c r="AQ1402" s="72">
        <v>0</v>
      </c>
      <c r="AR1402" s="72">
        <v>0</v>
      </c>
      <c r="AS1402" s="72">
        <v>0</v>
      </c>
      <c r="AT1402" s="73">
        <v>0</v>
      </c>
      <c r="AU1402" s="72" t="s">
        <v>204</v>
      </c>
      <c r="AV1402" s="72"/>
      <c r="AW1402" s="71" t="s">
        <v>204</v>
      </c>
      <c r="AX1402" s="72">
        <v>0</v>
      </c>
      <c r="AY1402" s="74">
        <v>0</v>
      </c>
      <c r="AZ1402" s="74">
        <v>0</v>
      </c>
      <c r="BA1402" s="71" t="s">
        <v>204</v>
      </c>
      <c r="BB1402" s="72" t="s">
        <v>3015</v>
      </c>
      <c r="BC1402" s="75"/>
      <c r="BD1402" s="75">
        <v>1</v>
      </c>
      <c r="BE1402" s="76" t="s">
        <v>3016</v>
      </c>
      <c r="BF1402" s="76" t="s">
        <v>3017</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63200104</v>
      </c>
      <c r="D1403" s="238" t="s">
        <v>2503</v>
      </c>
      <c r="E1403" s="238" t="s">
        <v>3009</v>
      </c>
      <c r="F1403" s="239">
        <v>1</v>
      </c>
      <c r="G1403" s="239">
        <v>63001004</v>
      </c>
      <c r="H1403" s="239">
        <v>0</v>
      </c>
      <c r="I1403" s="239">
        <v>0</v>
      </c>
      <c r="J1403" s="239">
        <v>1</v>
      </c>
      <c r="K1403" s="239">
        <v>0</v>
      </c>
      <c r="L1403" s="239">
        <v>0</v>
      </c>
      <c r="M1403" s="239">
        <v>0</v>
      </c>
      <c r="N1403" s="239">
        <v>0</v>
      </c>
      <c r="O1403" s="239">
        <v>2</v>
      </c>
      <c r="P1403" s="239">
        <v>10</v>
      </c>
      <c r="Q1403" s="239">
        <v>0.1</v>
      </c>
      <c r="R1403" s="239">
        <v>0</v>
      </c>
      <c r="S1403" s="239">
        <v>0</v>
      </c>
      <c r="T1403" s="239">
        <v>0</v>
      </c>
      <c r="U1403" s="239">
        <v>1</v>
      </c>
      <c r="V1403" s="239">
        <v>2</v>
      </c>
      <c r="W1403" s="239">
        <v>0</v>
      </c>
      <c r="X1403" s="239">
        <v>0</v>
      </c>
      <c r="Y1403" s="19">
        <v>0</v>
      </c>
      <c r="Z1403" s="239">
        <v>0</v>
      </c>
      <c r="AA1403" s="239">
        <v>0</v>
      </c>
      <c r="AB1403" s="239">
        <v>0</v>
      </c>
      <c r="AC1403" s="239">
        <v>0</v>
      </c>
      <c r="AD1403" s="72">
        <v>0</v>
      </c>
      <c r="AE1403" s="239">
        <v>0</v>
      </c>
      <c r="AF1403" s="239">
        <v>5</v>
      </c>
      <c r="AG1403" s="239">
        <v>0</v>
      </c>
      <c r="AH1403" s="239">
        <v>0</v>
      </c>
      <c r="AI1403" s="239">
        <v>7</v>
      </c>
      <c r="AJ1403" s="239">
        <v>0</v>
      </c>
      <c r="AK1403" s="239">
        <v>0</v>
      </c>
      <c r="AL1403" s="239">
        <v>3</v>
      </c>
      <c r="AM1403" s="239">
        <v>0</v>
      </c>
      <c r="AN1403" s="239">
        <v>0</v>
      </c>
      <c r="AO1403" s="239">
        <v>0</v>
      </c>
      <c r="AP1403" s="239">
        <v>0</v>
      </c>
      <c r="AQ1403" s="239">
        <v>3000</v>
      </c>
      <c r="AR1403" s="239">
        <v>0.5</v>
      </c>
      <c r="AS1403" s="239">
        <v>0</v>
      </c>
      <c r="AT1403" s="239">
        <v>90503112</v>
      </c>
      <c r="AU1403" s="239">
        <v>0</v>
      </c>
      <c r="AV1403" s="239"/>
      <c r="AW1403" s="238" t="s">
        <v>204</v>
      </c>
      <c r="AX1403" s="239">
        <v>0</v>
      </c>
      <c r="AY1403" s="239">
        <v>0</v>
      </c>
      <c r="AZ1403" s="239">
        <v>0</v>
      </c>
      <c r="BA1403" s="238" t="s">
        <v>206</v>
      </c>
      <c r="BB1403" s="238">
        <v>0</v>
      </c>
      <c r="BC1403" s="239">
        <v>0</v>
      </c>
      <c r="BD1403" s="239">
        <v>1</v>
      </c>
      <c r="BE1403" s="246" t="s">
        <v>3018</v>
      </c>
      <c r="BF1403" s="246" t="s">
        <v>3019</v>
      </c>
      <c r="BG1403" s="239">
        <v>0</v>
      </c>
      <c r="BH1403" s="239">
        <v>0</v>
      </c>
      <c r="BI1403" s="239">
        <v>0</v>
      </c>
      <c r="BJ1403" s="239">
        <v>0</v>
      </c>
      <c r="BK1403" s="239">
        <v>0</v>
      </c>
      <c r="BL1403" s="239">
        <v>0</v>
      </c>
      <c r="BM1403" s="241">
        <v>0</v>
      </c>
      <c r="BN1403" s="239">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63200201</v>
      </c>
      <c r="D1404" s="71" t="s">
        <v>3020</v>
      </c>
      <c r="E1404" s="71" t="s">
        <v>3021</v>
      </c>
      <c r="F1404" s="72">
        <v>1</v>
      </c>
      <c r="G1404" s="72">
        <v>63200201</v>
      </c>
      <c r="H1404" s="72">
        <v>0</v>
      </c>
      <c r="I1404" s="75">
        <v>0</v>
      </c>
      <c r="J1404" s="74">
        <v>1</v>
      </c>
      <c r="K1404" s="74">
        <v>0</v>
      </c>
      <c r="L1404" s="72">
        <v>0</v>
      </c>
      <c r="M1404" s="72">
        <v>0</v>
      </c>
      <c r="N1404" s="72">
        <v>0</v>
      </c>
      <c r="O1404" s="72">
        <v>2</v>
      </c>
      <c r="P1404" s="72">
        <v>1</v>
      </c>
      <c r="Q1404" s="72">
        <v>0.5</v>
      </c>
      <c r="R1404" s="72">
        <v>0</v>
      </c>
      <c r="S1404" s="73">
        <v>0</v>
      </c>
      <c r="T1404" s="72">
        <v>0</v>
      </c>
      <c r="U1404" s="72">
        <v>1</v>
      </c>
      <c r="V1404" s="72">
        <v>2</v>
      </c>
      <c r="W1404" s="72">
        <v>0</v>
      </c>
      <c r="X1404" s="74">
        <v>0</v>
      </c>
      <c r="Y1404" s="19">
        <v>0</v>
      </c>
      <c r="Z1404" s="74">
        <v>0</v>
      </c>
      <c r="AA1404" s="72">
        <v>0</v>
      </c>
      <c r="AB1404" s="72">
        <v>0</v>
      </c>
      <c r="AC1404" s="72">
        <v>0</v>
      </c>
      <c r="AD1404" s="72">
        <v>0</v>
      </c>
      <c r="AE1404" s="72">
        <v>0</v>
      </c>
      <c r="AF1404" s="72">
        <v>18</v>
      </c>
      <c r="AG1404" s="72">
        <v>0</v>
      </c>
      <c r="AH1404" s="72">
        <v>0</v>
      </c>
      <c r="AI1404" s="73">
        <v>2</v>
      </c>
      <c r="AJ1404" s="73">
        <v>0</v>
      </c>
      <c r="AK1404" s="73">
        <v>0</v>
      </c>
      <c r="AL1404" s="73">
        <v>0</v>
      </c>
      <c r="AM1404" s="72">
        <v>0</v>
      </c>
      <c r="AN1404" s="72">
        <v>0</v>
      </c>
      <c r="AO1404" s="72">
        <v>0</v>
      </c>
      <c r="AP1404" s="72">
        <v>0</v>
      </c>
      <c r="AQ1404" s="72">
        <v>1000</v>
      </c>
      <c r="AR1404" s="72">
        <v>0</v>
      </c>
      <c r="AS1404" s="72">
        <v>0</v>
      </c>
      <c r="AT1404" s="73"/>
      <c r="AU1404" s="72" t="s">
        <v>204</v>
      </c>
      <c r="AV1404" s="72"/>
      <c r="AW1404" s="71" t="s">
        <v>204</v>
      </c>
      <c r="AX1404" s="72" t="s">
        <v>1582</v>
      </c>
      <c r="AY1404" s="74">
        <v>0</v>
      </c>
      <c r="AZ1404" s="74">
        <v>0</v>
      </c>
      <c r="BA1404" s="71" t="s">
        <v>206</v>
      </c>
      <c r="BB1404" s="72" t="s">
        <v>204</v>
      </c>
      <c r="BC1404" s="75">
        <v>0</v>
      </c>
      <c r="BD1404" s="75">
        <v>0</v>
      </c>
      <c r="BE1404" s="76" t="s">
        <v>3022</v>
      </c>
      <c r="BF1404" s="76" t="s">
        <v>3023</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63200202</v>
      </c>
      <c r="D1405" s="71" t="s">
        <v>3024</v>
      </c>
      <c r="E1405" s="71" t="s">
        <v>3025</v>
      </c>
      <c r="F1405" s="72">
        <v>1</v>
      </c>
      <c r="G1405" s="72">
        <v>1000004</v>
      </c>
      <c r="H1405" s="72">
        <v>0</v>
      </c>
      <c r="I1405" s="75">
        <v>0</v>
      </c>
      <c r="J1405" s="74">
        <v>1</v>
      </c>
      <c r="K1405" s="74">
        <v>0</v>
      </c>
      <c r="L1405" s="72">
        <v>0</v>
      </c>
      <c r="M1405" s="72">
        <v>0</v>
      </c>
      <c r="N1405" s="72">
        <v>0</v>
      </c>
      <c r="O1405" s="72">
        <v>8</v>
      </c>
      <c r="P1405" s="72">
        <v>8</v>
      </c>
      <c r="Q1405" s="72">
        <v>4</v>
      </c>
      <c r="R1405" s="72">
        <v>0</v>
      </c>
      <c r="S1405" s="73">
        <v>0</v>
      </c>
      <c r="T1405" s="72">
        <v>0</v>
      </c>
      <c r="U1405" s="72">
        <v>1</v>
      </c>
      <c r="V1405" s="72">
        <v>0</v>
      </c>
      <c r="W1405" s="72">
        <v>0</v>
      </c>
      <c r="X1405" s="74">
        <v>0</v>
      </c>
      <c r="Y1405" s="19">
        <v>0</v>
      </c>
      <c r="Z1405" s="74">
        <v>0</v>
      </c>
      <c r="AA1405" s="72">
        <v>0</v>
      </c>
      <c r="AB1405" s="72">
        <v>0</v>
      </c>
      <c r="AC1405" s="72">
        <v>0</v>
      </c>
      <c r="AD1405" s="72">
        <v>0</v>
      </c>
      <c r="AE1405" s="72">
        <v>0</v>
      </c>
      <c r="AF1405" s="72">
        <v>0</v>
      </c>
      <c r="AG1405" s="72">
        <v>0</v>
      </c>
      <c r="AH1405" s="72" t="s">
        <v>204</v>
      </c>
      <c r="AI1405" s="73">
        <v>0</v>
      </c>
      <c r="AJ1405" s="73">
        <v>0</v>
      </c>
      <c r="AK1405" s="73">
        <v>0</v>
      </c>
      <c r="AL1405" s="73">
        <v>0</v>
      </c>
      <c r="AM1405" s="72">
        <v>0</v>
      </c>
      <c r="AN1405" s="72">
        <v>0</v>
      </c>
      <c r="AO1405" s="72">
        <v>0</v>
      </c>
      <c r="AP1405" s="72">
        <v>0</v>
      </c>
      <c r="AQ1405" s="72">
        <v>0</v>
      </c>
      <c r="AR1405" s="72">
        <v>0</v>
      </c>
      <c r="AS1405" s="72">
        <v>0</v>
      </c>
      <c r="AT1405" s="73">
        <v>0</v>
      </c>
      <c r="AU1405" s="72" t="s">
        <v>204</v>
      </c>
      <c r="AV1405" s="72"/>
      <c r="AW1405" s="71" t="s">
        <v>204</v>
      </c>
      <c r="AX1405" s="72">
        <v>0</v>
      </c>
      <c r="AY1405" s="74">
        <v>0</v>
      </c>
      <c r="AZ1405" s="74">
        <v>0</v>
      </c>
      <c r="BA1405" s="71" t="s">
        <v>204</v>
      </c>
      <c r="BB1405" s="72" t="s">
        <v>3026</v>
      </c>
      <c r="BC1405" s="75"/>
      <c r="BD1405" s="75">
        <v>1</v>
      </c>
      <c r="BE1405" s="76" t="s">
        <v>3027</v>
      </c>
      <c r="BF1405" s="76" t="s">
        <v>3028</v>
      </c>
      <c r="BG1405" s="72">
        <v>0</v>
      </c>
      <c r="BH1405" s="72">
        <v>0</v>
      </c>
      <c r="BI1405" s="72">
        <v>0</v>
      </c>
      <c r="BJ1405" s="72">
        <v>0</v>
      </c>
      <c r="BK1405" s="72">
        <v>0</v>
      </c>
      <c r="BL1405" s="72">
        <v>0</v>
      </c>
      <c r="BM1405" s="90">
        <v>0</v>
      </c>
      <c r="BN1405" s="73">
        <v>0</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72">
        <v>63200203</v>
      </c>
      <c r="D1406" s="71" t="s">
        <v>3029</v>
      </c>
      <c r="E1406" s="71" t="s">
        <v>3030</v>
      </c>
      <c r="F1406" s="72">
        <v>1</v>
      </c>
      <c r="G1406" s="72">
        <v>1000004</v>
      </c>
      <c r="H1406" s="72">
        <v>0</v>
      </c>
      <c r="I1406" s="75">
        <v>0</v>
      </c>
      <c r="J1406" s="74">
        <v>1</v>
      </c>
      <c r="K1406" s="74">
        <v>0</v>
      </c>
      <c r="L1406" s="72">
        <v>0</v>
      </c>
      <c r="M1406" s="72">
        <v>0</v>
      </c>
      <c r="N1406" s="72">
        <v>0</v>
      </c>
      <c r="O1406" s="72">
        <v>8</v>
      </c>
      <c r="P1406" s="72">
        <v>8</v>
      </c>
      <c r="Q1406" s="72">
        <v>4</v>
      </c>
      <c r="R1406" s="72">
        <v>0</v>
      </c>
      <c r="S1406" s="73">
        <v>0</v>
      </c>
      <c r="T1406" s="72">
        <v>0</v>
      </c>
      <c r="U1406" s="72">
        <v>1</v>
      </c>
      <c r="V1406" s="72">
        <v>0</v>
      </c>
      <c r="W1406" s="72">
        <v>0</v>
      </c>
      <c r="X1406" s="74">
        <v>0</v>
      </c>
      <c r="Y1406" s="19">
        <v>0</v>
      </c>
      <c r="Z1406" s="74">
        <v>0</v>
      </c>
      <c r="AA1406" s="72">
        <v>0</v>
      </c>
      <c r="AB1406" s="72">
        <v>0</v>
      </c>
      <c r="AC1406" s="72">
        <v>0</v>
      </c>
      <c r="AD1406" s="72">
        <v>0</v>
      </c>
      <c r="AE1406" s="72">
        <v>0</v>
      </c>
      <c r="AF1406" s="72">
        <v>0</v>
      </c>
      <c r="AG1406" s="72">
        <v>0</v>
      </c>
      <c r="AH1406" s="72" t="s">
        <v>204</v>
      </c>
      <c r="AI1406" s="73">
        <v>0</v>
      </c>
      <c r="AJ1406" s="73">
        <v>0</v>
      </c>
      <c r="AK1406" s="73">
        <v>0</v>
      </c>
      <c r="AL1406" s="73">
        <v>0</v>
      </c>
      <c r="AM1406" s="72">
        <v>0</v>
      </c>
      <c r="AN1406" s="72">
        <v>0</v>
      </c>
      <c r="AO1406" s="72">
        <v>0</v>
      </c>
      <c r="AP1406" s="72">
        <v>0</v>
      </c>
      <c r="AQ1406" s="72">
        <v>0</v>
      </c>
      <c r="AR1406" s="72">
        <v>0</v>
      </c>
      <c r="AS1406" s="72">
        <v>0</v>
      </c>
      <c r="AT1406" s="73">
        <v>0</v>
      </c>
      <c r="AU1406" s="72" t="s">
        <v>204</v>
      </c>
      <c r="AV1406" s="72"/>
      <c r="AW1406" s="71" t="s">
        <v>204</v>
      </c>
      <c r="AX1406" s="72">
        <v>0</v>
      </c>
      <c r="AY1406" s="74">
        <v>0</v>
      </c>
      <c r="AZ1406" s="74">
        <v>0</v>
      </c>
      <c r="BA1406" s="71" t="s">
        <v>204</v>
      </c>
      <c r="BB1406" s="72" t="s">
        <v>3031</v>
      </c>
      <c r="BC1406" s="75"/>
      <c r="BD1406" s="75">
        <v>1</v>
      </c>
      <c r="BE1406" s="76" t="s">
        <v>3032</v>
      </c>
      <c r="BF1406" s="76" t="s">
        <v>3033</v>
      </c>
      <c r="BG1406" s="72">
        <v>0</v>
      </c>
      <c r="BH1406" s="72">
        <v>0</v>
      </c>
      <c r="BI1406" s="72">
        <v>0</v>
      </c>
      <c r="BJ1406" s="72">
        <v>0</v>
      </c>
      <c r="BK1406" s="72">
        <v>0</v>
      </c>
      <c r="BL1406" s="72">
        <v>0</v>
      </c>
      <c r="BM1406" s="90">
        <v>0</v>
      </c>
      <c r="BN1406" s="73">
        <v>0</v>
      </c>
      <c r="BO1406" s="73">
        <v>0</v>
      </c>
      <c r="BP1406" s="73">
        <v>0</v>
      </c>
      <c r="BQ1406" s="73">
        <v>0</v>
      </c>
      <c r="BR1406" s="73">
        <v>0</v>
      </c>
      <c r="BS1406" s="73">
        <v>0</v>
      </c>
      <c r="BT1406" s="19">
        <v>0</v>
      </c>
      <c r="BU1406" s="23">
        <v>0</v>
      </c>
      <c r="BV1406" s="23"/>
      <c r="BW1406" s="23"/>
      <c r="BX1406" s="23"/>
      <c r="BY1406" s="23"/>
      <c r="BZ1406" s="23"/>
    </row>
    <row r="1407" spans="3:78" ht="20.100000000000001" customHeight="1">
      <c r="C1407" s="72">
        <v>63200204</v>
      </c>
      <c r="D1407" s="88" t="s">
        <v>1398</v>
      </c>
      <c r="E1407" s="88" t="s">
        <v>1399</v>
      </c>
      <c r="F1407" s="72">
        <v>1</v>
      </c>
      <c r="G1407" s="74">
        <v>62012201</v>
      </c>
      <c r="H1407" s="74">
        <v>0</v>
      </c>
      <c r="I1407" s="75">
        <v>0</v>
      </c>
      <c r="J1407" s="72">
        <v>3</v>
      </c>
      <c r="K1407" s="72">
        <v>2</v>
      </c>
      <c r="L1407" s="72">
        <v>0</v>
      </c>
      <c r="M1407" s="74">
        <v>0</v>
      </c>
      <c r="N1407" s="74">
        <v>0</v>
      </c>
      <c r="O1407" s="74">
        <v>2</v>
      </c>
      <c r="P1407" s="74">
        <v>15</v>
      </c>
      <c r="Q1407" s="74">
        <v>1</v>
      </c>
      <c r="R1407" s="74">
        <v>0</v>
      </c>
      <c r="S1407" s="73">
        <v>0</v>
      </c>
      <c r="T1407" s="75">
        <v>0</v>
      </c>
      <c r="U1407" s="72">
        <v>1</v>
      </c>
      <c r="V1407" s="74">
        <v>2</v>
      </c>
      <c r="W1407" s="74">
        <v>0</v>
      </c>
      <c r="X1407" s="74">
        <v>2</v>
      </c>
      <c r="Y1407" s="19">
        <v>0</v>
      </c>
      <c r="Z1407" s="74">
        <v>750</v>
      </c>
      <c r="AA1407" s="74">
        <v>0</v>
      </c>
      <c r="AB1407" s="74">
        <v>0</v>
      </c>
      <c r="AC1407" s="74">
        <v>0</v>
      </c>
      <c r="AD1407" s="74">
        <v>0</v>
      </c>
      <c r="AE1407" s="74">
        <v>0</v>
      </c>
      <c r="AF1407" s="74">
        <v>12</v>
      </c>
      <c r="AG1407" s="74">
        <v>1</v>
      </c>
      <c r="AH1407" s="74">
        <v>3.5</v>
      </c>
      <c r="AI1407" s="73">
        <v>0</v>
      </c>
      <c r="AJ1407" s="73">
        <v>0</v>
      </c>
      <c r="AK1407" s="73">
        <v>0</v>
      </c>
      <c r="AL1407" s="73">
        <v>4</v>
      </c>
      <c r="AM1407" s="74">
        <v>0</v>
      </c>
      <c r="AN1407" s="74">
        <v>0</v>
      </c>
      <c r="AO1407" s="74">
        <v>0</v>
      </c>
      <c r="AP1407" s="74">
        <v>0.25</v>
      </c>
      <c r="AQ1407" s="74">
        <v>2000</v>
      </c>
      <c r="AR1407" s="74">
        <v>0</v>
      </c>
      <c r="AS1407" s="74">
        <v>0</v>
      </c>
      <c r="AT1407" s="73">
        <v>0</v>
      </c>
      <c r="AU1407" s="74">
        <v>90503131</v>
      </c>
      <c r="AV1407" s="74"/>
      <c r="AW1407" s="88" t="s">
        <v>205</v>
      </c>
      <c r="AX1407" s="74" t="s">
        <v>540</v>
      </c>
      <c r="AY1407" s="74">
        <v>10000009</v>
      </c>
      <c r="AZ1407" s="74">
        <v>21100050</v>
      </c>
      <c r="BA1407" s="88" t="s">
        <v>206</v>
      </c>
      <c r="BB1407" s="88">
        <v>0</v>
      </c>
      <c r="BC1407" s="75">
        <v>0</v>
      </c>
      <c r="BD1407" s="75">
        <v>1</v>
      </c>
      <c r="BE1407" s="208" t="s">
        <v>3034</v>
      </c>
      <c r="BF1407" s="208" t="s">
        <v>3035</v>
      </c>
      <c r="BG1407" s="74">
        <v>0</v>
      </c>
      <c r="BH1407" s="72">
        <v>0</v>
      </c>
      <c r="BI1407" s="74">
        <v>0</v>
      </c>
      <c r="BJ1407" s="74">
        <v>0</v>
      </c>
      <c r="BK1407" s="74">
        <v>0</v>
      </c>
      <c r="BL1407" s="74">
        <v>0</v>
      </c>
      <c r="BM1407" s="90">
        <v>0</v>
      </c>
      <c r="BN1407" s="73">
        <v>1</v>
      </c>
      <c r="BO1407" s="73">
        <v>0</v>
      </c>
      <c r="BP1407" s="73">
        <v>0</v>
      </c>
      <c r="BQ1407" s="73">
        <v>0</v>
      </c>
      <c r="BR1407" s="73">
        <v>0</v>
      </c>
      <c r="BS1407" s="73">
        <v>0</v>
      </c>
      <c r="BT1407" s="19">
        <v>0</v>
      </c>
      <c r="BU1407" s="23">
        <v>0</v>
      </c>
      <c r="BV1407" s="23"/>
      <c r="BW1407" s="23"/>
      <c r="BX1407" s="23"/>
      <c r="BY1407" s="23"/>
      <c r="BZ1407" s="23"/>
    </row>
    <row r="1408" spans="3:78" ht="20.100000000000001" customHeight="1">
      <c r="C1408" s="172">
        <v>63200205</v>
      </c>
      <c r="D1408" s="179" t="s">
        <v>2910</v>
      </c>
      <c r="E1408" s="179" t="s">
        <v>2946</v>
      </c>
      <c r="F1408" s="180">
        <v>1</v>
      </c>
      <c r="G1408" s="180">
        <v>63001004</v>
      </c>
      <c r="H1408" s="180">
        <v>0</v>
      </c>
      <c r="I1408" s="180">
        <v>0</v>
      </c>
      <c r="J1408" s="32">
        <v>1</v>
      </c>
      <c r="K1408" s="32">
        <v>0</v>
      </c>
      <c r="L1408" s="21">
        <v>0</v>
      </c>
      <c r="M1408" s="180">
        <v>0</v>
      </c>
      <c r="N1408" s="180">
        <v>0</v>
      </c>
      <c r="O1408" s="180">
        <v>2</v>
      </c>
      <c r="P1408" s="180">
        <v>5</v>
      </c>
      <c r="Q1408" s="180">
        <v>0.3</v>
      </c>
      <c r="R1408" s="180">
        <v>0</v>
      </c>
      <c r="S1408" s="19">
        <v>0</v>
      </c>
      <c r="T1408" s="180">
        <v>0</v>
      </c>
      <c r="U1408" s="180">
        <v>1</v>
      </c>
      <c r="V1408" s="180">
        <v>2</v>
      </c>
      <c r="W1408" s="180">
        <v>0</v>
      </c>
      <c r="X1408" s="180">
        <v>0</v>
      </c>
      <c r="Y1408" s="19">
        <v>0</v>
      </c>
      <c r="Z1408" s="180">
        <v>0</v>
      </c>
      <c r="AA1408" s="180">
        <v>0</v>
      </c>
      <c r="AB1408" s="180">
        <v>0</v>
      </c>
      <c r="AC1408" s="180">
        <v>0</v>
      </c>
      <c r="AD1408" s="21">
        <v>0</v>
      </c>
      <c r="AE1408" s="180">
        <v>0</v>
      </c>
      <c r="AF1408" s="180">
        <v>0</v>
      </c>
      <c r="AG1408" s="180">
        <v>0</v>
      </c>
      <c r="AH1408" s="180">
        <v>0</v>
      </c>
      <c r="AI1408" s="180">
        <v>0</v>
      </c>
      <c r="AJ1408" s="180">
        <v>0</v>
      </c>
      <c r="AK1408" s="19">
        <v>0</v>
      </c>
      <c r="AL1408" s="180">
        <v>0</v>
      </c>
      <c r="AM1408" s="180">
        <v>0</v>
      </c>
      <c r="AN1408" s="180">
        <v>0</v>
      </c>
      <c r="AO1408" s="180">
        <v>0</v>
      </c>
      <c r="AP1408" s="21">
        <v>0</v>
      </c>
      <c r="AQ1408" s="180">
        <v>1000</v>
      </c>
      <c r="AR1408" s="180">
        <v>0</v>
      </c>
      <c r="AS1408" s="180">
        <v>0</v>
      </c>
      <c r="AT1408" s="180">
        <v>90503121</v>
      </c>
      <c r="AU1408" s="180" t="s">
        <v>204</v>
      </c>
      <c r="AV1408" s="180"/>
      <c r="AW1408" s="179" t="s">
        <v>204</v>
      </c>
      <c r="AX1408" s="172" t="s">
        <v>1582</v>
      </c>
      <c r="AY1408" s="180">
        <v>0</v>
      </c>
      <c r="AZ1408" s="180">
        <v>0</v>
      </c>
      <c r="BA1408" s="179" t="s">
        <v>206</v>
      </c>
      <c r="BB1408" s="179" t="s">
        <v>204</v>
      </c>
      <c r="BC1408" s="180">
        <v>0</v>
      </c>
      <c r="BD1408" s="180">
        <v>1</v>
      </c>
      <c r="BE1408" s="181" t="s">
        <v>3036</v>
      </c>
      <c r="BF1408" s="181" t="s">
        <v>3037</v>
      </c>
      <c r="BG1408" s="180">
        <v>0</v>
      </c>
      <c r="BH1408" s="21">
        <v>0</v>
      </c>
      <c r="BI1408" s="180">
        <v>0</v>
      </c>
      <c r="BJ1408" s="180">
        <v>0</v>
      </c>
      <c r="BK1408" s="180">
        <v>0</v>
      </c>
      <c r="BL1408" s="180">
        <v>0</v>
      </c>
      <c r="BM1408" s="25">
        <v>0</v>
      </c>
      <c r="BN1408" s="19">
        <v>1</v>
      </c>
      <c r="BO1408" s="19">
        <v>0</v>
      </c>
      <c r="BP1408" s="19">
        <v>0</v>
      </c>
      <c r="BQ1408" s="19">
        <v>0</v>
      </c>
      <c r="BR1408" s="19">
        <v>0</v>
      </c>
      <c r="BS1408" s="19">
        <v>0</v>
      </c>
      <c r="BT1408" s="19">
        <v>0</v>
      </c>
      <c r="BU1408" s="23">
        <v>0</v>
      </c>
      <c r="BV1408" s="23"/>
      <c r="BW1408" s="23"/>
      <c r="BX1408" s="23"/>
      <c r="BY1408" s="23"/>
      <c r="BZ1408" s="23"/>
    </row>
    <row r="1409" spans="1:78" ht="20.100000000000001" customHeight="1">
      <c r="C1409" s="172">
        <v>63201001</v>
      </c>
      <c r="D1409" s="173" t="s">
        <v>3038</v>
      </c>
      <c r="E1409" s="173" t="s">
        <v>3039</v>
      </c>
      <c r="F1409" s="172">
        <v>1</v>
      </c>
      <c r="G1409" s="172">
        <v>63003001</v>
      </c>
      <c r="H1409" s="172">
        <v>0</v>
      </c>
      <c r="I1409" s="174">
        <v>0</v>
      </c>
      <c r="J1409" s="176">
        <v>1</v>
      </c>
      <c r="K1409" s="176">
        <v>0</v>
      </c>
      <c r="L1409" s="172">
        <v>0</v>
      </c>
      <c r="M1409" s="172">
        <v>0</v>
      </c>
      <c r="N1409" s="172">
        <v>0</v>
      </c>
      <c r="O1409" s="172">
        <v>2</v>
      </c>
      <c r="P1409" s="172">
        <v>12</v>
      </c>
      <c r="Q1409" s="172">
        <v>1</v>
      </c>
      <c r="R1409" s="172">
        <v>0</v>
      </c>
      <c r="S1409" s="175">
        <v>0</v>
      </c>
      <c r="T1409" s="172">
        <v>0</v>
      </c>
      <c r="U1409" s="172">
        <v>1</v>
      </c>
      <c r="V1409" s="172">
        <v>2</v>
      </c>
      <c r="W1409" s="172">
        <v>0</v>
      </c>
      <c r="X1409" s="176">
        <v>0</v>
      </c>
      <c r="Y1409" s="19">
        <v>0</v>
      </c>
      <c r="Z1409" s="176">
        <v>0</v>
      </c>
      <c r="AA1409" s="172">
        <v>0</v>
      </c>
      <c r="AB1409" s="172">
        <v>0</v>
      </c>
      <c r="AC1409" s="172">
        <v>0</v>
      </c>
      <c r="AD1409" s="172">
        <v>1</v>
      </c>
      <c r="AE1409" s="172">
        <v>0</v>
      </c>
      <c r="AF1409" s="172">
        <v>60</v>
      </c>
      <c r="AG1409" s="172">
        <v>1</v>
      </c>
      <c r="AH1409" s="172">
        <v>10</v>
      </c>
      <c r="AI1409" s="175">
        <v>0</v>
      </c>
      <c r="AJ1409" s="175">
        <v>0</v>
      </c>
      <c r="AK1409" s="175">
        <v>0</v>
      </c>
      <c r="AL1409" s="175">
        <v>0</v>
      </c>
      <c r="AM1409" s="172">
        <v>0</v>
      </c>
      <c r="AN1409" s="172">
        <v>0</v>
      </c>
      <c r="AO1409" s="172">
        <v>0</v>
      </c>
      <c r="AP1409" s="172">
        <v>0</v>
      </c>
      <c r="AQ1409" s="172">
        <v>50000</v>
      </c>
      <c r="AR1409" s="172">
        <v>0</v>
      </c>
      <c r="AS1409" s="172">
        <v>0</v>
      </c>
      <c r="AT1409" s="175">
        <v>90503003</v>
      </c>
      <c r="AU1409" s="172">
        <v>90503003</v>
      </c>
      <c r="AV1409" s="172"/>
      <c r="AW1409" s="173" t="s">
        <v>204</v>
      </c>
      <c r="AX1409" s="172">
        <v>0</v>
      </c>
      <c r="AY1409" s="176">
        <v>0</v>
      </c>
      <c r="AZ1409" s="176">
        <v>0</v>
      </c>
      <c r="BA1409" s="173" t="s">
        <v>2898</v>
      </c>
      <c r="BB1409" s="172">
        <v>0</v>
      </c>
      <c r="BC1409" s="174">
        <v>0</v>
      </c>
      <c r="BD1409" s="174">
        <v>0</v>
      </c>
      <c r="BE1409" s="207" t="s">
        <v>3040</v>
      </c>
      <c r="BF1409" s="207" t="s">
        <v>3041</v>
      </c>
      <c r="BG1409" s="172">
        <v>0</v>
      </c>
      <c r="BH1409" s="172">
        <v>0</v>
      </c>
      <c r="BI1409" s="172">
        <v>0</v>
      </c>
      <c r="BJ1409" s="172">
        <v>0</v>
      </c>
      <c r="BK1409" s="172">
        <v>0</v>
      </c>
      <c r="BL1409" s="172">
        <v>0</v>
      </c>
      <c r="BM1409" s="178">
        <v>0</v>
      </c>
      <c r="BN1409" s="175">
        <v>1</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63201002</v>
      </c>
      <c r="D1410" s="173" t="s">
        <v>2963</v>
      </c>
      <c r="E1410" s="173" t="s">
        <v>2964</v>
      </c>
      <c r="F1410" s="172">
        <v>1</v>
      </c>
      <c r="G1410" s="172">
        <v>63001003</v>
      </c>
      <c r="H1410" s="172">
        <v>0</v>
      </c>
      <c r="I1410" s="174">
        <v>0</v>
      </c>
      <c r="J1410" s="176">
        <v>1</v>
      </c>
      <c r="K1410" s="176">
        <v>0</v>
      </c>
      <c r="L1410" s="172">
        <v>0</v>
      </c>
      <c r="M1410" s="172">
        <v>0</v>
      </c>
      <c r="N1410" s="172">
        <v>0</v>
      </c>
      <c r="O1410" s="172">
        <v>2</v>
      </c>
      <c r="P1410" s="172">
        <v>0</v>
      </c>
      <c r="Q1410" s="172">
        <v>0</v>
      </c>
      <c r="R1410" s="172">
        <v>0</v>
      </c>
      <c r="S1410" s="175">
        <v>0</v>
      </c>
      <c r="T1410" s="172">
        <v>0</v>
      </c>
      <c r="U1410" s="172">
        <v>1</v>
      </c>
      <c r="V1410" s="172">
        <v>0</v>
      </c>
      <c r="W1410" s="172">
        <v>0</v>
      </c>
      <c r="X1410" s="176">
        <v>0</v>
      </c>
      <c r="Y1410" s="19">
        <v>0</v>
      </c>
      <c r="Z1410" s="176">
        <v>0</v>
      </c>
      <c r="AA1410" s="172">
        <v>0</v>
      </c>
      <c r="AB1410" s="172">
        <v>0</v>
      </c>
      <c r="AC1410" s="172">
        <v>0</v>
      </c>
      <c r="AD1410" s="172">
        <v>1</v>
      </c>
      <c r="AE1410" s="172">
        <v>0</v>
      </c>
      <c r="AF1410" s="172">
        <v>0</v>
      </c>
      <c r="AG1410" s="172">
        <v>0</v>
      </c>
      <c r="AH1410" s="172" t="s">
        <v>204</v>
      </c>
      <c r="AI1410" s="175">
        <v>0</v>
      </c>
      <c r="AJ1410" s="175">
        <v>0</v>
      </c>
      <c r="AK1410" s="175">
        <v>0</v>
      </c>
      <c r="AL1410" s="175">
        <v>0</v>
      </c>
      <c r="AM1410" s="172">
        <v>0</v>
      </c>
      <c r="AN1410" s="172">
        <v>0</v>
      </c>
      <c r="AO1410" s="172">
        <v>0</v>
      </c>
      <c r="AP1410" s="172">
        <v>0</v>
      </c>
      <c r="AQ1410" s="172">
        <v>0</v>
      </c>
      <c r="AR1410" s="172">
        <v>0</v>
      </c>
      <c r="AS1410" s="172">
        <v>0</v>
      </c>
      <c r="AT1410" s="175">
        <v>0</v>
      </c>
      <c r="AU1410" s="172" t="s">
        <v>204</v>
      </c>
      <c r="AV1410" s="172"/>
      <c r="AW1410" s="173" t="s">
        <v>204</v>
      </c>
      <c r="AX1410" s="172">
        <v>0</v>
      </c>
      <c r="AY1410" s="176">
        <v>0</v>
      </c>
      <c r="AZ1410" s="176">
        <v>0</v>
      </c>
      <c r="BA1410" s="173" t="s">
        <v>204</v>
      </c>
      <c r="BB1410" s="172">
        <v>0</v>
      </c>
      <c r="BC1410" s="174"/>
      <c r="BD1410" s="174"/>
      <c r="BE1410" s="207" t="s">
        <v>2965</v>
      </c>
      <c r="BF1410" s="207" t="s">
        <v>2966</v>
      </c>
      <c r="BG1410" s="172">
        <v>0</v>
      </c>
      <c r="BH1410" s="172">
        <v>0</v>
      </c>
      <c r="BI1410" s="172">
        <v>0</v>
      </c>
      <c r="BJ1410" s="172">
        <v>0</v>
      </c>
      <c r="BK1410" s="172">
        <v>0</v>
      </c>
      <c r="BL1410" s="172">
        <v>0</v>
      </c>
      <c r="BM1410" s="178">
        <v>0</v>
      </c>
      <c r="BN1410" s="175">
        <v>0</v>
      </c>
      <c r="BO1410" s="175">
        <v>0</v>
      </c>
      <c r="BP1410" s="175">
        <v>0</v>
      </c>
      <c r="BQ1410" s="175">
        <v>0</v>
      </c>
      <c r="BR1410" s="175">
        <v>0</v>
      </c>
      <c r="BS1410" s="175">
        <v>0</v>
      </c>
      <c r="BT1410" s="19">
        <v>0</v>
      </c>
      <c r="BU1410" s="23">
        <v>0</v>
      </c>
      <c r="BV1410" s="23"/>
      <c r="BW1410" s="23"/>
      <c r="BX1410" s="23"/>
      <c r="BY1410" s="23"/>
      <c r="BZ1410" s="23"/>
    </row>
    <row r="1411" spans="1:78" ht="20.100000000000001" customHeight="1">
      <c r="C1411" s="172">
        <v>63201003</v>
      </c>
      <c r="D1411" s="173" t="s">
        <v>3042</v>
      </c>
      <c r="E1411" s="173" t="s">
        <v>3043</v>
      </c>
      <c r="F1411" s="172">
        <v>1</v>
      </c>
      <c r="G1411" s="172">
        <v>1000005</v>
      </c>
      <c r="H1411" s="172">
        <v>0</v>
      </c>
      <c r="I1411" s="174">
        <v>0</v>
      </c>
      <c r="J1411" s="176">
        <v>1</v>
      </c>
      <c r="K1411" s="176">
        <v>0</v>
      </c>
      <c r="L1411" s="172">
        <v>0</v>
      </c>
      <c r="M1411" s="172">
        <v>0</v>
      </c>
      <c r="N1411" s="172">
        <v>0</v>
      </c>
      <c r="O1411" s="172">
        <v>8</v>
      </c>
      <c r="P1411" s="172">
        <v>8</v>
      </c>
      <c r="Q1411" s="172">
        <v>2</v>
      </c>
      <c r="R1411" s="172">
        <v>0</v>
      </c>
      <c r="S1411" s="175">
        <v>0</v>
      </c>
      <c r="T1411" s="172">
        <v>0</v>
      </c>
      <c r="U1411" s="172">
        <v>1</v>
      </c>
      <c r="V1411" s="172">
        <v>0</v>
      </c>
      <c r="W1411" s="172">
        <v>0</v>
      </c>
      <c r="X1411" s="176">
        <v>0</v>
      </c>
      <c r="Y1411" s="19">
        <v>0</v>
      </c>
      <c r="Z1411" s="176">
        <v>0</v>
      </c>
      <c r="AA1411" s="172">
        <v>0</v>
      </c>
      <c r="AB1411" s="172">
        <v>0</v>
      </c>
      <c r="AC1411" s="172">
        <v>0</v>
      </c>
      <c r="AD1411" s="172">
        <v>1</v>
      </c>
      <c r="AE1411" s="172">
        <v>0</v>
      </c>
      <c r="AF1411" s="172">
        <v>0</v>
      </c>
      <c r="AG1411" s="172">
        <v>0</v>
      </c>
      <c r="AH1411" s="172" t="s">
        <v>204</v>
      </c>
      <c r="AI1411" s="175">
        <v>0</v>
      </c>
      <c r="AJ1411" s="175">
        <v>0</v>
      </c>
      <c r="AK1411" s="175">
        <v>0</v>
      </c>
      <c r="AL1411" s="175">
        <v>0</v>
      </c>
      <c r="AM1411" s="172">
        <v>0</v>
      </c>
      <c r="AN1411" s="172">
        <v>0</v>
      </c>
      <c r="AO1411" s="172">
        <v>0</v>
      </c>
      <c r="AP1411" s="172">
        <v>0</v>
      </c>
      <c r="AQ1411" s="172">
        <v>0</v>
      </c>
      <c r="AR1411" s="172">
        <v>0</v>
      </c>
      <c r="AS1411" s="172">
        <v>0</v>
      </c>
      <c r="AT1411" s="175">
        <v>90000006</v>
      </c>
      <c r="AU1411" s="172" t="s">
        <v>204</v>
      </c>
      <c r="AV1411" s="172"/>
      <c r="AW1411" s="173" t="s">
        <v>204</v>
      </c>
      <c r="AX1411" s="172">
        <v>0</v>
      </c>
      <c r="AY1411" s="176">
        <v>0</v>
      </c>
      <c r="AZ1411" s="176">
        <v>0</v>
      </c>
      <c r="BA1411" s="173" t="s">
        <v>204</v>
      </c>
      <c r="BB1411" s="172" t="s">
        <v>3044</v>
      </c>
      <c r="BC1411" s="174"/>
      <c r="BD1411" s="174"/>
      <c r="BE1411" s="207" t="s">
        <v>3045</v>
      </c>
      <c r="BF1411" s="207" t="s">
        <v>3046</v>
      </c>
      <c r="BG1411" s="172">
        <v>0</v>
      </c>
      <c r="BH1411" s="172">
        <v>0</v>
      </c>
      <c r="BI1411" s="172">
        <v>0</v>
      </c>
      <c r="BJ1411" s="172">
        <v>0</v>
      </c>
      <c r="BK1411" s="172">
        <v>0</v>
      </c>
      <c r="BL1411" s="172">
        <v>0</v>
      </c>
      <c r="BM1411" s="178">
        <v>0</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63201004</v>
      </c>
      <c r="D1412" s="212" t="s">
        <v>2910</v>
      </c>
      <c r="E1412" s="212" t="s">
        <v>3047</v>
      </c>
      <c r="F1412" s="74">
        <v>1</v>
      </c>
      <c r="G1412" s="206">
        <v>63001004</v>
      </c>
      <c r="H1412" s="74">
        <v>0</v>
      </c>
      <c r="I1412" s="75">
        <v>0</v>
      </c>
      <c r="J1412" s="74">
        <v>1</v>
      </c>
      <c r="K1412" s="74">
        <v>0</v>
      </c>
      <c r="L1412" s="74">
        <v>0</v>
      </c>
      <c r="M1412" s="72">
        <v>0</v>
      </c>
      <c r="N1412" s="72">
        <v>0</v>
      </c>
      <c r="O1412" s="72">
        <v>2</v>
      </c>
      <c r="P1412" s="72">
        <v>10</v>
      </c>
      <c r="Q1412" s="72">
        <v>0.3</v>
      </c>
      <c r="R1412" s="72">
        <v>0</v>
      </c>
      <c r="S1412" s="73">
        <v>0</v>
      </c>
      <c r="T1412" s="72">
        <v>0</v>
      </c>
      <c r="U1412" s="72">
        <v>1</v>
      </c>
      <c r="V1412" s="72">
        <v>2</v>
      </c>
      <c r="W1412" s="72">
        <v>0</v>
      </c>
      <c r="X1412" s="72">
        <v>0</v>
      </c>
      <c r="Y1412" s="19">
        <v>0</v>
      </c>
      <c r="Z1412" s="72">
        <v>0</v>
      </c>
      <c r="AA1412" s="72">
        <v>0</v>
      </c>
      <c r="AB1412" s="72">
        <v>0</v>
      </c>
      <c r="AC1412" s="72">
        <v>0</v>
      </c>
      <c r="AD1412" s="72">
        <v>1</v>
      </c>
      <c r="AE1412" s="72">
        <v>0</v>
      </c>
      <c r="AF1412" s="72">
        <v>1</v>
      </c>
      <c r="AG1412" s="72">
        <v>0</v>
      </c>
      <c r="AH1412" s="72">
        <v>0</v>
      </c>
      <c r="AI1412" s="73">
        <v>1</v>
      </c>
      <c r="AJ1412" s="73">
        <v>0</v>
      </c>
      <c r="AK1412" s="19">
        <v>0</v>
      </c>
      <c r="AL1412" s="73">
        <v>3</v>
      </c>
      <c r="AM1412" s="72">
        <v>0</v>
      </c>
      <c r="AN1412" s="72">
        <v>0</v>
      </c>
      <c r="AO1412" s="72">
        <v>0</v>
      </c>
      <c r="AP1412" s="74">
        <v>0</v>
      </c>
      <c r="AQ1412" s="72">
        <v>3000</v>
      </c>
      <c r="AR1412" s="72">
        <v>0</v>
      </c>
      <c r="AS1412" s="72">
        <v>0</v>
      </c>
      <c r="AT1412" s="73">
        <v>0</v>
      </c>
      <c r="AU1412" s="72" t="s">
        <v>204</v>
      </c>
      <c r="AV1412" s="72"/>
      <c r="AW1412" s="71" t="s">
        <v>205</v>
      </c>
      <c r="AX1412" s="72" t="s">
        <v>1047</v>
      </c>
      <c r="AY1412" s="74">
        <v>0</v>
      </c>
      <c r="AZ1412" s="74">
        <v>21101051</v>
      </c>
      <c r="BA1412" s="71" t="s">
        <v>1180</v>
      </c>
      <c r="BB1412" s="354" t="s">
        <v>5737</v>
      </c>
      <c r="BC1412" s="75">
        <v>0</v>
      </c>
      <c r="BD1412" s="75">
        <v>0</v>
      </c>
      <c r="BE1412" s="213" t="s">
        <v>5736</v>
      </c>
      <c r="BF1412" s="213" t="s">
        <v>3048</v>
      </c>
      <c r="BG1412" s="72">
        <v>0</v>
      </c>
      <c r="BH1412" s="72">
        <v>0</v>
      </c>
      <c r="BI1412" s="72">
        <v>0</v>
      </c>
      <c r="BJ1412" s="72">
        <v>0</v>
      </c>
      <c r="BK1412" s="72">
        <v>0</v>
      </c>
      <c r="BL1412" s="72">
        <v>0</v>
      </c>
      <c r="BM1412" s="90">
        <v>0</v>
      </c>
      <c r="BN1412" s="19">
        <v>0</v>
      </c>
      <c r="BO1412" s="19">
        <v>0</v>
      </c>
      <c r="BP1412" s="19">
        <v>0</v>
      </c>
      <c r="BQ1412" s="19">
        <v>0</v>
      </c>
      <c r="BR1412" s="19">
        <v>0</v>
      </c>
      <c r="BS1412" s="19">
        <v>0</v>
      </c>
      <c r="BT1412" s="19">
        <v>0</v>
      </c>
      <c r="BU1412" s="23">
        <v>0</v>
      </c>
      <c r="BV1412" s="23"/>
      <c r="BW1412" s="23"/>
      <c r="BX1412" s="23"/>
      <c r="BY1412" s="23"/>
      <c r="BZ1412" s="23"/>
    </row>
    <row r="1413" spans="1:78" ht="20.100000000000001" customHeight="1">
      <c r="C1413" s="172">
        <v>63201005</v>
      </c>
      <c r="D1413" s="212" t="s">
        <v>2910</v>
      </c>
      <c r="E1413" s="212" t="s">
        <v>3047</v>
      </c>
      <c r="F1413" s="206">
        <v>1</v>
      </c>
      <c r="G1413" s="206">
        <v>63001004</v>
      </c>
      <c r="H1413" s="206">
        <v>0</v>
      </c>
      <c r="I1413" s="206">
        <v>0</v>
      </c>
      <c r="J1413" s="176">
        <v>1</v>
      </c>
      <c r="K1413" s="176">
        <v>0</v>
      </c>
      <c r="L1413" s="172">
        <v>0</v>
      </c>
      <c r="M1413" s="206">
        <v>0</v>
      </c>
      <c r="N1413" s="206">
        <v>0</v>
      </c>
      <c r="O1413" s="206">
        <v>2</v>
      </c>
      <c r="P1413" s="206">
        <v>1</v>
      </c>
      <c r="Q1413" s="206">
        <v>0.15</v>
      </c>
      <c r="R1413" s="206">
        <v>0</v>
      </c>
      <c r="S1413" s="175">
        <v>0</v>
      </c>
      <c r="T1413" s="206">
        <v>0</v>
      </c>
      <c r="U1413" s="206">
        <v>1</v>
      </c>
      <c r="V1413" s="206">
        <v>2</v>
      </c>
      <c r="W1413" s="206">
        <v>0</v>
      </c>
      <c r="X1413" s="206">
        <v>0</v>
      </c>
      <c r="Y1413" s="19">
        <v>0</v>
      </c>
      <c r="Z1413" s="206">
        <v>0</v>
      </c>
      <c r="AA1413" s="206">
        <v>0</v>
      </c>
      <c r="AB1413" s="206">
        <v>0</v>
      </c>
      <c r="AC1413" s="206">
        <v>0</v>
      </c>
      <c r="AD1413" s="172">
        <v>1</v>
      </c>
      <c r="AE1413" s="206">
        <v>0</v>
      </c>
      <c r="AF1413" s="206">
        <v>15</v>
      </c>
      <c r="AG1413" s="206">
        <v>1</v>
      </c>
      <c r="AH1413" s="206">
        <v>1</v>
      </c>
      <c r="AI1413" s="206">
        <v>2</v>
      </c>
      <c r="AJ1413" s="206">
        <v>0</v>
      </c>
      <c r="AK1413" s="175">
        <v>0</v>
      </c>
      <c r="AL1413" s="206">
        <v>2</v>
      </c>
      <c r="AM1413" s="206">
        <v>0</v>
      </c>
      <c r="AN1413" s="206">
        <v>0</v>
      </c>
      <c r="AO1413" s="206">
        <v>0</v>
      </c>
      <c r="AP1413" s="172">
        <v>0</v>
      </c>
      <c r="AQ1413" s="206">
        <v>10000</v>
      </c>
      <c r="AR1413" s="206">
        <v>0.5</v>
      </c>
      <c r="AS1413" s="206">
        <v>0</v>
      </c>
      <c r="AT1413" s="206">
        <v>0</v>
      </c>
      <c r="AU1413" s="206" t="s">
        <v>204</v>
      </c>
      <c r="AV1413" s="206"/>
      <c r="AW1413" s="212"/>
      <c r="AX1413" s="206">
        <v>0</v>
      </c>
      <c r="AY1413" s="206">
        <v>0</v>
      </c>
      <c r="AZ1413" s="206">
        <v>0</v>
      </c>
      <c r="BA1413" s="212" t="s">
        <v>206</v>
      </c>
      <c r="BB1413" s="212" t="s">
        <v>204</v>
      </c>
      <c r="BC1413" s="206">
        <v>0</v>
      </c>
      <c r="BD1413" s="206">
        <v>0</v>
      </c>
      <c r="BE1413" s="213" t="s">
        <v>3049</v>
      </c>
      <c r="BF1413" s="213" t="s">
        <v>3050</v>
      </c>
      <c r="BG1413" s="206">
        <v>0</v>
      </c>
      <c r="BH1413" s="172">
        <v>0</v>
      </c>
      <c r="BI1413" s="206">
        <v>0</v>
      </c>
      <c r="BJ1413" s="206">
        <v>0</v>
      </c>
      <c r="BK1413" s="206">
        <v>0</v>
      </c>
      <c r="BL1413" s="206">
        <v>0</v>
      </c>
      <c r="BM1413" s="355" t="s">
        <v>3051</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63202001</v>
      </c>
      <c r="D1414" s="173" t="s">
        <v>3052</v>
      </c>
      <c r="E1414" s="173" t="s">
        <v>3053</v>
      </c>
      <c r="F1414" s="172">
        <v>1</v>
      </c>
      <c r="G1414" s="172">
        <v>63003001</v>
      </c>
      <c r="H1414" s="172">
        <v>0</v>
      </c>
      <c r="I1414" s="174">
        <v>0</v>
      </c>
      <c r="J1414" s="176">
        <v>1</v>
      </c>
      <c r="K1414" s="176">
        <v>0</v>
      </c>
      <c r="L1414" s="172">
        <v>0</v>
      </c>
      <c r="M1414" s="172">
        <v>0</v>
      </c>
      <c r="N1414" s="172">
        <v>0</v>
      </c>
      <c r="O1414" s="172">
        <v>2</v>
      </c>
      <c r="P1414" s="172">
        <v>12</v>
      </c>
      <c r="Q1414" s="172">
        <v>1</v>
      </c>
      <c r="R1414" s="172">
        <v>0</v>
      </c>
      <c r="S1414" s="175">
        <v>0</v>
      </c>
      <c r="T1414" s="172">
        <v>0</v>
      </c>
      <c r="U1414" s="172">
        <v>1</v>
      </c>
      <c r="V1414" s="172">
        <v>2</v>
      </c>
      <c r="W1414" s="172">
        <v>0</v>
      </c>
      <c r="X1414" s="176">
        <v>0</v>
      </c>
      <c r="Y1414" s="19">
        <v>0</v>
      </c>
      <c r="Z1414" s="176">
        <v>0</v>
      </c>
      <c r="AA1414" s="172">
        <v>0</v>
      </c>
      <c r="AB1414" s="172">
        <v>0</v>
      </c>
      <c r="AC1414" s="172">
        <v>0</v>
      </c>
      <c r="AD1414" s="172">
        <v>1</v>
      </c>
      <c r="AE1414" s="172">
        <v>0</v>
      </c>
      <c r="AF1414" s="172">
        <v>60</v>
      </c>
      <c r="AG1414" s="172">
        <v>1</v>
      </c>
      <c r="AH1414" s="172">
        <v>10</v>
      </c>
      <c r="AI1414" s="175">
        <v>0</v>
      </c>
      <c r="AJ1414" s="175">
        <v>0</v>
      </c>
      <c r="AK1414" s="175">
        <v>0</v>
      </c>
      <c r="AL1414" s="175">
        <v>0</v>
      </c>
      <c r="AM1414" s="172">
        <v>0</v>
      </c>
      <c r="AN1414" s="172">
        <v>0</v>
      </c>
      <c r="AO1414" s="172">
        <v>0</v>
      </c>
      <c r="AP1414" s="172">
        <v>0</v>
      </c>
      <c r="AQ1414" s="172">
        <v>50000</v>
      </c>
      <c r="AR1414" s="172">
        <v>0</v>
      </c>
      <c r="AS1414" s="172">
        <v>0</v>
      </c>
      <c r="AT1414" s="175">
        <v>90503004</v>
      </c>
      <c r="AU1414" s="172">
        <v>90503004</v>
      </c>
      <c r="AV1414" s="172"/>
      <c r="AW1414" s="173" t="s">
        <v>204</v>
      </c>
      <c r="AX1414" s="172">
        <v>0</v>
      </c>
      <c r="AY1414" s="176">
        <v>0</v>
      </c>
      <c r="AZ1414" s="176">
        <v>0</v>
      </c>
      <c r="BA1414" s="173" t="s">
        <v>2898</v>
      </c>
      <c r="BB1414" s="172">
        <v>0</v>
      </c>
      <c r="BC1414" s="174">
        <v>0</v>
      </c>
      <c r="BD1414" s="174">
        <v>0</v>
      </c>
      <c r="BE1414" s="207" t="s">
        <v>3054</v>
      </c>
      <c r="BF1414" s="207" t="s">
        <v>3055</v>
      </c>
      <c r="BG1414" s="172">
        <v>0</v>
      </c>
      <c r="BH1414" s="172">
        <v>0</v>
      </c>
      <c r="BI1414" s="172">
        <v>0</v>
      </c>
      <c r="BJ1414" s="172">
        <v>0</v>
      </c>
      <c r="BK1414" s="172">
        <v>0</v>
      </c>
      <c r="BL1414" s="172">
        <v>0</v>
      </c>
      <c r="BM1414" s="178">
        <v>0</v>
      </c>
      <c r="BN1414" s="175">
        <v>1</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63202002</v>
      </c>
      <c r="D1415" s="173" t="s">
        <v>2906</v>
      </c>
      <c r="E1415" s="173" t="s">
        <v>2907</v>
      </c>
      <c r="F1415" s="172">
        <v>1</v>
      </c>
      <c r="G1415" s="172">
        <v>63002002</v>
      </c>
      <c r="H1415" s="172">
        <v>0</v>
      </c>
      <c r="I1415" s="174">
        <v>0</v>
      </c>
      <c r="J1415" s="176">
        <v>1</v>
      </c>
      <c r="K1415" s="176">
        <v>0</v>
      </c>
      <c r="L1415" s="172">
        <v>0</v>
      </c>
      <c r="M1415" s="172">
        <v>0</v>
      </c>
      <c r="N1415" s="172">
        <v>0</v>
      </c>
      <c r="O1415" s="172">
        <v>2</v>
      </c>
      <c r="P1415" s="172">
        <v>0</v>
      </c>
      <c r="Q1415" s="172">
        <v>0</v>
      </c>
      <c r="R1415" s="172">
        <v>0</v>
      </c>
      <c r="S1415" s="175">
        <v>0</v>
      </c>
      <c r="T1415" s="172">
        <v>0</v>
      </c>
      <c r="U1415" s="172">
        <v>1</v>
      </c>
      <c r="V1415" s="172">
        <v>0</v>
      </c>
      <c r="W1415" s="172">
        <v>0</v>
      </c>
      <c r="X1415" s="176">
        <v>0</v>
      </c>
      <c r="Y1415" s="19">
        <v>0</v>
      </c>
      <c r="Z1415" s="176">
        <v>0</v>
      </c>
      <c r="AA1415" s="172">
        <v>0</v>
      </c>
      <c r="AB1415" s="172">
        <v>0</v>
      </c>
      <c r="AC1415" s="172">
        <v>0</v>
      </c>
      <c r="AD1415" s="172">
        <v>1</v>
      </c>
      <c r="AE1415" s="172">
        <v>0</v>
      </c>
      <c r="AF1415" s="172">
        <v>0</v>
      </c>
      <c r="AG1415" s="172">
        <v>0</v>
      </c>
      <c r="AH1415" s="172" t="s">
        <v>204</v>
      </c>
      <c r="AI1415" s="175">
        <v>0</v>
      </c>
      <c r="AJ1415" s="175">
        <v>0</v>
      </c>
      <c r="AK1415" s="175">
        <v>0</v>
      </c>
      <c r="AL1415" s="175">
        <v>0</v>
      </c>
      <c r="AM1415" s="172">
        <v>0</v>
      </c>
      <c r="AN1415" s="172">
        <v>0</v>
      </c>
      <c r="AO1415" s="172">
        <v>0</v>
      </c>
      <c r="AP1415" s="172">
        <v>0</v>
      </c>
      <c r="AQ1415" s="172">
        <v>0</v>
      </c>
      <c r="AR1415" s="172">
        <v>0</v>
      </c>
      <c r="AS1415" s="172">
        <v>0</v>
      </c>
      <c r="AT1415" s="175">
        <v>0</v>
      </c>
      <c r="AU1415" s="172" t="s">
        <v>204</v>
      </c>
      <c r="AV1415" s="172"/>
      <c r="AW1415" s="173" t="s">
        <v>204</v>
      </c>
      <c r="AX1415" s="172">
        <v>0</v>
      </c>
      <c r="AY1415" s="176">
        <v>0</v>
      </c>
      <c r="AZ1415" s="176">
        <v>0</v>
      </c>
      <c r="BA1415" s="173" t="s">
        <v>204</v>
      </c>
      <c r="BB1415" s="172">
        <v>0</v>
      </c>
      <c r="BC1415" s="174"/>
      <c r="BD1415" s="174"/>
      <c r="BE1415" s="207" t="s">
        <v>2908</v>
      </c>
      <c r="BF1415" s="207" t="s">
        <v>2909</v>
      </c>
      <c r="BG1415" s="172">
        <v>0</v>
      </c>
      <c r="BH1415" s="172">
        <v>0</v>
      </c>
      <c r="BI1415" s="172">
        <v>0</v>
      </c>
      <c r="BJ1415" s="172">
        <v>0</v>
      </c>
      <c r="BK1415" s="172">
        <v>0</v>
      </c>
      <c r="BL1415" s="172">
        <v>0</v>
      </c>
      <c r="BM1415" s="178">
        <v>0</v>
      </c>
      <c r="BN1415" s="175">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63202003</v>
      </c>
      <c r="D1416" s="173" t="s">
        <v>3042</v>
      </c>
      <c r="E1416" s="173" t="s">
        <v>3043</v>
      </c>
      <c r="F1416" s="172">
        <v>1</v>
      </c>
      <c r="G1416" s="172">
        <v>1000005</v>
      </c>
      <c r="H1416" s="172">
        <v>0</v>
      </c>
      <c r="I1416" s="174">
        <v>0</v>
      </c>
      <c r="J1416" s="176">
        <v>1</v>
      </c>
      <c r="K1416" s="176">
        <v>0</v>
      </c>
      <c r="L1416" s="172">
        <v>0</v>
      </c>
      <c r="M1416" s="172">
        <v>0</v>
      </c>
      <c r="N1416" s="172">
        <v>0</v>
      </c>
      <c r="O1416" s="172">
        <v>8</v>
      </c>
      <c r="P1416" s="172">
        <v>8</v>
      </c>
      <c r="Q1416" s="172">
        <v>2</v>
      </c>
      <c r="R1416" s="172">
        <v>0</v>
      </c>
      <c r="S1416" s="175">
        <v>0</v>
      </c>
      <c r="T1416" s="172">
        <v>0</v>
      </c>
      <c r="U1416" s="172">
        <v>1</v>
      </c>
      <c r="V1416" s="172">
        <v>0</v>
      </c>
      <c r="W1416" s="172">
        <v>0</v>
      </c>
      <c r="X1416" s="176">
        <v>0</v>
      </c>
      <c r="Y1416" s="19">
        <v>0</v>
      </c>
      <c r="Z1416" s="176">
        <v>0</v>
      </c>
      <c r="AA1416" s="172">
        <v>0</v>
      </c>
      <c r="AB1416" s="172">
        <v>0</v>
      </c>
      <c r="AC1416" s="172">
        <v>0</v>
      </c>
      <c r="AD1416" s="172">
        <v>1</v>
      </c>
      <c r="AE1416" s="172">
        <v>0</v>
      </c>
      <c r="AF1416" s="172">
        <v>0</v>
      </c>
      <c r="AG1416" s="172">
        <v>0</v>
      </c>
      <c r="AH1416" s="172" t="s">
        <v>204</v>
      </c>
      <c r="AI1416" s="175">
        <v>0</v>
      </c>
      <c r="AJ1416" s="175">
        <v>0</v>
      </c>
      <c r="AK1416" s="175">
        <v>0</v>
      </c>
      <c r="AL1416" s="175">
        <v>0</v>
      </c>
      <c r="AM1416" s="172">
        <v>0</v>
      </c>
      <c r="AN1416" s="172">
        <v>0</v>
      </c>
      <c r="AO1416" s="172">
        <v>0</v>
      </c>
      <c r="AP1416" s="172">
        <v>0</v>
      </c>
      <c r="AQ1416" s="172">
        <v>0</v>
      </c>
      <c r="AR1416" s="172">
        <v>0</v>
      </c>
      <c r="AS1416" s="172">
        <v>0</v>
      </c>
      <c r="AT1416" s="175">
        <v>90000006</v>
      </c>
      <c r="AU1416" s="172" t="s">
        <v>204</v>
      </c>
      <c r="AV1416" s="172"/>
      <c r="AW1416" s="173" t="s">
        <v>204</v>
      </c>
      <c r="AX1416" s="172">
        <v>0</v>
      </c>
      <c r="AY1416" s="176">
        <v>0</v>
      </c>
      <c r="AZ1416" s="176">
        <v>0</v>
      </c>
      <c r="BA1416" s="173" t="s">
        <v>204</v>
      </c>
      <c r="BB1416" s="172" t="s">
        <v>3056</v>
      </c>
      <c r="BC1416" s="174"/>
      <c r="BD1416" s="174"/>
      <c r="BE1416" s="207" t="s">
        <v>3057</v>
      </c>
      <c r="BF1416" s="207" t="s">
        <v>3058</v>
      </c>
      <c r="BG1416" s="172">
        <v>0</v>
      </c>
      <c r="BH1416" s="172">
        <v>0</v>
      </c>
      <c r="BI1416" s="172">
        <v>0</v>
      </c>
      <c r="BJ1416" s="172">
        <v>0</v>
      </c>
      <c r="BK1416" s="172">
        <v>0</v>
      </c>
      <c r="BL1416" s="172">
        <v>0</v>
      </c>
      <c r="BM1416" s="178">
        <v>0</v>
      </c>
      <c r="BN1416" s="175">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63202004</v>
      </c>
      <c r="D1417" s="212" t="s">
        <v>2910</v>
      </c>
      <c r="E1417" s="212" t="s">
        <v>3059</v>
      </c>
      <c r="F1417" s="206">
        <v>1</v>
      </c>
      <c r="G1417" s="206">
        <v>63001004</v>
      </c>
      <c r="H1417" s="206">
        <v>0</v>
      </c>
      <c r="I1417" s="206">
        <v>0</v>
      </c>
      <c r="J1417" s="206">
        <v>1</v>
      </c>
      <c r="K1417" s="206">
        <v>0</v>
      </c>
      <c r="L1417" s="206">
        <v>0</v>
      </c>
      <c r="M1417" s="206">
        <v>0</v>
      </c>
      <c r="N1417" s="206">
        <v>0</v>
      </c>
      <c r="O1417" s="206">
        <v>2</v>
      </c>
      <c r="P1417" s="206">
        <v>1</v>
      </c>
      <c r="Q1417" s="206">
        <v>0.2</v>
      </c>
      <c r="R1417" s="206">
        <v>0</v>
      </c>
      <c r="S1417" s="206">
        <v>0</v>
      </c>
      <c r="T1417" s="206">
        <v>0</v>
      </c>
      <c r="U1417" s="206">
        <v>1</v>
      </c>
      <c r="V1417" s="206">
        <v>2</v>
      </c>
      <c r="W1417" s="206">
        <v>0</v>
      </c>
      <c r="X1417" s="206">
        <v>0</v>
      </c>
      <c r="Y1417" s="19">
        <v>0</v>
      </c>
      <c r="Z1417" s="206">
        <v>0</v>
      </c>
      <c r="AA1417" s="206">
        <v>0</v>
      </c>
      <c r="AB1417" s="206">
        <v>0</v>
      </c>
      <c r="AC1417" s="206">
        <v>0</v>
      </c>
      <c r="AD1417" s="172">
        <v>1</v>
      </c>
      <c r="AE1417" s="206">
        <v>0</v>
      </c>
      <c r="AF1417" s="206">
        <v>6</v>
      </c>
      <c r="AG1417" s="206">
        <v>0</v>
      </c>
      <c r="AH1417" s="206">
        <v>0</v>
      </c>
      <c r="AI1417" s="206">
        <v>7</v>
      </c>
      <c r="AJ1417" s="206">
        <v>0</v>
      </c>
      <c r="AK1417" s="206">
        <v>0</v>
      </c>
      <c r="AL1417" s="206">
        <v>3</v>
      </c>
      <c r="AM1417" s="206">
        <v>0</v>
      </c>
      <c r="AN1417" s="206">
        <v>0</v>
      </c>
      <c r="AO1417" s="206">
        <v>0</v>
      </c>
      <c r="AP1417" s="206">
        <v>0</v>
      </c>
      <c r="AQ1417" s="206">
        <v>3000</v>
      </c>
      <c r="AR1417" s="206">
        <v>0.5</v>
      </c>
      <c r="AS1417" s="206">
        <v>0</v>
      </c>
      <c r="AT1417" s="206">
        <v>0</v>
      </c>
      <c r="AU1417" s="206">
        <v>90000009</v>
      </c>
      <c r="AV1417" s="206"/>
      <c r="AW1417" s="212" t="s">
        <v>204</v>
      </c>
      <c r="AX1417" s="206">
        <v>0</v>
      </c>
      <c r="AY1417" s="206">
        <v>0</v>
      </c>
      <c r="AZ1417" s="206">
        <v>0</v>
      </c>
      <c r="BA1417" s="212" t="s">
        <v>206</v>
      </c>
      <c r="BB1417" s="212">
        <v>0</v>
      </c>
      <c r="BC1417" s="206">
        <v>0</v>
      </c>
      <c r="BD1417" s="206">
        <v>0</v>
      </c>
      <c r="BE1417" s="203" t="s">
        <v>3060</v>
      </c>
      <c r="BF1417" s="203" t="s">
        <v>3061</v>
      </c>
      <c r="BG1417" s="206">
        <v>0</v>
      </c>
      <c r="BH1417" s="206">
        <v>0</v>
      </c>
      <c r="BI1417" s="206">
        <v>0</v>
      </c>
      <c r="BJ1417" s="206">
        <v>0</v>
      </c>
      <c r="BK1417" s="206">
        <v>0</v>
      </c>
      <c r="BL1417" s="206">
        <v>0</v>
      </c>
      <c r="BM1417" s="214">
        <v>0</v>
      </c>
      <c r="BN1417" s="206">
        <v>0</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63202005</v>
      </c>
      <c r="D1418" s="212" t="s">
        <v>2910</v>
      </c>
      <c r="E1418" s="212" t="s">
        <v>3059</v>
      </c>
      <c r="F1418" s="206">
        <v>1</v>
      </c>
      <c r="G1418" s="206">
        <v>63001004</v>
      </c>
      <c r="H1418" s="206">
        <v>0</v>
      </c>
      <c r="I1418" s="206">
        <v>0</v>
      </c>
      <c r="J1418" s="206">
        <v>1</v>
      </c>
      <c r="K1418" s="206">
        <v>0</v>
      </c>
      <c r="L1418" s="206">
        <v>0</v>
      </c>
      <c r="M1418" s="206">
        <v>0</v>
      </c>
      <c r="N1418" s="206">
        <v>0</v>
      </c>
      <c r="O1418" s="206">
        <v>2</v>
      </c>
      <c r="P1418" s="206">
        <v>1</v>
      </c>
      <c r="Q1418" s="206">
        <v>0.3</v>
      </c>
      <c r="R1418" s="206">
        <v>0</v>
      </c>
      <c r="S1418" s="206">
        <v>0</v>
      </c>
      <c r="T1418" s="206">
        <v>0</v>
      </c>
      <c r="U1418" s="206">
        <v>1</v>
      </c>
      <c r="V1418" s="206">
        <v>2</v>
      </c>
      <c r="W1418" s="206">
        <v>0</v>
      </c>
      <c r="X1418" s="206">
        <v>0</v>
      </c>
      <c r="Y1418" s="19">
        <v>0</v>
      </c>
      <c r="Z1418" s="206">
        <v>0</v>
      </c>
      <c r="AA1418" s="206">
        <v>0</v>
      </c>
      <c r="AB1418" s="206">
        <v>0</v>
      </c>
      <c r="AC1418" s="206">
        <v>0</v>
      </c>
      <c r="AD1418" s="172">
        <v>1</v>
      </c>
      <c r="AE1418" s="206">
        <v>0</v>
      </c>
      <c r="AF1418" s="206">
        <v>3</v>
      </c>
      <c r="AG1418" s="206">
        <v>0</v>
      </c>
      <c r="AH1418" s="206">
        <v>0</v>
      </c>
      <c r="AI1418" s="206">
        <v>7</v>
      </c>
      <c r="AJ1418" s="206">
        <v>0</v>
      </c>
      <c r="AK1418" s="206">
        <v>0</v>
      </c>
      <c r="AL1418" s="206">
        <v>3</v>
      </c>
      <c r="AM1418" s="206">
        <v>0</v>
      </c>
      <c r="AN1418" s="206">
        <v>0</v>
      </c>
      <c r="AO1418" s="206">
        <v>0</v>
      </c>
      <c r="AP1418" s="206">
        <v>0</v>
      </c>
      <c r="AQ1418" s="206">
        <v>3000</v>
      </c>
      <c r="AR1418" s="206">
        <v>0.5</v>
      </c>
      <c r="AS1418" s="206">
        <v>0</v>
      </c>
      <c r="AT1418" s="356" t="s">
        <v>3062</v>
      </c>
      <c r="AU1418" s="206">
        <v>90000015</v>
      </c>
      <c r="AV1418" s="206"/>
      <c r="AW1418" s="212" t="s">
        <v>204</v>
      </c>
      <c r="AX1418" s="206">
        <v>0</v>
      </c>
      <c r="AY1418" s="206">
        <v>0</v>
      </c>
      <c r="AZ1418" s="206">
        <v>0</v>
      </c>
      <c r="BA1418" s="212" t="s">
        <v>206</v>
      </c>
      <c r="BB1418" s="212">
        <v>0</v>
      </c>
      <c r="BC1418" s="206">
        <v>0</v>
      </c>
      <c r="BD1418" s="206">
        <v>1</v>
      </c>
      <c r="BE1418" s="213" t="s">
        <v>3063</v>
      </c>
      <c r="BF1418" s="213" t="s">
        <v>3064</v>
      </c>
      <c r="BG1418" s="206">
        <v>0</v>
      </c>
      <c r="BH1418" s="206">
        <v>0</v>
      </c>
      <c r="BI1418" s="206">
        <v>0</v>
      </c>
      <c r="BJ1418" s="206">
        <v>0</v>
      </c>
      <c r="BK1418" s="206">
        <v>0</v>
      </c>
      <c r="BL1418" s="206">
        <v>0</v>
      </c>
      <c r="BM1418" s="214">
        <v>0</v>
      </c>
      <c r="BN1418" s="206">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63203001</v>
      </c>
      <c r="D1419" s="173" t="s">
        <v>3065</v>
      </c>
      <c r="E1419" s="173" t="s">
        <v>3066</v>
      </c>
      <c r="F1419" s="172">
        <v>1</v>
      </c>
      <c r="G1419" s="172">
        <v>63003001</v>
      </c>
      <c r="H1419" s="172">
        <v>0</v>
      </c>
      <c r="I1419" s="174">
        <v>0</v>
      </c>
      <c r="J1419" s="176">
        <v>1</v>
      </c>
      <c r="K1419" s="176">
        <v>0</v>
      </c>
      <c r="L1419" s="172">
        <v>0</v>
      </c>
      <c r="M1419" s="172">
        <v>0</v>
      </c>
      <c r="N1419" s="172">
        <v>0</v>
      </c>
      <c r="O1419" s="172">
        <v>2</v>
      </c>
      <c r="P1419" s="172">
        <v>12</v>
      </c>
      <c r="Q1419" s="172">
        <v>1</v>
      </c>
      <c r="R1419" s="172">
        <v>0</v>
      </c>
      <c r="S1419" s="175">
        <v>0</v>
      </c>
      <c r="T1419" s="172">
        <v>0</v>
      </c>
      <c r="U1419" s="172">
        <v>1</v>
      </c>
      <c r="V1419" s="172">
        <v>2</v>
      </c>
      <c r="W1419" s="172">
        <v>0</v>
      </c>
      <c r="X1419" s="176">
        <v>0</v>
      </c>
      <c r="Y1419" s="19">
        <v>0</v>
      </c>
      <c r="Z1419" s="176">
        <v>0</v>
      </c>
      <c r="AA1419" s="172">
        <v>0</v>
      </c>
      <c r="AB1419" s="172">
        <v>0</v>
      </c>
      <c r="AC1419" s="172">
        <v>0</v>
      </c>
      <c r="AD1419" s="172">
        <v>1</v>
      </c>
      <c r="AE1419" s="172">
        <v>0</v>
      </c>
      <c r="AF1419" s="172">
        <v>60</v>
      </c>
      <c r="AG1419" s="172">
        <v>1</v>
      </c>
      <c r="AH1419" s="172">
        <v>10</v>
      </c>
      <c r="AI1419" s="175">
        <v>0</v>
      </c>
      <c r="AJ1419" s="175">
        <v>0</v>
      </c>
      <c r="AK1419" s="175">
        <v>0</v>
      </c>
      <c r="AL1419" s="175">
        <v>0</v>
      </c>
      <c r="AM1419" s="172">
        <v>0</v>
      </c>
      <c r="AN1419" s="172">
        <v>0</v>
      </c>
      <c r="AO1419" s="172">
        <v>0</v>
      </c>
      <c r="AP1419" s="172">
        <v>0</v>
      </c>
      <c r="AQ1419" s="172">
        <v>50000</v>
      </c>
      <c r="AR1419" s="172">
        <v>0</v>
      </c>
      <c r="AS1419" s="172">
        <v>0</v>
      </c>
      <c r="AT1419" s="175">
        <v>90503005</v>
      </c>
      <c r="AU1419" s="172">
        <v>90503005</v>
      </c>
      <c r="AV1419" s="172"/>
      <c r="AW1419" s="173" t="s">
        <v>204</v>
      </c>
      <c r="AX1419" s="172">
        <v>0</v>
      </c>
      <c r="AY1419" s="176">
        <v>0</v>
      </c>
      <c r="AZ1419" s="176">
        <v>0</v>
      </c>
      <c r="BA1419" s="173" t="s">
        <v>2898</v>
      </c>
      <c r="BB1419" s="172">
        <v>0</v>
      </c>
      <c r="BC1419" s="174">
        <v>0</v>
      </c>
      <c r="BD1419" s="174">
        <v>0</v>
      </c>
      <c r="BE1419" s="207" t="s">
        <v>3067</v>
      </c>
      <c r="BF1419" s="207" t="s">
        <v>3068</v>
      </c>
      <c r="BG1419" s="172">
        <v>0</v>
      </c>
      <c r="BH1419" s="172">
        <v>0</v>
      </c>
      <c r="BI1419" s="172">
        <v>0</v>
      </c>
      <c r="BJ1419" s="172">
        <v>0</v>
      </c>
      <c r="BK1419" s="172">
        <v>0</v>
      </c>
      <c r="BL1419" s="172">
        <v>0</v>
      </c>
      <c r="BM1419" s="178">
        <v>0</v>
      </c>
      <c r="BN1419" s="175">
        <v>1</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63203002</v>
      </c>
      <c r="D1420" s="173" t="s">
        <v>2938</v>
      </c>
      <c r="E1420" s="173" t="s">
        <v>2939</v>
      </c>
      <c r="F1420" s="172">
        <v>1</v>
      </c>
      <c r="G1420" s="172">
        <v>63003002</v>
      </c>
      <c r="H1420" s="172">
        <v>0</v>
      </c>
      <c r="I1420" s="174">
        <v>0</v>
      </c>
      <c r="J1420" s="176">
        <v>1</v>
      </c>
      <c r="K1420" s="176">
        <v>0</v>
      </c>
      <c r="L1420" s="172">
        <v>0</v>
      </c>
      <c r="M1420" s="172">
        <v>0</v>
      </c>
      <c r="N1420" s="172">
        <v>0</v>
      </c>
      <c r="O1420" s="172">
        <v>2</v>
      </c>
      <c r="P1420" s="172">
        <v>0</v>
      </c>
      <c r="Q1420" s="172">
        <v>0</v>
      </c>
      <c r="R1420" s="172">
        <v>0</v>
      </c>
      <c r="S1420" s="175">
        <v>0</v>
      </c>
      <c r="T1420" s="172">
        <v>0</v>
      </c>
      <c r="U1420" s="172">
        <v>1</v>
      </c>
      <c r="V1420" s="172">
        <v>0</v>
      </c>
      <c r="W1420" s="172">
        <v>0</v>
      </c>
      <c r="X1420" s="176">
        <v>0</v>
      </c>
      <c r="Y1420" s="19">
        <v>0</v>
      </c>
      <c r="Z1420" s="176">
        <v>0</v>
      </c>
      <c r="AA1420" s="172">
        <v>0</v>
      </c>
      <c r="AB1420" s="172">
        <v>0</v>
      </c>
      <c r="AC1420" s="172">
        <v>0</v>
      </c>
      <c r="AD1420" s="172">
        <v>1</v>
      </c>
      <c r="AE1420" s="172">
        <v>0</v>
      </c>
      <c r="AF1420" s="172">
        <v>0</v>
      </c>
      <c r="AG1420" s="172">
        <v>0</v>
      </c>
      <c r="AH1420" s="172" t="s">
        <v>204</v>
      </c>
      <c r="AI1420" s="175">
        <v>0</v>
      </c>
      <c r="AJ1420" s="175">
        <v>0</v>
      </c>
      <c r="AK1420" s="175">
        <v>0</v>
      </c>
      <c r="AL1420" s="175">
        <v>0</v>
      </c>
      <c r="AM1420" s="172">
        <v>0</v>
      </c>
      <c r="AN1420" s="172">
        <v>0</v>
      </c>
      <c r="AO1420" s="172">
        <v>0</v>
      </c>
      <c r="AP1420" s="172">
        <v>0</v>
      </c>
      <c r="AQ1420" s="172">
        <v>0</v>
      </c>
      <c r="AR1420" s="172">
        <v>0</v>
      </c>
      <c r="AS1420" s="172">
        <v>0</v>
      </c>
      <c r="AT1420" s="175">
        <v>0</v>
      </c>
      <c r="AU1420" s="172" t="s">
        <v>204</v>
      </c>
      <c r="AV1420" s="172"/>
      <c r="AW1420" s="173" t="s">
        <v>204</v>
      </c>
      <c r="AX1420" s="172">
        <v>0</v>
      </c>
      <c r="AY1420" s="176">
        <v>0</v>
      </c>
      <c r="AZ1420" s="176">
        <v>0</v>
      </c>
      <c r="BA1420" s="173" t="s">
        <v>204</v>
      </c>
      <c r="BB1420" s="172">
        <v>0</v>
      </c>
      <c r="BC1420" s="174"/>
      <c r="BD1420" s="174"/>
      <c r="BE1420" s="207" t="s">
        <v>2940</v>
      </c>
      <c r="BF1420" s="207" t="s">
        <v>2941</v>
      </c>
      <c r="BG1420" s="172">
        <v>0</v>
      </c>
      <c r="BH1420" s="172">
        <v>0</v>
      </c>
      <c r="BI1420" s="172">
        <v>0</v>
      </c>
      <c r="BJ1420" s="172">
        <v>0</v>
      </c>
      <c r="BK1420" s="172">
        <v>0</v>
      </c>
      <c r="BL1420" s="172">
        <v>0</v>
      </c>
      <c r="BM1420" s="178">
        <v>0</v>
      </c>
      <c r="BN1420" s="175">
        <v>0</v>
      </c>
      <c r="BO1420" s="175">
        <v>0</v>
      </c>
      <c r="BP1420" s="175">
        <v>0</v>
      </c>
      <c r="BQ1420" s="175">
        <v>0</v>
      </c>
      <c r="BR1420" s="175">
        <v>0</v>
      </c>
      <c r="BS1420" s="175">
        <v>0</v>
      </c>
      <c r="BT1420" s="19">
        <v>0</v>
      </c>
      <c r="BU1420" s="23">
        <v>0</v>
      </c>
      <c r="BV1420" s="23"/>
      <c r="BW1420" s="23"/>
      <c r="BX1420" s="23"/>
      <c r="BY1420" s="23"/>
      <c r="BZ1420" s="23"/>
    </row>
    <row r="1421" spans="1:78" ht="20.100000000000001" customHeight="1">
      <c r="C1421" s="172">
        <v>63203003</v>
      </c>
      <c r="D1421" s="173" t="s">
        <v>3042</v>
      </c>
      <c r="E1421" s="173" t="s">
        <v>3043</v>
      </c>
      <c r="F1421" s="172">
        <v>1</v>
      </c>
      <c r="G1421" s="172">
        <v>1000005</v>
      </c>
      <c r="H1421" s="172">
        <v>0</v>
      </c>
      <c r="I1421" s="174">
        <v>0</v>
      </c>
      <c r="J1421" s="176">
        <v>1</v>
      </c>
      <c r="K1421" s="176">
        <v>0</v>
      </c>
      <c r="L1421" s="172">
        <v>0</v>
      </c>
      <c r="M1421" s="172">
        <v>0</v>
      </c>
      <c r="N1421" s="172">
        <v>0</v>
      </c>
      <c r="O1421" s="172">
        <v>8</v>
      </c>
      <c r="P1421" s="172">
        <v>8</v>
      </c>
      <c r="Q1421" s="172">
        <v>2</v>
      </c>
      <c r="R1421" s="172">
        <v>0</v>
      </c>
      <c r="S1421" s="175">
        <v>0</v>
      </c>
      <c r="T1421" s="172">
        <v>0</v>
      </c>
      <c r="U1421" s="172">
        <v>1</v>
      </c>
      <c r="V1421" s="172">
        <v>0</v>
      </c>
      <c r="W1421" s="172">
        <v>0</v>
      </c>
      <c r="X1421" s="176">
        <v>0</v>
      </c>
      <c r="Y1421" s="19">
        <v>0</v>
      </c>
      <c r="Z1421" s="176">
        <v>0</v>
      </c>
      <c r="AA1421" s="172">
        <v>0</v>
      </c>
      <c r="AB1421" s="172">
        <v>0</v>
      </c>
      <c r="AC1421" s="172">
        <v>0</v>
      </c>
      <c r="AD1421" s="172">
        <v>1</v>
      </c>
      <c r="AE1421" s="172">
        <v>0</v>
      </c>
      <c r="AF1421" s="172">
        <v>0</v>
      </c>
      <c r="AG1421" s="172">
        <v>0</v>
      </c>
      <c r="AH1421" s="172" t="s">
        <v>204</v>
      </c>
      <c r="AI1421" s="175">
        <v>0</v>
      </c>
      <c r="AJ1421" s="175">
        <v>0</v>
      </c>
      <c r="AK1421" s="175">
        <v>0</v>
      </c>
      <c r="AL1421" s="175">
        <v>0</v>
      </c>
      <c r="AM1421" s="172">
        <v>0</v>
      </c>
      <c r="AN1421" s="172">
        <v>0</v>
      </c>
      <c r="AO1421" s="172">
        <v>0</v>
      </c>
      <c r="AP1421" s="172">
        <v>0</v>
      </c>
      <c r="AQ1421" s="172">
        <v>0</v>
      </c>
      <c r="AR1421" s="172">
        <v>0</v>
      </c>
      <c r="AS1421" s="172">
        <v>0</v>
      </c>
      <c r="AT1421" s="175">
        <v>90000006</v>
      </c>
      <c r="AU1421" s="172" t="s">
        <v>204</v>
      </c>
      <c r="AV1421" s="172"/>
      <c r="AW1421" s="173" t="s">
        <v>204</v>
      </c>
      <c r="AX1421" s="172">
        <v>0</v>
      </c>
      <c r="AY1421" s="176">
        <v>0</v>
      </c>
      <c r="AZ1421" s="176">
        <v>0</v>
      </c>
      <c r="BA1421" s="173" t="s">
        <v>204</v>
      </c>
      <c r="BB1421" s="172" t="s">
        <v>3044</v>
      </c>
      <c r="BC1421" s="174"/>
      <c r="BD1421" s="174"/>
      <c r="BE1421" s="207" t="s">
        <v>3045</v>
      </c>
      <c r="BF1421" s="207" t="s">
        <v>3046</v>
      </c>
      <c r="BG1421" s="172">
        <v>0</v>
      </c>
      <c r="BH1421" s="172">
        <v>0</v>
      </c>
      <c r="BI1421" s="172">
        <v>0</v>
      </c>
      <c r="BJ1421" s="172">
        <v>0</v>
      </c>
      <c r="BK1421" s="172">
        <v>0</v>
      </c>
      <c r="BL1421" s="172">
        <v>0</v>
      </c>
      <c r="BM1421" s="178">
        <v>0</v>
      </c>
      <c r="BN1421" s="175">
        <v>0</v>
      </c>
      <c r="BO1421" s="175">
        <v>0</v>
      </c>
      <c r="BP1421" s="175">
        <v>0</v>
      </c>
      <c r="BQ1421" s="175">
        <v>0</v>
      </c>
      <c r="BR1421" s="175">
        <v>0</v>
      </c>
      <c r="BS1421" s="175">
        <v>0</v>
      </c>
      <c r="BT1421" s="19">
        <v>0</v>
      </c>
      <c r="BU1421" s="23">
        <v>0</v>
      </c>
      <c r="BV1421" s="23"/>
      <c r="BW1421" s="23"/>
      <c r="BX1421" s="23"/>
      <c r="BY1421" s="23"/>
      <c r="BZ1421" s="23"/>
    </row>
    <row r="1422" spans="1:78" ht="20.100000000000001" customHeight="1">
      <c r="C1422" s="172">
        <v>63203004</v>
      </c>
      <c r="D1422" s="212" t="s">
        <v>2910</v>
      </c>
      <c r="E1422" s="212" t="s">
        <v>3069</v>
      </c>
      <c r="F1422" s="21">
        <v>1</v>
      </c>
      <c r="G1422" s="21">
        <v>63002003</v>
      </c>
      <c r="H1422" s="21">
        <v>0</v>
      </c>
      <c r="I1422" s="31">
        <v>0</v>
      </c>
      <c r="J1422" s="32">
        <v>1</v>
      </c>
      <c r="K1422" s="32">
        <v>0</v>
      </c>
      <c r="L1422" s="21">
        <v>0</v>
      </c>
      <c r="M1422" s="21">
        <v>0</v>
      </c>
      <c r="N1422" s="21">
        <v>0</v>
      </c>
      <c r="O1422" s="21">
        <v>8</v>
      </c>
      <c r="P1422" s="21">
        <v>8</v>
      </c>
      <c r="Q1422" s="21">
        <v>1</v>
      </c>
      <c r="R1422" s="21">
        <v>0</v>
      </c>
      <c r="S1422" s="19">
        <v>0</v>
      </c>
      <c r="T1422" s="21">
        <v>0</v>
      </c>
      <c r="U1422" s="21">
        <v>1</v>
      </c>
      <c r="V1422" s="21">
        <v>0</v>
      </c>
      <c r="W1422" s="21">
        <v>0</v>
      </c>
      <c r="X1422" s="32">
        <v>0</v>
      </c>
      <c r="Y1422" s="19">
        <v>0</v>
      </c>
      <c r="Z1422" s="32">
        <v>0</v>
      </c>
      <c r="AA1422" s="21">
        <v>0</v>
      </c>
      <c r="AB1422" s="21">
        <v>0</v>
      </c>
      <c r="AC1422" s="21">
        <v>0</v>
      </c>
      <c r="AD1422" s="21">
        <v>1</v>
      </c>
      <c r="AE1422" s="21">
        <v>0</v>
      </c>
      <c r="AF1422" s="21">
        <v>0</v>
      </c>
      <c r="AG1422" s="21">
        <v>0</v>
      </c>
      <c r="AH1422" s="21" t="s">
        <v>204</v>
      </c>
      <c r="AI1422" s="19">
        <v>0</v>
      </c>
      <c r="AJ1422" s="19">
        <v>0</v>
      </c>
      <c r="AK1422" s="19">
        <v>0</v>
      </c>
      <c r="AL1422" s="19">
        <v>0</v>
      </c>
      <c r="AM1422" s="21">
        <v>0</v>
      </c>
      <c r="AN1422" s="21">
        <v>0</v>
      </c>
      <c r="AO1422" s="21">
        <v>0</v>
      </c>
      <c r="AP1422" s="21">
        <v>0</v>
      </c>
      <c r="AQ1422" s="21">
        <v>0</v>
      </c>
      <c r="AR1422" s="21">
        <v>0</v>
      </c>
      <c r="AS1422" s="21">
        <v>0</v>
      </c>
      <c r="AT1422" s="19">
        <v>90000006</v>
      </c>
      <c r="AU1422" s="21" t="s">
        <v>204</v>
      </c>
      <c r="AV1422" s="21"/>
      <c r="AW1422" s="30" t="s">
        <v>204</v>
      </c>
      <c r="AX1422" s="21">
        <v>0</v>
      </c>
      <c r="AY1422" s="32">
        <v>0</v>
      </c>
      <c r="AZ1422" s="32">
        <v>0</v>
      </c>
      <c r="BA1422" s="30" t="s">
        <v>204</v>
      </c>
      <c r="BB1422" s="21" t="s">
        <v>3070</v>
      </c>
      <c r="BC1422" s="31"/>
      <c r="BD1422" s="31"/>
      <c r="BE1422" s="207" t="s">
        <v>3071</v>
      </c>
      <c r="BF1422" s="33" t="s">
        <v>3072</v>
      </c>
      <c r="BG1422" s="21">
        <v>0</v>
      </c>
      <c r="BH1422" s="21">
        <v>0</v>
      </c>
      <c r="BI1422" s="21">
        <v>0</v>
      </c>
      <c r="BJ1422" s="21">
        <v>0</v>
      </c>
      <c r="BK1422" s="21">
        <v>0</v>
      </c>
      <c r="BL1422" s="21">
        <v>0</v>
      </c>
      <c r="BM1422" s="25">
        <v>0</v>
      </c>
      <c r="BN1422" s="19">
        <v>0</v>
      </c>
      <c r="BO1422" s="19">
        <v>0</v>
      </c>
      <c r="BP1422" s="19">
        <v>0</v>
      </c>
      <c r="BQ1422" s="19">
        <v>0</v>
      </c>
      <c r="BR1422" s="19">
        <v>0</v>
      </c>
      <c r="BS1422" s="19">
        <v>0</v>
      </c>
      <c r="BT1422" s="19">
        <v>0</v>
      </c>
      <c r="BU1422" s="23">
        <v>0</v>
      </c>
      <c r="BV1422" s="23"/>
      <c r="BW1422" s="23"/>
      <c r="BX1422" s="23"/>
      <c r="BY1422" s="23"/>
      <c r="BZ1422" s="23"/>
    </row>
    <row r="1423" spans="1:78" s="1" customFormat="1" ht="20.100000000000001" customHeight="1">
      <c r="A1423" s="218"/>
      <c r="B1423" s="218"/>
      <c r="C1423" s="74">
        <v>63301001</v>
      </c>
      <c r="D1423" s="71" t="s">
        <v>2910</v>
      </c>
      <c r="E1423" s="160" t="s">
        <v>3073</v>
      </c>
      <c r="F1423" s="90">
        <v>1</v>
      </c>
      <c r="G1423" s="74">
        <v>63301001</v>
      </c>
      <c r="H1423" s="74">
        <v>0</v>
      </c>
      <c r="I1423" s="75">
        <v>0</v>
      </c>
      <c r="J1423" s="74">
        <v>1</v>
      </c>
      <c r="K1423" s="72">
        <v>0</v>
      </c>
      <c r="L1423" s="74">
        <v>0</v>
      </c>
      <c r="M1423" s="72">
        <v>0</v>
      </c>
      <c r="N1423" s="72">
        <v>0</v>
      </c>
      <c r="O1423" s="72">
        <v>2</v>
      </c>
      <c r="P1423" s="72">
        <v>7</v>
      </c>
      <c r="Q1423" s="72">
        <v>0.15</v>
      </c>
      <c r="R1423" s="72">
        <v>0</v>
      </c>
      <c r="S1423" s="73">
        <v>0</v>
      </c>
      <c r="T1423" s="72">
        <v>0</v>
      </c>
      <c r="U1423" s="72">
        <v>1</v>
      </c>
      <c r="V1423" s="72">
        <v>1</v>
      </c>
      <c r="W1423" s="72">
        <v>0</v>
      </c>
      <c r="X1423" s="72">
        <v>0</v>
      </c>
      <c r="Y1423" s="19">
        <v>0</v>
      </c>
      <c r="Z1423" s="72">
        <v>0</v>
      </c>
      <c r="AA1423" s="72">
        <v>0</v>
      </c>
      <c r="AB1423" s="72">
        <v>0</v>
      </c>
      <c r="AC1423" s="72">
        <v>0</v>
      </c>
      <c r="AD1423" s="72">
        <v>0</v>
      </c>
      <c r="AE1423" s="72">
        <v>0</v>
      </c>
      <c r="AF1423" s="72">
        <v>0</v>
      </c>
      <c r="AG1423" s="72">
        <v>0</v>
      </c>
      <c r="AH1423" s="72">
        <v>0</v>
      </c>
      <c r="AI1423" s="73">
        <v>0</v>
      </c>
      <c r="AJ1423" s="73">
        <v>0</v>
      </c>
      <c r="AK1423" s="73">
        <v>0</v>
      </c>
      <c r="AL1423" s="73">
        <v>1.5</v>
      </c>
      <c r="AM1423" s="72">
        <v>0</v>
      </c>
      <c r="AN1423" s="72">
        <v>0</v>
      </c>
      <c r="AO1423" s="72">
        <v>0</v>
      </c>
      <c r="AP1423" s="74">
        <v>0</v>
      </c>
      <c r="AQ1423" s="72">
        <v>3000</v>
      </c>
      <c r="AR1423" s="72">
        <v>0.1</v>
      </c>
      <c r="AS1423" s="72">
        <v>0</v>
      </c>
      <c r="AT1423" s="73">
        <v>0</v>
      </c>
      <c r="AU1423" s="72" t="s">
        <v>204</v>
      </c>
      <c r="AV1423" s="72"/>
      <c r="AW1423" s="71" t="s">
        <v>204</v>
      </c>
      <c r="AX1423" s="72" t="s">
        <v>551</v>
      </c>
      <c r="AY1423" s="74">
        <v>0</v>
      </c>
      <c r="AZ1423" s="74">
        <v>0</v>
      </c>
      <c r="BA1423" s="71" t="s">
        <v>2473</v>
      </c>
      <c r="BB1423" s="344" t="s">
        <v>3074</v>
      </c>
      <c r="BC1423" s="75">
        <v>0</v>
      </c>
      <c r="BD1423" s="75">
        <v>0</v>
      </c>
      <c r="BE1423" s="76" t="s">
        <v>3075</v>
      </c>
      <c r="BF1423" s="76" t="s">
        <v>3076</v>
      </c>
      <c r="BG1423" s="72">
        <v>0</v>
      </c>
      <c r="BH1423" s="72">
        <v>0</v>
      </c>
      <c r="BI1423" s="72">
        <v>0</v>
      </c>
      <c r="BJ1423" s="72">
        <v>0</v>
      </c>
      <c r="BK1423" s="72">
        <v>0</v>
      </c>
      <c r="BL1423" s="72">
        <v>0</v>
      </c>
      <c r="BM1423" s="90">
        <v>0</v>
      </c>
      <c r="BN1423" s="73">
        <v>0</v>
      </c>
      <c r="BO1423" s="73">
        <v>0</v>
      </c>
      <c r="BP1423" s="73">
        <v>0</v>
      </c>
      <c r="BQ1423" s="73">
        <v>0</v>
      </c>
      <c r="BR1423" s="73">
        <v>0</v>
      </c>
      <c r="BS1423" s="73">
        <v>0</v>
      </c>
      <c r="BT1423" s="73">
        <v>0</v>
      </c>
      <c r="BU1423" s="73">
        <v>0</v>
      </c>
      <c r="BV1423" s="23"/>
      <c r="BW1423" s="23"/>
      <c r="BX1423" s="23"/>
      <c r="BY1423" s="23"/>
      <c r="BZ1423" s="23"/>
    </row>
    <row r="1424" spans="1:78" s="1" customFormat="1" ht="20.100000000000001" customHeight="1">
      <c r="C1424" s="74">
        <v>63301002</v>
      </c>
      <c r="D1424" s="71" t="s">
        <v>766</v>
      </c>
      <c r="E1424" s="160" t="s">
        <v>767</v>
      </c>
      <c r="F1424" s="90">
        <v>1</v>
      </c>
      <c r="G1424" s="90">
        <v>0</v>
      </c>
      <c r="H1424" s="72">
        <v>0</v>
      </c>
      <c r="I1424" s="75">
        <v>0</v>
      </c>
      <c r="J1424" s="74">
        <v>1</v>
      </c>
      <c r="K1424" s="74">
        <v>0</v>
      </c>
      <c r="L1424" s="74">
        <v>0</v>
      </c>
      <c r="M1424" s="72">
        <v>0</v>
      </c>
      <c r="N1424" s="72">
        <v>0</v>
      </c>
      <c r="O1424" s="72">
        <v>2</v>
      </c>
      <c r="P1424" s="72">
        <v>1</v>
      </c>
      <c r="Q1424" s="72">
        <v>0.2</v>
      </c>
      <c r="R1424" s="72">
        <v>0</v>
      </c>
      <c r="S1424" s="73">
        <v>0</v>
      </c>
      <c r="T1424" s="72">
        <v>0</v>
      </c>
      <c r="U1424" s="72">
        <v>1</v>
      </c>
      <c r="V1424" s="90">
        <v>1</v>
      </c>
      <c r="W1424" s="72">
        <v>0</v>
      </c>
      <c r="X1424" s="72">
        <v>2.5</v>
      </c>
      <c r="Y1424" s="19">
        <v>0</v>
      </c>
      <c r="Z1424" s="72">
        <v>150</v>
      </c>
      <c r="AA1424" s="72">
        <v>1</v>
      </c>
      <c r="AB1424" s="72">
        <v>0</v>
      </c>
      <c r="AC1424" s="72">
        <v>0</v>
      </c>
      <c r="AD1424" s="72">
        <v>0</v>
      </c>
      <c r="AE1424" s="72">
        <v>1</v>
      </c>
      <c r="AF1424" s="72">
        <v>10</v>
      </c>
      <c r="AG1424" s="72">
        <v>2</v>
      </c>
      <c r="AH1424" s="72" t="s">
        <v>219</v>
      </c>
      <c r="AI1424" s="73">
        <v>0</v>
      </c>
      <c r="AJ1424" s="73">
        <v>2</v>
      </c>
      <c r="AK1424" s="73">
        <v>0</v>
      </c>
      <c r="AL1424" s="73">
        <v>1.5</v>
      </c>
      <c r="AM1424" s="72">
        <v>0</v>
      </c>
      <c r="AN1424" s="72">
        <v>0</v>
      </c>
      <c r="AO1424" s="72">
        <v>0</v>
      </c>
      <c r="AP1424" s="74">
        <v>0</v>
      </c>
      <c r="AQ1424" s="72">
        <v>1600</v>
      </c>
      <c r="AR1424" s="72">
        <v>1</v>
      </c>
      <c r="AS1424" s="72">
        <v>15</v>
      </c>
      <c r="AT1424" s="73">
        <v>0</v>
      </c>
      <c r="AU1424" s="322" t="s">
        <v>2352</v>
      </c>
      <c r="AV1424" s="93"/>
      <c r="AW1424" s="71" t="s">
        <v>205</v>
      </c>
      <c r="AX1424" s="72" t="s">
        <v>221</v>
      </c>
      <c r="AY1424" s="74">
        <v>10000011</v>
      </c>
      <c r="AZ1424" s="74">
        <v>77005105</v>
      </c>
      <c r="BA1424" s="71" t="s">
        <v>222</v>
      </c>
      <c r="BB1424" s="72">
        <v>0</v>
      </c>
      <c r="BC1424" s="75">
        <v>0</v>
      </c>
      <c r="BD1424" s="75">
        <v>0</v>
      </c>
      <c r="BE1424" s="76" t="s">
        <v>3077</v>
      </c>
      <c r="BF1424" s="76" t="s">
        <v>3078</v>
      </c>
      <c r="BG1424" s="72">
        <v>0</v>
      </c>
      <c r="BH1424" s="72">
        <v>0</v>
      </c>
      <c r="BI1424" s="72">
        <v>0</v>
      </c>
      <c r="BJ1424" s="72">
        <v>0</v>
      </c>
      <c r="BK1424" s="72">
        <v>0</v>
      </c>
      <c r="BL1424" s="72">
        <v>0</v>
      </c>
      <c r="BM1424" s="90">
        <v>0</v>
      </c>
      <c r="BN1424" s="73">
        <v>0</v>
      </c>
      <c r="BO1424" s="73">
        <v>0</v>
      </c>
      <c r="BP1424" s="73">
        <v>0</v>
      </c>
      <c r="BQ1424" s="73">
        <v>0</v>
      </c>
      <c r="BR1424" s="73">
        <v>0</v>
      </c>
      <c r="BS1424" s="73">
        <v>0</v>
      </c>
      <c r="BT1424" s="73">
        <v>0</v>
      </c>
      <c r="BU1424" s="73">
        <v>0</v>
      </c>
      <c r="BV1424" s="23"/>
      <c r="BW1424" s="23"/>
      <c r="BX1424" s="23"/>
      <c r="BY1424" s="23"/>
      <c r="BZ1424" s="23"/>
    </row>
    <row r="1425" spans="1:78" ht="20.100000000000001" customHeight="1">
      <c r="C1425" s="74">
        <v>63301003</v>
      </c>
      <c r="D1425" s="30" t="s">
        <v>2958</v>
      </c>
      <c r="E1425" s="30" t="s">
        <v>2959</v>
      </c>
      <c r="F1425" s="21">
        <v>1</v>
      </c>
      <c r="G1425" s="21">
        <v>1000003</v>
      </c>
      <c r="H1425" s="21">
        <v>0</v>
      </c>
      <c r="I1425" s="31">
        <v>0</v>
      </c>
      <c r="J1425" s="32">
        <v>1</v>
      </c>
      <c r="K1425" s="32">
        <v>0</v>
      </c>
      <c r="L1425" s="21">
        <v>0</v>
      </c>
      <c r="M1425" s="21">
        <v>0</v>
      </c>
      <c r="N1425" s="21">
        <v>0</v>
      </c>
      <c r="O1425" s="21">
        <v>8</v>
      </c>
      <c r="P1425" s="21">
        <v>8</v>
      </c>
      <c r="Q1425" s="21">
        <v>3</v>
      </c>
      <c r="R1425" s="21">
        <v>0</v>
      </c>
      <c r="S1425" s="19">
        <v>0</v>
      </c>
      <c r="T1425" s="21">
        <v>0</v>
      </c>
      <c r="U1425" s="21">
        <v>1</v>
      </c>
      <c r="V1425" s="21">
        <v>0</v>
      </c>
      <c r="W1425" s="21">
        <v>0</v>
      </c>
      <c r="X1425" s="32">
        <v>0</v>
      </c>
      <c r="Y1425" s="19">
        <v>0</v>
      </c>
      <c r="Z1425" s="32">
        <v>0</v>
      </c>
      <c r="AA1425" s="21">
        <v>0</v>
      </c>
      <c r="AB1425" s="21">
        <v>0</v>
      </c>
      <c r="AC1425" s="21">
        <v>0</v>
      </c>
      <c r="AD1425" s="21">
        <v>1</v>
      </c>
      <c r="AE1425" s="21">
        <v>0</v>
      </c>
      <c r="AF1425" s="21">
        <v>0</v>
      </c>
      <c r="AG1425" s="21">
        <v>0</v>
      </c>
      <c r="AH1425" s="21" t="s">
        <v>204</v>
      </c>
      <c r="AI1425" s="19">
        <v>0</v>
      </c>
      <c r="AJ1425" s="19">
        <v>0</v>
      </c>
      <c r="AK1425" s="19">
        <v>0</v>
      </c>
      <c r="AL1425" s="19">
        <v>0</v>
      </c>
      <c r="AM1425" s="21">
        <v>0</v>
      </c>
      <c r="AN1425" s="21">
        <v>0</v>
      </c>
      <c r="AO1425" s="21">
        <v>0</v>
      </c>
      <c r="AP1425" s="21">
        <v>0</v>
      </c>
      <c r="AQ1425" s="21">
        <v>0</v>
      </c>
      <c r="AR1425" s="21">
        <v>0</v>
      </c>
      <c r="AS1425" s="21">
        <v>0</v>
      </c>
      <c r="AT1425" s="19">
        <v>0</v>
      </c>
      <c r="AU1425" s="21" t="s">
        <v>204</v>
      </c>
      <c r="AV1425" s="21"/>
      <c r="AW1425" s="30" t="s">
        <v>204</v>
      </c>
      <c r="AX1425" s="21">
        <v>0</v>
      </c>
      <c r="AY1425" s="32">
        <v>0</v>
      </c>
      <c r="AZ1425" s="32">
        <v>0</v>
      </c>
      <c r="BA1425" s="30" t="s">
        <v>204</v>
      </c>
      <c r="BB1425" s="21" t="s">
        <v>2960</v>
      </c>
      <c r="BC1425" s="31"/>
      <c r="BD1425" s="31">
        <v>0</v>
      </c>
      <c r="BE1425" s="33" t="s">
        <v>2961</v>
      </c>
      <c r="BF1425" s="33" t="s">
        <v>2962</v>
      </c>
      <c r="BG1425" s="21">
        <v>0</v>
      </c>
      <c r="BH1425" s="21">
        <v>0</v>
      </c>
      <c r="BI1425" s="21">
        <v>0</v>
      </c>
      <c r="BJ1425" s="21">
        <v>0</v>
      </c>
      <c r="BK1425" s="21">
        <v>0</v>
      </c>
      <c r="BL1425" s="21">
        <v>0</v>
      </c>
      <c r="BM1425" s="25">
        <v>0</v>
      </c>
      <c r="BN1425" s="19">
        <v>0</v>
      </c>
      <c r="BO1425" s="19">
        <v>0</v>
      </c>
      <c r="BP1425" s="19">
        <v>0</v>
      </c>
      <c r="BQ1425" s="19">
        <v>0</v>
      </c>
      <c r="BR1425" s="19">
        <v>0</v>
      </c>
      <c r="BS1425" s="19">
        <v>0</v>
      </c>
      <c r="BT1425" s="19">
        <v>0</v>
      </c>
      <c r="BU1425" s="23">
        <v>0</v>
      </c>
      <c r="BV1425" s="23"/>
      <c r="BW1425" s="23"/>
      <c r="BX1425" s="23"/>
      <c r="BY1425" s="23"/>
      <c r="BZ1425" s="23"/>
    </row>
    <row r="1426" spans="1:78" ht="20.100000000000001" customHeight="1">
      <c r="C1426" s="74">
        <v>63301004</v>
      </c>
      <c r="D1426" s="173" t="s">
        <v>2906</v>
      </c>
      <c r="E1426" s="173" t="s">
        <v>2907</v>
      </c>
      <c r="F1426" s="172">
        <v>1</v>
      </c>
      <c r="G1426" s="172">
        <v>63002002</v>
      </c>
      <c r="H1426" s="172">
        <v>0</v>
      </c>
      <c r="I1426" s="174">
        <v>0</v>
      </c>
      <c r="J1426" s="176">
        <v>1</v>
      </c>
      <c r="K1426" s="176">
        <v>0</v>
      </c>
      <c r="L1426" s="172">
        <v>0</v>
      </c>
      <c r="M1426" s="172">
        <v>0</v>
      </c>
      <c r="N1426" s="172">
        <v>0</v>
      </c>
      <c r="O1426" s="172">
        <v>2</v>
      </c>
      <c r="P1426" s="172">
        <v>0</v>
      </c>
      <c r="Q1426" s="172">
        <v>0</v>
      </c>
      <c r="R1426" s="172">
        <v>0</v>
      </c>
      <c r="S1426" s="175">
        <v>0</v>
      </c>
      <c r="T1426" s="172">
        <v>0</v>
      </c>
      <c r="U1426" s="172">
        <v>1</v>
      </c>
      <c r="V1426" s="172">
        <v>0</v>
      </c>
      <c r="W1426" s="172">
        <v>0</v>
      </c>
      <c r="X1426" s="176">
        <v>0</v>
      </c>
      <c r="Y1426" s="19">
        <v>0</v>
      </c>
      <c r="Z1426" s="176">
        <v>0</v>
      </c>
      <c r="AA1426" s="172">
        <v>0</v>
      </c>
      <c r="AB1426" s="172">
        <v>0</v>
      </c>
      <c r="AC1426" s="172">
        <v>0</v>
      </c>
      <c r="AD1426" s="172">
        <v>1</v>
      </c>
      <c r="AE1426" s="172">
        <v>0</v>
      </c>
      <c r="AF1426" s="172">
        <v>0</v>
      </c>
      <c r="AG1426" s="172">
        <v>0</v>
      </c>
      <c r="AH1426" s="172" t="s">
        <v>204</v>
      </c>
      <c r="AI1426" s="175">
        <v>0</v>
      </c>
      <c r="AJ1426" s="175">
        <v>0</v>
      </c>
      <c r="AK1426" s="175">
        <v>0</v>
      </c>
      <c r="AL1426" s="175">
        <v>0</v>
      </c>
      <c r="AM1426" s="172">
        <v>0</v>
      </c>
      <c r="AN1426" s="172">
        <v>0</v>
      </c>
      <c r="AO1426" s="172">
        <v>0</v>
      </c>
      <c r="AP1426" s="172">
        <v>0</v>
      </c>
      <c r="AQ1426" s="172">
        <v>0</v>
      </c>
      <c r="AR1426" s="172">
        <v>0</v>
      </c>
      <c r="AS1426" s="172">
        <v>0</v>
      </c>
      <c r="AT1426" s="175">
        <v>0</v>
      </c>
      <c r="AU1426" s="172" t="s">
        <v>204</v>
      </c>
      <c r="AV1426" s="172"/>
      <c r="AW1426" s="173" t="s">
        <v>204</v>
      </c>
      <c r="AX1426" s="172">
        <v>0</v>
      </c>
      <c r="AY1426" s="176">
        <v>0</v>
      </c>
      <c r="AZ1426" s="176">
        <v>0</v>
      </c>
      <c r="BA1426" s="173" t="s">
        <v>204</v>
      </c>
      <c r="BB1426" s="172">
        <v>0</v>
      </c>
      <c r="BC1426" s="174"/>
      <c r="BD1426" s="174"/>
      <c r="BE1426" s="207" t="s">
        <v>2908</v>
      </c>
      <c r="BF1426" s="207" t="s">
        <v>2909</v>
      </c>
      <c r="BG1426" s="172">
        <v>0</v>
      </c>
      <c r="BH1426" s="172">
        <v>0</v>
      </c>
      <c r="BI1426" s="172">
        <v>0</v>
      </c>
      <c r="BJ1426" s="172">
        <v>0</v>
      </c>
      <c r="BK1426" s="172">
        <v>0</v>
      </c>
      <c r="BL1426" s="172">
        <v>0</v>
      </c>
      <c r="BM1426" s="178">
        <v>0</v>
      </c>
      <c r="BN1426" s="175">
        <v>0</v>
      </c>
      <c r="BO1426" s="175">
        <v>0</v>
      </c>
      <c r="BP1426" s="175">
        <v>0</v>
      </c>
      <c r="BQ1426" s="175">
        <v>0</v>
      </c>
      <c r="BR1426" s="175">
        <v>0</v>
      </c>
      <c r="BS1426" s="175">
        <v>0</v>
      </c>
      <c r="BT1426" s="19">
        <v>0</v>
      </c>
      <c r="BU1426" s="23">
        <v>0</v>
      </c>
      <c r="BV1426" s="23"/>
      <c r="BW1426" s="23"/>
      <c r="BX1426" s="23"/>
      <c r="BY1426" s="23"/>
      <c r="BZ1426" s="23"/>
    </row>
    <row r="1427" spans="1:78" ht="20.100000000000001" customHeight="1">
      <c r="C1427" s="74">
        <v>63301005</v>
      </c>
      <c r="D1427" s="173" t="s">
        <v>3079</v>
      </c>
      <c r="E1427" s="173" t="s">
        <v>3080</v>
      </c>
      <c r="F1427" s="172">
        <v>1</v>
      </c>
      <c r="G1427" s="172">
        <v>63301005</v>
      </c>
      <c r="H1427" s="172">
        <v>0</v>
      </c>
      <c r="I1427" s="174">
        <v>0</v>
      </c>
      <c r="J1427" s="176">
        <v>1</v>
      </c>
      <c r="K1427" s="176">
        <v>0</v>
      </c>
      <c r="L1427" s="172">
        <v>0</v>
      </c>
      <c r="M1427" s="172">
        <v>0</v>
      </c>
      <c r="N1427" s="172">
        <v>0</v>
      </c>
      <c r="O1427" s="172">
        <v>2</v>
      </c>
      <c r="P1427" s="172">
        <v>12</v>
      </c>
      <c r="Q1427" s="172">
        <v>1</v>
      </c>
      <c r="R1427" s="172">
        <v>0</v>
      </c>
      <c r="S1427" s="175">
        <v>0</v>
      </c>
      <c r="T1427" s="172">
        <v>0</v>
      </c>
      <c r="U1427" s="172">
        <v>1</v>
      </c>
      <c r="V1427" s="172">
        <v>2</v>
      </c>
      <c r="W1427" s="172">
        <v>0</v>
      </c>
      <c r="X1427" s="176">
        <v>0</v>
      </c>
      <c r="Y1427" s="19">
        <v>0</v>
      </c>
      <c r="Z1427" s="176">
        <v>0</v>
      </c>
      <c r="AA1427" s="172">
        <v>0</v>
      </c>
      <c r="AB1427" s="172">
        <v>0</v>
      </c>
      <c r="AC1427" s="172">
        <v>0</v>
      </c>
      <c r="AD1427" s="172">
        <v>1</v>
      </c>
      <c r="AE1427" s="172">
        <v>0</v>
      </c>
      <c r="AF1427" s="172">
        <v>60</v>
      </c>
      <c r="AG1427" s="172">
        <v>1</v>
      </c>
      <c r="AH1427" s="172">
        <v>10</v>
      </c>
      <c r="AI1427" s="175">
        <v>0</v>
      </c>
      <c r="AJ1427" s="175">
        <v>0</v>
      </c>
      <c r="AK1427" s="175">
        <v>0</v>
      </c>
      <c r="AL1427" s="175">
        <v>0</v>
      </c>
      <c r="AM1427" s="172">
        <v>0</v>
      </c>
      <c r="AN1427" s="172">
        <v>0</v>
      </c>
      <c r="AO1427" s="172">
        <v>0</v>
      </c>
      <c r="AP1427" s="172">
        <v>0</v>
      </c>
      <c r="AQ1427" s="172">
        <v>50000</v>
      </c>
      <c r="AR1427" s="172">
        <v>0</v>
      </c>
      <c r="AS1427" s="172">
        <v>0</v>
      </c>
      <c r="AT1427" s="175">
        <v>90503007</v>
      </c>
      <c r="AU1427" s="175">
        <v>90503007</v>
      </c>
      <c r="AV1427" s="172"/>
      <c r="AW1427" s="173" t="s">
        <v>204</v>
      </c>
      <c r="AX1427" s="172">
        <v>0</v>
      </c>
      <c r="AY1427" s="176">
        <v>0</v>
      </c>
      <c r="AZ1427" s="176">
        <v>0</v>
      </c>
      <c r="BA1427" s="173" t="s">
        <v>2898</v>
      </c>
      <c r="BB1427" s="172">
        <v>0</v>
      </c>
      <c r="BC1427" s="174">
        <v>0</v>
      </c>
      <c r="BD1427" s="174">
        <v>0</v>
      </c>
      <c r="BE1427" s="207" t="s">
        <v>3081</v>
      </c>
      <c r="BF1427" s="247" t="s">
        <v>3082</v>
      </c>
      <c r="BG1427" s="172">
        <v>0</v>
      </c>
      <c r="BH1427" s="172">
        <v>0</v>
      </c>
      <c r="BI1427" s="172">
        <v>0</v>
      </c>
      <c r="BJ1427" s="172">
        <v>0</v>
      </c>
      <c r="BK1427" s="172">
        <v>0</v>
      </c>
      <c r="BL1427" s="172">
        <v>0</v>
      </c>
      <c r="BM1427" s="178">
        <v>0</v>
      </c>
      <c r="BN1427" s="175">
        <v>1</v>
      </c>
      <c r="BO1427" s="175">
        <v>0</v>
      </c>
      <c r="BP1427" s="175">
        <v>0</v>
      </c>
      <c r="BQ1427" s="175">
        <v>0</v>
      </c>
      <c r="BR1427" s="175">
        <v>0</v>
      </c>
      <c r="BS1427" s="175">
        <v>0</v>
      </c>
      <c r="BT1427" s="19">
        <v>0</v>
      </c>
      <c r="BU1427" s="23">
        <v>0</v>
      </c>
      <c r="BV1427" s="23"/>
      <c r="BW1427" s="23"/>
      <c r="BX1427" s="23"/>
      <c r="BY1427" s="23"/>
      <c r="BZ1427" s="23"/>
    </row>
    <row r="1428" spans="1:78" s="1" customFormat="1" ht="19.5" customHeight="1">
      <c r="A1428" s="218"/>
      <c r="B1428" s="218"/>
      <c r="C1428" s="74">
        <v>63302001</v>
      </c>
      <c r="D1428" s="71" t="s">
        <v>2910</v>
      </c>
      <c r="E1428" s="71" t="s">
        <v>3083</v>
      </c>
      <c r="F1428" s="74">
        <v>1</v>
      </c>
      <c r="G1428" s="74">
        <v>63302001</v>
      </c>
      <c r="H1428" s="74">
        <v>0</v>
      </c>
      <c r="I1428" s="75">
        <v>0</v>
      </c>
      <c r="J1428" s="74">
        <v>1</v>
      </c>
      <c r="K1428" s="74">
        <v>0</v>
      </c>
      <c r="L1428" s="74">
        <v>0</v>
      </c>
      <c r="M1428" s="72">
        <v>0</v>
      </c>
      <c r="N1428" s="72">
        <v>0</v>
      </c>
      <c r="O1428" s="72">
        <v>2</v>
      </c>
      <c r="P1428" s="72">
        <v>16</v>
      </c>
      <c r="Q1428" s="72">
        <v>3</v>
      </c>
      <c r="R1428" s="72">
        <v>0</v>
      </c>
      <c r="S1428" s="73">
        <v>0</v>
      </c>
      <c r="T1428" s="72">
        <v>0</v>
      </c>
      <c r="U1428" s="72">
        <v>1</v>
      </c>
      <c r="V1428" s="72">
        <v>2</v>
      </c>
      <c r="W1428" s="72">
        <v>0</v>
      </c>
      <c r="X1428" s="72">
        <v>0</v>
      </c>
      <c r="Y1428" s="19">
        <v>0</v>
      </c>
      <c r="Z1428" s="72">
        <v>0</v>
      </c>
      <c r="AA1428" s="72">
        <v>1</v>
      </c>
      <c r="AB1428" s="72">
        <v>0</v>
      </c>
      <c r="AC1428" s="72">
        <v>0</v>
      </c>
      <c r="AD1428" s="72">
        <v>0</v>
      </c>
      <c r="AE1428" s="72">
        <v>0</v>
      </c>
      <c r="AF1428" s="72">
        <v>0</v>
      </c>
      <c r="AG1428" s="72">
        <v>1</v>
      </c>
      <c r="AH1428" s="72">
        <v>1</v>
      </c>
      <c r="AI1428" s="73">
        <v>7</v>
      </c>
      <c r="AJ1428" s="73">
        <v>1</v>
      </c>
      <c r="AK1428" s="73">
        <v>0</v>
      </c>
      <c r="AL1428" s="73">
        <v>3</v>
      </c>
      <c r="AM1428" s="72">
        <v>0</v>
      </c>
      <c r="AN1428" s="72">
        <v>0</v>
      </c>
      <c r="AO1428" s="72">
        <v>0</v>
      </c>
      <c r="AP1428" s="74">
        <v>0</v>
      </c>
      <c r="AQ1428" s="72">
        <v>500</v>
      </c>
      <c r="AR1428" s="72">
        <v>0.1</v>
      </c>
      <c r="AS1428" s="72">
        <v>0</v>
      </c>
      <c r="AT1428" s="73">
        <v>0</v>
      </c>
      <c r="AU1428" s="322" t="s">
        <v>2378</v>
      </c>
      <c r="AV1428" s="93"/>
      <c r="AW1428" s="88" t="s">
        <v>204</v>
      </c>
      <c r="AX1428" s="72" t="s">
        <v>540</v>
      </c>
      <c r="AY1428" s="74">
        <v>0</v>
      </c>
      <c r="AZ1428" s="74">
        <v>0</v>
      </c>
      <c r="BA1428" s="71" t="s">
        <v>206</v>
      </c>
      <c r="BB1428" s="72">
        <v>0</v>
      </c>
      <c r="BC1428" s="75">
        <v>0</v>
      </c>
      <c r="BD1428" s="75">
        <v>0</v>
      </c>
      <c r="BE1428" s="76" t="s">
        <v>3084</v>
      </c>
      <c r="BF1428" s="76" t="s">
        <v>3085</v>
      </c>
      <c r="BG1428" s="72">
        <v>0</v>
      </c>
      <c r="BH1428" s="72">
        <v>0</v>
      </c>
      <c r="BI1428" s="72">
        <v>0</v>
      </c>
      <c r="BJ1428" s="72">
        <v>0</v>
      </c>
      <c r="BK1428" s="72">
        <v>0</v>
      </c>
      <c r="BL1428" s="72">
        <v>0</v>
      </c>
      <c r="BM1428" s="90">
        <v>0</v>
      </c>
      <c r="BN1428" s="73">
        <v>0</v>
      </c>
      <c r="BO1428" s="73">
        <v>0</v>
      </c>
      <c r="BP1428" s="73">
        <v>0</v>
      </c>
      <c r="BQ1428" s="73">
        <v>0</v>
      </c>
      <c r="BR1428" s="73">
        <v>0</v>
      </c>
      <c r="BS1428" s="73">
        <v>0</v>
      </c>
      <c r="BT1428" s="73">
        <v>0</v>
      </c>
      <c r="BU1428" s="73">
        <v>0</v>
      </c>
      <c r="BV1428" s="23"/>
      <c r="BW1428" s="23"/>
      <c r="BX1428" s="23"/>
      <c r="BY1428" s="23"/>
      <c r="BZ1428" s="23"/>
    </row>
    <row r="1429" spans="1:78" ht="20.100000000000001" customHeight="1">
      <c r="C1429" s="74">
        <v>63302002</v>
      </c>
      <c r="D1429" s="30" t="s">
        <v>2975</v>
      </c>
      <c r="E1429" s="30" t="s">
        <v>2976</v>
      </c>
      <c r="F1429" s="21">
        <v>1</v>
      </c>
      <c r="G1429" s="21">
        <v>1000004</v>
      </c>
      <c r="H1429" s="21">
        <v>0</v>
      </c>
      <c r="I1429" s="31">
        <v>0</v>
      </c>
      <c r="J1429" s="32">
        <v>1</v>
      </c>
      <c r="K1429" s="32">
        <v>0</v>
      </c>
      <c r="L1429" s="21">
        <v>0</v>
      </c>
      <c r="M1429" s="21">
        <v>0</v>
      </c>
      <c r="N1429" s="21">
        <v>0</v>
      </c>
      <c r="O1429" s="21">
        <v>8</v>
      </c>
      <c r="P1429" s="21">
        <v>8</v>
      </c>
      <c r="Q1429" s="21">
        <v>4</v>
      </c>
      <c r="R1429" s="21">
        <v>0</v>
      </c>
      <c r="S1429" s="19">
        <v>0</v>
      </c>
      <c r="T1429" s="21">
        <v>0</v>
      </c>
      <c r="U1429" s="21">
        <v>1</v>
      </c>
      <c r="V1429" s="21">
        <v>0</v>
      </c>
      <c r="W1429" s="21">
        <v>0</v>
      </c>
      <c r="X1429" s="32">
        <v>0</v>
      </c>
      <c r="Y1429" s="19">
        <v>0</v>
      </c>
      <c r="Z1429" s="32">
        <v>0</v>
      </c>
      <c r="AA1429" s="21">
        <v>0</v>
      </c>
      <c r="AB1429" s="21">
        <v>0</v>
      </c>
      <c r="AC1429" s="21">
        <v>0</v>
      </c>
      <c r="AD1429" s="21">
        <v>1</v>
      </c>
      <c r="AE1429" s="21">
        <v>0</v>
      </c>
      <c r="AF1429" s="21">
        <v>0</v>
      </c>
      <c r="AG1429" s="21">
        <v>0</v>
      </c>
      <c r="AH1429" s="21" t="s">
        <v>204</v>
      </c>
      <c r="AI1429" s="19">
        <v>0</v>
      </c>
      <c r="AJ1429" s="19">
        <v>0</v>
      </c>
      <c r="AK1429" s="19">
        <v>0</v>
      </c>
      <c r="AL1429" s="19">
        <v>0</v>
      </c>
      <c r="AM1429" s="21">
        <v>0</v>
      </c>
      <c r="AN1429" s="21">
        <v>0</v>
      </c>
      <c r="AO1429" s="21">
        <v>0</v>
      </c>
      <c r="AP1429" s="21">
        <v>0</v>
      </c>
      <c r="AQ1429" s="21">
        <v>0</v>
      </c>
      <c r="AR1429" s="21">
        <v>0</v>
      </c>
      <c r="AS1429" s="21">
        <v>0</v>
      </c>
      <c r="AT1429" s="19">
        <v>0</v>
      </c>
      <c r="AU1429" s="21" t="s">
        <v>204</v>
      </c>
      <c r="AV1429" s="21"/>
      <c r="AW1429" s="30" t="s">
        <v>204</v>
      </c>
      <c r="AX1429" s="21">
        <v>0</v>
      </c>
      <c r="AY1429" s="32">
        <v>0</v>
      </c>
      <c r="AZ1429" s="32">
        <v>0</v>
      </c>
      <c r="BA1429" s="30" t="s">
        <v>204</v>
      </c>
      <c r="BB1429" s="21" t="s">
        <v>2977</v>
      </c>
      <c r="BC1429" s="31"/>
      <c r="BD1429" s="31">
        <v>0</v>
      </c>
      <c r="BE1429" s="33" t="s">
        <v>2978</v>
      </c>
      <c r="BF1429" s="33" t="s">
        <v>2979</v>
      </c>
      <c r="BG1429" s="21">
        <v>0</v>
      </c>
      <c r="BH1429" s="21">
        <v>0</v>
      </c>
      <c r="BI1429" s="21">
        <v>0</v>
      </c>
      <c r="BJ1429" s="21">
        <v>0</v>
      </c>
      <c r="BK1429" s="21">
        <v>0</v>
      </c>
      <c r="BL1429" s="21">
        <v>0</v>
      </c>
      <c r="BM1429" s="25">
        <v>0</v>
      </c>
      <c r="BN1429" s="19">
        <v>0</v>
      </c>
      <c r="BO1429" s="19">
        <v>0</v>
      </c>
      <c r="BP1429" s="19">
        <v>0</v>
      </c>
      <c r="BQ1429" s="19">
        <v>0</v>
      </c>
      <c r="BR1429" s="19">
        <v>0</v>
      </c>
      <c r="BS1429" s="19">
        <v>0</v>
      </c>
      <c r="BT1429" s="19">
        <v>0</v>
      </c>
      <c r="BU1429" s="23">
        <v>0</v>
      </c>
      <c r="BV1429" s="23"/>
      <c r="BW1429" s="23"/>
      <c r="BX1429" s="23"/>
      <c r="BY1429" s="23"/>
      <c r="BZ1429" s="23"/>
    </row>
    <row r="1430" spans="1:78" ht="20.100000000000001" customHeight="1">
      <c r="C1430" s="74">
        <v>63302003</v>
      </c>
      <c r="D1430" s="173" t="s">
        <v>2963</v>
      </c>
      <c r="E1430" s="173" t="s">
        <v>2964</v>
      </c>
      <c r="F1430" s="172">
        <v>1</v>
      </c>
      <c r="G1430" s="172">
        <v>63001003</v>
      </c>
      <c r="H1430" s="172">
        <v>0</v>
      </c>
      <c r="I1430" s="174">
        <v>0</v>
      </c>
      <c r="J1430" s="176">
        <v>1</v>
      </c>
      <c r="K1430" s="176">
        <v>0</v>
      </c>
      <c r="L1430" s="172">
        <v>0</v>
      </c>
      <c r="M1430" s="172">
        <v>0</v>
      </c>
      <c r="N1430" s="172">
        <v>0</v>
      </c>
      <c r="O1430" s="172">
        <v>2</v>
      </c>
      <c r="P1430" s="172">
        <v>0</v>
      </c>
      <c r="Q1430" s="172">
        <v>0</v>
      </c>
      <c r="R1430" s="172">
        <v>0</v>
      </c>
      <c r="S1430" s="175">
        <v>0</v>
      </c>
      <c r="T1430" s="172">
        <v>0</v>
      </c>
      <c r="U1430" s="172">
        <v>1</v>
      </c>
      <c r="V1430" s="172">
        <v>0</v>
      </c>
      <c r="W1430" s="172">
        <v>0</v>
      </c>
      <c r="X1430" s="176">
        <v>0</v>
      </c>
      <c r="Y1430" s="19">
        <v>0</v>
      </c>
      <c r="Z1430" s="176">
        <v>0</v>
      </c>
      <c r="AA1430" s="172">
        <v>0</v>
      </c>
      <c r="AB1430" s="172">
        <v>0</v>
      </c>
      <c r="AC1430" s="172">
        <v>0</v>
      </c>
      <c r="AD1430" s="172">
        <v>1</v>
      </c>
      <c r="AE1430" s="172">
        <v>0</v>
      </c>
      <c r="AF1430" s="172">
        <v>0</v>
      </c>
      <c r="AG1430" s="172">
        <v>0</v>
      </c>
      <c r="AH1430" s="172" t="s">
        <v>204</v>
      </c>
      <c r="AI1430" s="175">
        <v>0</v>
      </c>
      <c r="AJ1430" s="175">
        <v>0</v>
      </c>
      <c r="AK1430" s="175">
        <v>0</v>
      </c>
      <c r="AL1430" s="175">
        <v>0</v>
      </c>
      <c r="AM1430" s="172">
        <v>0</v>
      </c>
      <c r="AN1430" s="172">
        <v>0</v>
      </c>
      <c r="AO1430" s="172">
        <v>0</v>
      </c>
      <c r="AP1430" s="172">
        <v>0</v>
      </c>
      <c r="AQ1430" s="172">
        <v>0</v>
      </c>
      <c r="AR1430" s="172">
        <v>0</v>
      </c>
      <c r="AS1430" s="172">
        <v>0</v>
      </c>
      <c r="AT1430" s="175">
        <v>0</v>
      </c>
      <c r="AU1430" s="172" t="s">
        <v>204</v>
      </c>
      <c r="AV1430" s="172"/>
      <c r="AW1430" s="173" t="s">
        <v>204</v>
      </c>
      <c r="AX1430" s="172">
        <v>0</v>
      </c>
      <c r="AY1430" s="176">
        <v>0</v>
      </c>
      <c r="AZ1430" s="176">
        <v>0</v>
      </c>
      <c r="BA1430" s="173" t="s">
        <v>204</v>
      </c>
      <c r="BB1430" s="172">
        <v>0</v>
      </c>
      <c r="BC1430" s="174"/>
      <c r="BD1430" s="174"/>
      <c r="BE1430" s="207" t="s">
        <v>2965</v>
      </c>
      <c r="BF1430" s="207" t="s">
        <v>2966</v>
      </c>
      <c r="BG1430" s="172">
        <v>0</v>
      </c>
      <c r="BH1430" s="172">
        <v>0</v>
      </c>
      <c r="BI1430" s="172">
        <v>0</v>
      </c>
      <c r="BJ1430" s="172">
        <v>0</v>
      </c>
      <c r="BK1430" s="172">
        <v>0</v>
      </c>
      <c r="BL1430" s="172">
        <v>0</v>
      </c>
      <c r="BM1430" s="178">
        <v>0</v>
      </c>
      <c r="BN1430" s="175">
        <v>0</v>
      </c>
      <c r="BO1430" s="175">
        <v>0</v>
      </c>
      <c r="BP1430" s="175">
        <v>0</v>
      </c>
      <c r="BQ1430" s="175">
        <v>0</v>
      </c>
      <c r="BR1430" s="175">
        <v>0</v>
      </c>
      <c r="BS1430" s="175">
        <v>0</v>
      </c>
      <c r="BT1430" s="19">
        <v>0</v>
      </c>
      <c r="BU1430" s="23">
        <v>0</v>
      </c>
      <c r="BV1430" s="23"/>
      <c r="BW1430" s="23"/>
      <c r="BX1430" s="23"/>
      <c r="BY1430" s="23"/>
      <c r="BZ1430" s="23"/>
    </row>
    <row r="1431" spans="1:78" ht="20.100000000000001" customHeight="1">
      <c r="C1431" s="74">
        <v>63302004</v>
      </c>
      <c r="D1431" s="173" t="s">
        <v>3086</v>
      </c>
      <c r="E1431" s="173" t="s">
        <v>3087</v>
      </c>
      <c r="F1431" s="172">
        <v>1</v>
      </c>
      <c r="G1431" s="172">
        <v>63302004</v>
      </c>
      <c r="H1431" s="172">
        <v>0</v>
      </c>
      <c r="I1431" s="174">
        <v>0</v>
      </c>
      <c r="J1431" s="176">
        <v>1</v>
      </c>
      <c r="K1431" s="176">
        <v>0</v>
      </c>
      <c r="L1431" s="172">
        <v>0</v>
      </c>
      <c r="M1431" s="172">
        <v>0</v>
      </c>
      <c r="N1431" s="172">
        <v>0</v>
      </c>
      <c r="O1431" s="172">
        <v>2</v>
      </c>
      <c r="P1431" s="172">
        <v>12</v>
      </c>
      <c r="Q1431" s="172">
        <v>1</v>
      </c>
      <c r="R1431" s="172">
        <v>0</v>
      </c>
      <c r="S1431" s="175">
        <v>0</v>
      </c>
      <c r="T1431" s="172">
        <v>0</v>
      </c>
      <c r="U1431" s="172">
        <v>1</v>
      </c>
      <c r="V1431" s="172">
        <v>2</v>
      </c>
      <c r="W1431" s="172">
        <v>0</v>
      </c>
      <c r="X1431" s="176">
        <v>0</v>
      </c>
      <c r="Y1431" s="19">
        <v>0</v>
      </c>
      <c r="Z1431" s="176">
        <v>0</v>
      </c>
      <c r="AA1431" s="172">
        <v>0</v>
      </c>
      <c r="AB1431" s="172">
        <v>0</v>
      </c>
      <c r="AC1431" s="172">
        <v>0</v>
      </c>
      <c r="AD1431" s="172">
        <v>1</v>
      </c>
      <c r="AE1431" s="172">
        <v>0</v>
      </c>
      <c r="AF1431" s="172">
        <v>60</v>
      </c>
      <c r="AG1431" s="172">
        <v>1</v>
      </c>
      <c r="AH1431" s="172">
        <v>10</v>
      </c>
      <c r="AI1431" s="175">
        <v>0</v>
      </c>
      <c r="AJ1431" s="175">
        <v>0</v>
      </c>
      <c r="AK1431" s="175">
        <v>0</v>
      </c>
      <c r="AL1431" s="175">
        <v>0</v>
      </c>
      <c r="AM1431" s="172">
        <v>0</v>
      </c>
      <c r="AN1431" s="172">
        <v>0</v>
      </c>
      <c r="AO1431" s="172">
        <v>0</v>
      </c>
      <c r="AP1431" s="172">
        <v>0</v>
      </c>
      <c r="AQ1431" s="172">
        <v>50000</v>
      </c>
      <c r="AR1431" s="172">
        <v>0</v>
      </c>
      <c r="AS1431" s="172">
        <v>0</v>
      </c>
      <c r="AT1431" s="175">
        <v>90503008</v>
      </c>
      <c r="AU1431" s="172">
        <v>90503008</v>
      </c>
      <c r="AV1431" s="172"/>
      <c r="AW1431" s="173" t="s">
        <v>204</v>
      </c>
      <c r="AX1431" s="172">
        <v>0</v>
      </c>
      <c r="AY1431" s="176">
        <v>0</v>
      </c>
      <c r="AZ1431" s="176">
        <v>0</v>
      </c>
      <c r="BA1431" s="173" t="s">
        <v>2898</v>
      </c>
      <c r="BB1431" s="172">
        <v>0</v>
      </c>
      <c r="BC1431" s="174">
        <v>0</v>
      </c>
      <c r="BD1431" s="174">
        <v>0</v>
      </c>
      <c r="BE1431" s="207" t="s">
        <v>5656</v>
      </c>
      <c r="BF1431" s="207" t="s">
        <v>3088</v>
      </c>
      <c r="BG1431" s="172">
        <v>0</v>
      </c>
      <c r="BH1431" s="172">
        <v>0</v>
      </c>
      <c r="BI1431" s="172">
        <v>0</v>
      </c>
      <c r="BJ1431" s="172">
        <v>0</v>
      </c>
      <c r="BK1431" s="172">
        <v>0</v>
      </c>
      <c r="BL1431" s="172">
        <v>0</v>
      </c>
      <c r="BM1431" s="178">
        <v>0</v>
      </c>
      <c r="BN1431" s="175">
        <v>1</v>
      </c>
      <c r="BO1431" s="175">
        <v>0</v>
      </c>
      <c r="BP1431" s="175">
        <v>0</v>
      </c>
      <c r="BQ1431" s="175">
        <v>0</v>
      </c>
      <c r="BR1431" s="175">
        <v>0</v>
      </c>
      <c r="BS1431" s="175">
        <v>0</v>
      </c>
      <c r="BT1431" s="19">
        <v>0</v>
      </c>
      <c r="BU1431" s="23">
        <v>0</v>
      </c>
      <c r="BV1431" s="23"/>
      <c r="BW1431" s="23"/>
      <c r="BX1431" s="23"/>
      <c r="BY1431" s="23"/>
      <c r="BZ1431" s="23"/>
    </row>
    <row r="1432" spans="1:78" s="1" customFormat="1" ht="20.100000000000001" customHeight="1">
      <c r="A1432" s="218"/>
      <c r="B1432" s="218"/>
      <c r="C1432" s="74">
        <v>63303001</v>
      </c>
      <c r="D1432" s="71" t="s">
        <v>2910</v>
      </c>
      <c r="E1432" s="160" t="s">
        <v>3089</v>
      </c>
      <c r="F1432" s="90">
        <v>1</v>
      </c>
      <c r="G1432" s="74">
        <v>63303001</v>
      </c>
      <c r="H1432" s="74">
        <v>0</v>
      </c>
      <c r="I1432" s="75">
        <v>0</v>
      </c>
      <c r="J1432" s="74">
        <v>1</v>
      </c>
      <c r="K1432" s="72">
        <v>0</v>
      </c>
      <c r="L1432" s="74">
        <v>0</v>
      </c>
      <c r="M1432" s="72">
        <v>0</v>
      </c>
      <c r="N1432" s="72">
        <v>0</v>
      </c>
      <c r="O1432" s="72">
        <v>2</v>
      </c>
      <c r="P1432" s="72">
        <v>1</v>
      </c>
      <c r="Q1432" s="72">
        <v>0.15</v>
      </c>
      <c r="R1432" s="72">
        <v>0</v>
      </c>
      <c r="S1432" s="73">
        <v>0</v>
      </c>
      <c r="T1432" s="72">
        <v>0</v>
      </c>
      <c r="U1432" s="72">
        <v>1</v>
      </c>
      <c r="V1432" s="72">
        <v>1</v>
      </c>
      <c r="W1432" s="72">
        <v>0</v>
      </c>
      <c r="X1432" s="72">
        <v>0</v>
      </c>
      <c r="Y1432" s="19">
        <v>0</v>
      </c>
      <c r="Z1432" s="72">
        <v>0</v>
      </c>
      <c r="AA1432" s="72">
        <v>0</v>
      </c>
      <c r="AB1432" s="72">
        <v>0</v>
      </c>
      <c r="AC1432" s="72">
        <v>0</v>
      </c>
      <c r="AD1432" s="72">
        <v>0</v>
      </c>
      <c r="AE1432" s="72">
        <v>0</v>
      </c>
      <c r="AF1432" s="72">
        <v>18</v>
      </c>
      <c r="AG1432" s="72">
        <v>0</v>
      </c>
      <c r="AH1432" s="72">
        <v>0</v>
      </c>
      <c r="AI1432" s="73">
        <v>0</v>
      </c>
      <c r="AJ1432" s="73">
        <v>0</v>
      </c>
      <c r="AK1432" s="73">
        <v>0</v>
      </c>
      <c r="AL1432" s="73">
        <v>1.5</v>
      </c>
      <c r="AM1432" s="72">
        <v>0</v>
      </c>
      <c r="AN1432" s="72">
        <v>0</v>
      </c>
      <c r="AO1432" s="72">
        <v>0</v>
      </c>
      <c r="AP1432" s="74">
        <v>0</v>
      </c>
      <c r="AQ1432" s="72">
        <v>3000</v>
      </c>
      <c r="AR1432" s="72">
        <v>0.15</v>
      </c>
      <c r="AS1432" s="72">
        <v>0</v>
      </c>
      <c r="AT1432" s="73">
        <v>0</v>
      </c>
      <c r="AU1432" s="72" t="s">
        <v>204</v>
      </c>
      <c r="AV1432" s="72"/>
      <c r="AW1432" s="71" t="s">
        <v>204</v>
      </c>
      <c r="AX1432" s="72" t="s">
        <v>551</v>
      </c>
      <c r="AY1432" s="74">
        <v>0</v>
      </c>
      <c r="AZ1432" s="74">
        <v>0</v>
      </c>
      <c r="BA1432" s="71" t="s">
        <v>2473</v>
      </c>
      <c r="BB1432" s="344" t="s">
        <v>3090</v>
      </c>
      <c r="BC1432" s="75">
        <v>0</v>
      </c>
      <c r="BD1432" s="75">
        <v>0</v>
      </c>
      <c r="BE1432" s="76" t="s">
        <v>3091</v>
      </c>
      <c r="BF1432" s="76" t="s">
        <v>3092</v>
      </c>
      <c r="BG1432" s="72">
        <v>0</v>
      </c>
      <c r="BH1432" s="72">
        <v>0</v>
      </c>
      <c r="BI1432" s="72">
        <v>0</v>
      </c>
      <c r="BJ1432" s="72">
        <v>0</v>
      </c>
      <c r="BK1432" s="72">
        <v>0</v>
      </c>
      <c r="BL1432" s="72">
        <v>0</v>
      </c>
      <c r="BM1432" s="90">
        <v>0</v>
      </c>
      <c r="BN1432" s="73">
        <v>0</v>
      </c>
      <c r="BO1432" s="73">
        <v>0</v>
      </c>
      <c r="BP1432" s="73">
        <v>0</v>
      </c>
      <c r="BQ1432" s="73">
        <v>0</v>
      </c>
      <c r="BR1432" s="73">
        <v>0</v>
      </c>
      <c r="BS1432" s="73">
        <v>0</v>
      </c>
      <c r="BT1432" s="73">
        <v>0</v>
      </c>
      <c r="BU1432" s="73">
        <v>0</v>
      </c>
      <c r="BV1432" s="23"/>
      <c r="BW1432" s="23"/>
      <c r="BX1432" s="23"/>
      <c r="BY1432" s="23"/>
      <c r="BZ1432" s="23"/>
    </row>
    <row r="1433" spans="1:78" ht="20.100000000000001" customHeight="1">
      <c r="C1433" s="74">
        <v>63303002</v>
      </c>
      <c r="D1433" s="30" t="s">
        <v>2988</v>
      </c>
      <c r="E1433" s="30" t="s">
        <v>2989</v>
      </c>
      <c r="F1433" s="21">
        <v>1</v>
      </c>
      <c r="G1433" s="21">
        <v>63003003</v>
      </c>
      <c r="H1433" s="21">
        <v>0</v>
      </c>
      <c r="I1433" s="31">
        <v>0</v>
      </c>
      <c r="J1433" s="32">
        <v>1</v>
      </c>
      <c r="K1433" s="32">
        <v>0</v>
      </c>
      <c r="L1433" s="21">
        <v>0</v>
      </c>
      <c r="M1433" s="21">
        <v>0</v>
      </c>
      <c r="N1433" s="21">
        <v>0</v>
      </c>
      <c r="O1433" s="21">
        <v>8</v>
      </c>
      <c r="P1433" s="21">
        <v>0</v>
      </c>
      <c r="Q1433" s="21">
        <v>0</v>
      </c>
      <c r="R1433" s="21">
        <v>0</v>
      </c>
      <c r="S1433" s="19">
        <v>0</v>
      </c>
      <c r="T1433" s="21">
        <v>0</v>
      </c>
      <c r="U1433" s="21">
        <v>1</v>
      </c>
      <c r="V1433" s="21">
        <v>0</v>
      </c>
      <c r="W1433" s="21">
        <v>0</v>
      </c>
      <c r="X1433" s="32">
        <v>0</v>
      </c>
      <c r="Y1433" s="19">
        <v>0</v>
      </c>
      <c r="Z1433" s="32">
        <v>0</v>
      </c>
      <c r="AA1433" s="21">
        <v>0</v>
      </c>
      <c r="AB1433" s="21">
        <v>0</v>
      </c>
      <c r="AC1433" s="21">
        <v>0</v>
      </c>
      <c r="AD1433" s="21">
        <v>1</v>
      </c>
      <c r="AE1433" s="21">
        <v>0</v>
      </c>
      <c r="AF1433" s="21">
        <v>0</v>
      </c>
      <c r="AG1433" s="21">
        <v>0</v>
      </c>
      <c r="AH1433" s="21" t="s">
        <v>204</v>
      </c>
      <c r="AI1433" s="19">
        <v>0</v>
      </c>
      <c r="AJ1433" s="19">
        <v>0</v>
      </c>
      <c r="AK1433" s="19">
        <v>0</v>
      </c>
      <c r="AL1433" s="19">
        <v>0</v>
      </c>
      <c r="AM1433" s="21">
        <v>0</v>
      </c>
      <c r="AN1433" s="21">
        <v>0</v>
      </c>
      <c r="AO1433" s="21">
        <v>0</v>
      </c>
      <c r="AP1433" s="21">
        <v>0</v>
      </c>
      <c r="AQ1433" s="21">
        <v>0</v>
      </c>
      <c r="AR1433" s="21">
        <v>0</v>
      </c>
      <c r="AS1433" s="21">
        <v>0</v>
      </c>
      <c r="AT1433" s="19">
        <v>0</v>
      </c>
      <c r="AU1433" s="21" t="s">
        <v>204</v>
      </c>
      <c r="AV1433" s="21"/>
      <c r="AW1433" s="30" t="s">
        <v>204</v>
      </c>
      <c r="AX1433" s="21">
        <v>0</v>
      </c>
      <c r="AY1433" s="32">
        <v>0</v>
      </c>
      <c r="AZ1433" s="32">
        <v>0</v>
      </c>
      <c r="BA1433" s="30" t="s">
        <v>204</v>
      </c>
      <c r="BB1433" s="21" t="s">
        <v>2990</v>
      </c>
      <c r="BC1433" s="31">
        <v>0</v>
      </c>
      <c r="BD1433" s="31">
        <v>0</v>
      </c>
      <c r="BE1433" s="33" t="s">
        <v>2991</v>
      </c>
      <c r="BF1433" s="33" t="s">
        <v>2992</v>
      </c>
      <c r="BG1433" s="21">
        <v>0</v>
      </c>
      <c r="BH1433" s="21">
        <v>0</v>
      </c>
      <c r="BI1433" s="21">
        <v>0</v>
      </c>
      <c r="BJ1433" s="21">
        <v>0</v>
      </c>
      <c r="BK1433" s="21">
        <v>0</v>
      </c>
      <c r="BL1433" s="21">
        <v>0</v>
      </c>
      <c r="BM1433" s="25">
        <v>0</v>
      </c>
      <c r="BN1433" s="19">
        <v>0</v>
      </c>
      <c r="BO1433" s="19">
        <v>0</v>
      </c>
      <c r="BP1433" s="19">
        <v>0</v>
      </c>
      <c r="BQ1433" s="19">
        <v>0</v>
      </c>
      <c r="BR1433" s="19">
        <v>0</v>
      </c>
      <c r="BS1433" s="19">
        <v>0</v>
      </c>
      <c r="BT1433" s="19">
        <v>0</v>
      </c>
      <c r="BU1433" s="23">
        <v>0</v>
      </c>
      <c r="BV1433" s="23"/>
      <c r="BW1433" s="23"/>
      <c r="BX1433" s="23"/>
      <c r="BY1433" s="23"/>
      <c r="BZ1433" s="23"/>
    </row>
    <row r="1434" spans="1:78" ht="20.100000000000001" customHeight="1">
      <c r="C1434" s="74">
        <v>63303003</v>
      </c>
      <c r="D1434" s="173" t="s">
        <v>2938</v>
      </c>
      <c r="E1434" s="173" t="s">
        <v>2939</v>
      </c>
      <c r="F1434" s="172">
        <v>1</v>
      </c>
      <c r="G1434" s="172">
        <v>63003002</v>
      </c>
      <c r="H1434" s="172">
        <v>0</v>
      </c>
      <c r="I1434" s="174">
        <v>0</v>
      </c>
      <c r="J1434" s="176">
        <v>1</v>
      </c>
      <c r="K1434" s="176">
        <v>0</v>
      </c>
      <c r="L1434" s="172">
        <v>0</v>
      </c>
      <c r="M1434" s="172">
        <v>0</v>
      </c>
      <c r="N1434" s="172">
        <v>0</v>
      </c>
      <c r="O1434" s="172">
        <v>2</v>
      </c>
      <c r="P1434" s="172">
        <v>0</v>
      </c>
      <c r="Q1434" s="172">
        <v>0</v>
      </c>
      <c r="R1434" s="172">
        <v>0</v>
      </c>
      <c r="S1434" s="175">
        <v>0</v>
      </c>
      <c r="T1434" s="172">
        <v>0</v>
      </c>
      <c r="U1434" s="172">
        <v>1</v>
      </c>
      <c r="V1434" s="172">
        <v>0</v>
      </c>
      <c r="W1434" s="172">
        <v>0</v>
      </c>
      <c r="X1434" s="176">
        <v>0</v>
      </c>
      <c r="Y1434" s="19">
        <v>0</v>
      </c>
      <c r="Z1434" s="176">
        <v>0</v>
      </c>
      <c r="AA1434" s="172">
        <v>0</v>
      </c>
      <c r="AB1434" s="172">
        <v>0</v>
      </c>
      <c r="AC1434" s="172">
        <v>0</v>
      </c>
      <c r="AD1434" s="172">
        <v>1</v>
      </c>
      <c r="AE1434" s="172">
        <v>0</v>
      </c>
      <c r="AF1434" s="172">
        <v>0</v>
      </c>
      <c r="AG1434" s="172">
        <v>0</v>
      </c>
      <c r="AH1434" s="172" t="s">
        <v>204</v>
      </c>
      <c r="AI1434" s="175">
        <v>0</v>
      </c>
      <c r="AJ1434" s="175">
        <v>0</v>
      </c>
      <c r="AK1434" s="175">
        <v>0</v>
      </c>
      <c r="AL1434" s="175">
        <v>0</v>
      </c>
      <c r="AM1434" s="172">
        <v>0</v>
      </c>
      <c r="AN1434" s="172">
        <v>0</v>
      </c>
      <c r="AO1434" s="172">
        <v>0</v>
      </c>
      <c r="AP1434" s="172">
        <v>0</v>
      </c>
      <c r="AQ1434" s="172">
        <v>0</v>
      </c>
      <c r="AR1434" s="172">
        <v>0</v>
      </c>
      <c r="AS1434" s="172">
        <v>0</v>
      </c>
      <c r="AT1434" s="175">
        <v>0</v>
      </c>
      <c r="AU1434" s="172" t="s">
        <v>204</v>
      </c>
      <c r="AV1434" s="172"/>
      <c r="AW1434" s="173" t="s">
        <v>204</v>
      </c>
      <c r="AX1434" s="172">
        <v>0</v>
      </c>
      <c r="AY1434" s="176">
        <v>0</v>
      </c>
      <c r="AZ1434" s="176">
        <v>0</v>
      </c>
      <c r="BA1434" s="173" t="s">
        <v>204</v>
      </c>
      <c r="BB1434" s="172">
        <v>0</v>
      </c>
      <c r="BC1434" s="174"/>
      <c r="BD1434" s="174"/>
      <c r="BE1434" s="207" t="s">
        <v>2940</v>
      </c>
      <c r="BF1434" s="207" t="s">
        <v>2941</v>
      </c>
      <c r="BG1434" s="172">
        <v>0</v>
      </c>
      <c r="BH1434" s="172">
        <v>0</v>
      </c>
      <c r="BI1434" s="172">
        <v>0</v>
      </c>
      <c r="BJ1434" s="172">
        <v>0</v>
      </c>
      <c r="BK1434" s="172">
        <v>0</v>
      </c>
      <c r="BL1434" s="172">
        <v>0</v>
      </c>
      <c r="BM1434" s="178">
        <v>0</v>
      </c>
      <c r="BN1434" s="175">
        <v>0</v>
      </c>
      <c r="BO1434" s="175">
        <v>0</v>
      </c>
      <c r="BP1434" s="175">
        <v>0</v>
      </c>
      <c r="BQ1434" s="175">
        <v>0</v>
      </c>
      <c r="BR1434" s="175">
        <v>0</v>
      </c>
      <c r="BS1434" s="175">
        <v>0</v>
      </c>
      <c r="BT1434" s="19">
        <v>0</v>
      </c>
      <c r="BU1434" s="23">
        <v>0</v>
      </c>
      <c r="BV1434" s="23"/>
      <c r="BW1434" s="23"/>
      <c r="BX1434" s="23"/>
      <c r="BY1434" s="23"/>
      <c r="BZ1434" s="23"/>
    </row>
    <row r="1435" spans="1:78" ht="19.5" customHeight="1">
      <c r="C1435" s="74">
        <v>63303004</v>
      </c>
      <c r="D1435" s="173" t="s">
        <v>3093</v>
      </c>
      <c r="E1435" s="173" t="s">
        <v>3094</v>
      </c>
      <c r="F1435" s="172">
        <v>1</v>
      </c>
      <c r="G1435" s="172">
        <v>63303004</v>
      </c>
      <c r="H1435" s="172">
        <v>0</v>
      </c>
      <c r="I1435" s="174">
        <v>0</v>
      </c>
      <c r="J1435" s="176">
        <v>1</v>
      </c>
      <c r="K1435" s="176">
        <v>0</v>
      </c>
      <c r="L1435" s="172">
        <v>0</v>
      </c>
      <c r="M1435" s="172">
        <v>0</v>
      </c>
      <c r="N1435" s="172">
        <v>0</v>
      </c>
      <c r="O1435" s="172">
        <v>2</v>
      </c>
      <c r="P1435" s="172">
        <v>12</v>
      </c>
      <c r="Q1435" s="172">
        <v>1</v>
      </c>
      <c r="R1435" s="172">
        <v>0</v>
      </c>
      <c r="S1435" s="175">
        <v>0</v>
      </c>
      <c r="T1435" s="172">
        <v>0</v>
      </c>
      <c r="U1435" s="172">
        <v>1</v>
      </c>
      <c r="V1435" s="172">
        <v>2</v>
      </c>
      <c r="W1435" s="172">
        <v>0</v>
      </c>
      <c r="X1435" s="176">
        <v>0</v>
      </c>
      <c r="Y1435" s="19">
        <v>0</v>
      </c>
      <c r="Z1435" s="176">
        <v>0</v>
      </c>
      <c r="AA1435" s="172">
        <v>0</v>
      </c>
      <c r="AB1435" s="172">
        <v>0</v>
      </c>
      <c r="AC1435" s="172">
        <v>0</v>
      </c>
      <c r="AD1435" s="172">
        <v>1</v>
      </c>
      <c r="AE1435" s="172">
        <v>0</v>
      </c>
      <c r="AF1435" s="172">
        <v>60</v>
      </c>
      <c r="AG1435" s="172">
        <v>1</v>
      </c>
      <c r="AH1435" s="172">
        <v>10</v>
      </c>
      <c r="AI1435" s="175">
        <v>0</v>
      </c>
      <c r="AJ1435" s="175">
        <v>0</v>
      </c>
      <c r="AK1435" s="175">
        <v>0</v>
      </c>
      <c r="AL1435" s="175">
        <v>0</v>
      </c>
      <c r="AM1435" s="172">
        <v>0</v>
      </c>
      <c r="AN1435" s="172">
        <v>0</v>
      </c>
      <c r="AO1435" s="172">
        <v>0</v>
      </c>
      <c r="AP1435" s="172">
        <v>0</v>
      </c>
      <c r="AQ1435" s="172">
        <v>50000</v>
      </c>
      <c r="AR1435" s="172">
        <v>0</v>
      </c>
      <c r="AS1435" s="172">
        <v>0</v>
      </c>
      <c r="AT1435" s="175">
        <v>90503009</v>
      </c>
      <c r="AU1435" s="175">
        <v>90503009</v>
      </c>
      <c r="AV1435" s="172"/>
      <c r="AW1435" s="173" t="s">
        <v>204</v>
      </c>
      <c r="AX1435" s="172">
        <v>0</v>
      </c>
      <c r="AY1435" s="176">
        <v>0</v>
      </c>
      <c r="AZ1435" s="176">
        <v>0</v>
      </c>
      <c r="BA1435" s="173" t="s">
        <v>2898</v>
      </c>
      <c r="BB1435" s="172">
        <v>0</v>
      </c>
      <c r="BC1435" s="174">
        <v>0</v>
      </c>
      <c r="BD1435" s="174">
        <v>0</v>
      </c>
      <c r="BE1435" s="207" t="s">
        <v>3067</v>
      </c>
      <c r="BF1435" s="207" t="s">
        <v>3068</v>
      </c>
      <c r="BG1435" s="172">
        <v>0</v>
      </c>
      <c r="BH1435" s="172">
        <v>0</v>
      </c>
      <c r="BI1435" s="172">
        <v>0</v>
      </c>
      <c r="BJ1435" s="172">
        <v>0</v>
      </c>
      <c r="BK1435" s="172">
        <v>0</v>
      </c>
      <c r="BL1435" s="172">
        <v>0</v>
      </c>
      <c r="BM1435" s="178">
        <v>0</v>
      </c>
      <c r="BN1435" s="175">
        <v>1</v>
      </c>
      <c r="BO1435" s="175">
        <v>0</v>
      </c>
      <c r="BP1435" s="175">
        <v>0</v>
      </c>
      <c r="BQ1435" s="175">
        <v>0</v>
      </c>
      <c r="BR1435" s="175">
        <v>0</v>
      </c>
      <c r="BS1435" s="175">
        <v>0</v>
      </c>
      <c r="BT1435" s="19">
        <v>0</v>
      </c>
      <c r="BU1435" s="23">
        <v>0</v>
      </c>
      <c r="BV1435" s="23"/>
      <c r="BW1435" s="23"/>
      <c r="BX1435" s="23"/>
      <c r="BY1435" s="23"/>
      <c r="BZ1435" s="23"/>
    </row>
    <row r="1436" spans="1:78" s="1" customFormat="1" ht="20.100000000000001" customHeight="1">
      <c r="A1436" s="218"/>
      <c r="B1436" s="218"/>
      <c r="C1436" s="74">
        <v>63304001</v>
      </c>
      <c r="D1436" s="71" t="s">
        <v>3095</v>
      </c>
      <c r="E1436" s="160" t="s">
        <v>3096</v>
      </c>
      <c r="F1436" s="90">
        <v>1</v>
      </c>
      <c r="G1436" s="72">
        <v>0</v>
      </c>
      <c r="H1436" s="74">
        <v>0</v>
      </c>
      <c r="I1436" s="75">
        <v>0</v>
      </c>
      <c r="J1436" s="74">
        <v>1</v>
      </c>
      <c r="K1436" s="72">
        <v>0</v>
      </c>
      <c r="L1436" s="74">
        <v>0</v>
      </c>
      <c r="M1436" s="72">
        <v>0</v>
      </c>
      <c r="N1436" s="72">
        <v>0</v>
      </c>
      <c r="O1436" s="72">
        <v>2</v>
      </c>
      <c r="P1436" s="72">
        <v>1</v>
      </c>
      <c r="Q1436" s="72">
        <v>0.3</v>
      </c>
      <c r="R1436" s="72">
        <v>0</v>
      </c>
      <c r="S1436" s="73">
        <v>0</v>
      </c>
      <c r="T1436" s="72">
        <v>0</v>
      </c>
      <c r="U1436" s="72">
        <v>1</v>
      </c>
      <c r="V1436" s="72">
        <v>1</v>
      </c>
      <c r="W1436" s="72">
        <v>0</v>
      </c>
      <c r="X1436" s="72">
        <v>0</v>
      </c>
      <c r="Y1436" s="19">
        <v>0</v>
      </c>
      <c r="Z1436" s="72">
        <v>0</v>
      </c>
      <c r="AA1436" s="72">
        <v>0</v>
      </c>
      <c r="AB1436" s="72">
        <v>0</v>
      </c>
      <c r="AC1436" s="72">
        <v>0</v>
      </c>
      <c r="AD1436" s="72">
        <v>0</v>
      </c>
      <c r="AE1436" s="72">
        <v>0</v>
      </c>
      <c r="AF1436" s="72">
        <v>0</v>
      </c>
      <c r="AG1436" s="72">
        <v>0</v>
      </c>
      <c r="AH1436" s="72">
        <v>0</v>
      </c>
      <c r="AI1436" s="73">
        <v>0</v>
      </c>
      <c r="AJ1436" s="73">
        <v>0</v>
      </c>
      <c r="AK1436" s="73">
        <v>0</v>
      </c>
      <c r="AL1436" s="73">
        <v>1.5</v>
      </c>
      <c r="AM1436" s="72">
        <v>0</v>
      </c>
      <c r="AN1436" s="72">
        <v>0</v>
      </c>
      <c r="AO1436" s="72">
        <v>0</v>
      </c>
      <c r="AP1436" s="74">
        <v>0</v>
      </c>
      <c r="AQ1436" s="72">
        <v>1000</v>
      </c>
      <c r="AR1436" s="72">
        <v>0</v>
      </c>
      <c r="AS1436" s="72">
        <v>0</v>
      </c>
      <c r="AT1436" s="73">
        <v>95201001</v>
      </c>
      <c r="AU1436" s="72">
        <v>0</v>
      </c>
      <c r="AV1436" s="72"/>
      <c r="AW1436" s="71" t="s">
        <v>204</v>
      </c>
      <c r="AX1436" s="72" t="s">
        <v>551</v>
      </c>
      <c r="AY1436" s="74">
        <v>0</v>
      </c>
      <c r="AZ1436" s="74">
        <v>0</v>
      </c>
      <c r="BA1436" s="71" t="s">
        <v>206</v>
      </c>
      <c r="BB1436" s="72">
        <v>0</v>
      </c>
      <c r="BC1436" s="75">
        <v>0</v>
      </c>
      <c r="BD1436" s="75">
        <v>0</v>
      </c>
      <c r="BE1436" s="76" t="s">
        <v>3097</v>
      </c>
      <c r="BF1436" s="76" t="s">
        <v>3098</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20.100000000000001" customHeight="1">
      <c r="A1437" s="218"/>
      <c r="B1437" s="218"/>
      <c r="C1437" s="74">
        <v>63304002</v>
      </c>
      <c r="D1437" s="71" t="s">
        <v>3099</v>
      </c>
      <c r="E1437" s="160" t="s">
        <v>3100</v>
      </c>
      <c r="F1437" s="90">
        <v>1</v>
      </c>
      <c r="G1437" s="72">
        <v>0</v>
      </c>
      <c r="H1437" s="74">
        <v>0</v>
      </c>
      <c r="I1437" s="75">
        <v>0</v>
      </c>
      <c r="J1437" s="74">
        <v>1</v>
      </c>
      <c r="K1437" s="72">
        <v>0</v>
      </c>
      <c r="L1437" s="74">
        <v>0</v>
      </c>
      <c r="M1437" s="72">
        <v>0</v>
      </c>
      <c r="N1437" s="72">
        <v>0</v>
      </c>
      <c r="O1437" s="72">
        <v>2</v>
      </c>
      <c r="P1437" s="72">
        <v>16</v>
      </c>
      <c r="Q1437" s="72">
        <v>5</v>
      </c>
      <c r="R1437" s="72">
        <v>0</v>
      </c>
      <c r="S1437" s="73">
        <v>0</v>
      </c>
      <c r="T1437" s="72">
        <v>0</v>
      </c>
      <c r="U1437" s="72">
        <v>1</v>
      </c>
      <c r="V1437" s="72">
        <v>1</v>
      </c>
      <c r="W1437" s="72">
        <v>0</v>
      </c>
      <c r="X1437" s="72">
        <v>0</v>
      </c>
      <c r="Y1437" s="19">
        <v>0</v>
      </c>
      <c r="Z1437" s="72">
        <v>0</v>
      </c>
      <c r="AA1437" s="72">
        <v>0</v>
      </c>
      <c r="AB1437" s="72">
        <v>0</v>
      </c>
      <c r="AC1437" s="72">
        <v>0</v>
      </c>
      <c r="AD1437" s="72">
        <v>0</v>
      </c>
      <c r="AE1437" s="72">
        <v>0</v>
      </c>
      <c r="AF1437" s="72">
        <v>0</v>
      </c>
      <c r="AG1437" s="72">
        <v>1</v>
      </c>
      <c r="AH1437" s="72">
        <v>1</v>
      </c>
      <c r="AI1437" s="73">
        <v>7</v>
      </c>
      <c r="AJ1437" s="73">
        <v>1</v>
      </c>
      <c r="AK1437" s="73">
        <v>0</v>
      </c>
      <c r="AL1437" s="73">
        <v>1.5</v>
      </c>
      <c r="AM1437" s="72">
        <v>0</v>
      </c>
      <c r="AN1437" s="72">
        <v>0</v>
      </c>
      <c r="AO1437" s="72">
        <v>0</v>
      </c>
      <c r="AP1437" s="74">
        <v>0</v>
      </c>
      <c r="AQ1437" s="72">
        <v>1000</v>
      </c>
      <c r="AR1437" s="72">
        <v>0</v>
      </c>
      <c r="AS1437" s="72">
        <v>0</v>
      </c>
      <c r="AT1437" s="73">
        <v>0</v>
      </c>
      <c r="AU1437" s="72">
        <v>95201002</v>
      </c>
      <c r="AV1437" s="72"/>
      <c r="AW1437" s="71" t="s">
        <v>204</v>
      </c>
      <c r="AX1437" s="72" t="s">
        <v>551</v>
      </c>
      <c r="AY1437" s="74">
        <v>0</v>
      </c>
      <c r="AZ1437" s="74">
        <v>0</v>
      </c>
      <c r="BA1437" s="71" t="s">
        <v>206</v>
      </c>
      <c r="BB1437" s="72">
        <v>0</v>
      </c>
      <c r="BC1437" s="75">
        <v>0</v>
      </c>
      <c r="BD1437" s="75">
        <v>0</v>
      </c>
      <c r="BE1437" s="76" t="s">
        <v>3101</v>
      </c>
      <c r="BF1437" s="76" t="s">
        <v>3102</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63304003</v>
      </c>
      <c r="D1438" s="71" t="s">
        <v>737</v>
      </c>
      <c r="E1438" s="71" t="s">
        <v>680</v>
      </c>
      <c r="F1438" s="74">
        <v>1</v>
      </c>
      <c r="G1438" s="74">
        <v>0</v>
      </c>
      <c r="H1438" s="74">
        <v>0</v>
      </c>
      <c r="I1438" s="75">
        <v>0</v>
      </c>
      <c r="J1438" s="74">
        <v>1</v>
      </c>
      <c r="K1438" s="74">
        <v>0</v>
      </c>
      <c r="L1438" s="74">
        <v>0</v>
      </c>
      <c r="M1438" s="72">
        <v>0</v>
      </c>
      <c r="N1438" s="72">
        <v>0</v>
      </c>
      <c r="O1438" s="72">
        <v>2</v>
      </c>
      <c r="P1438" s="72">
        <v>3</v>
      </c>
      <c r="Q1438" s="72">
        <v>0.3</v>
      </c>
      <c r="R1438" s="72">
        <v>0</v>
      </c>
      <c r="S1438" s="73">
        <v>1</v>
      </c>
      <c r="T1438" s="72">
        <v>0</v>
      </c>
      <c r="U1438" s="72">
        <v>1</v>
      </c>
      <c r="V1438" s="72">
        <v>2</v>
      </c>
      <c r="W1438" s="72">
        <v>0</v>
      </c>
      <c r="X1438" s="72">
        <v>1.2</v>
      </c>
      <c r="Y1438" s="19">
        <v>0</v>
      </c>
      <c r="Z1438" s="72">
        <v>0</v>
      </c>
      <c r="AA1438" s="72">
        <v>1</v>
      </c>
      <c r="AB1438" s="72">
        <v>0</v>
      </c>
      <c r="AC1438" s="72">
        <v>0</v>
      </c>
      <c r="AD1438" s="72">
        <v>1</v>
      </c>
      <c r="AE1438" s="72">
        <v>1</v>
      </c>
      <c r="AF1438" s="72">
        <v>4</v>
      </c>
      <c r="AG1438" s="72">
        <v>1</v>
      </c>
      <c r="AH1438" s="72">
        <v>3</v>
      </c>
      <c r="AI1438" s="73">
        <v>0</v>
      </c>
      <c r="AJ1438" s="73">
        <v>1</v>
      </c>
      <c r="AK1438" s="73">
        <v>0</v>
      </c>
      <c r="AL1438" s="73">
        <v>3</v>
      </c>
      <c r="AM1438" s="72">
        <v>0</v>
      </c>
      <c r="AN1438" s="72">
        <v>0</v>
      </c>
      <c r="AO1438" s="72">
        <v>0</v>
      </c>
      <c r="AP1438" s="72">
        <v>0</v>
      </c>
      <c r="AQ1438" s="72">
        <v>500</v>
      </c>
      <c r="AR1438" s="72">
        <v>0.3</v>
      </c>
      <c r="AS1438" s="72">
        <v>0</v>
      </c>
      <c r="AT1438" s="73">
        <v>0</v>
      </c>
      <c r="AU1438" s="322" t="s">
        <v>3103</v>
      </c>
      <c r="AV1438" s="93"/>
      <c r="AW1438" s="88" t="s">
        <v>204</v>
      </c>
      <c r="AX1438" s="72" t="s">
        <v>540</v>
      </c>
      <c r="AY1438" s="74">
        <v>0</v>
      </c>
      <c r="AZ1438" s="74">
        <v>77005401</v>
      </c>
      <c r="BA1438" s="71" t="s">
        <v>206</v>
      </c>
      <c r="BB1438" s="72">
        <v>0</v>
      </c>
      <c r="BC1438" s="75">
        <v>0</v>
      </c>
      <c r="BD1438" s="75">
        <v>0</v>
      </c>
      <c r="BE1438" s="76" t="s">
        <v>3104</v>
      </c>
      <c r="BF1438" s="76" t="s">
        <v>3105</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19.5" customHeight="1">
      <c r="C1439" s="74">
        <v>63304004</v>
      </c>
      <c r="D1439" s="71" t="s">
        <v>3106</v>
      </c>
      <c r="E1439" s="71" t="s">
        <v>3107</v>
      </c>
      <c r="F1439" s="74">
        <v>1</v>
      </c>
      <c r="G1439" s="74">
        <v>0</v>
      </c>
      <c r="H1439" s="74">
        <v>0</v>
      </c>
      <c r="I1439" s="75">
        <v>0</v>
      </c>
      <c r="J1439" s="74">
        <v>1</v>
      </c>
      <c r="K1439" s="74">
        <v>0</v>
      </c>
      <c r="L1439" s="74">
        <v>0</v>
      </c>
      <c r="M1439" s="72">
        <v>0</v>
      </c>
      <c r="N1439" s="72">
        <v>0</v>
      </c>
      <c r="O1439" s="72">
        <v>2</v>
      </c>
      <c r="P1439" s="72">
        <v>3</v>
      </c>
      <c r="Q1439" s="72">
        <v>1</v>
      </c>
      <c r="R1439" s="72">
        <v>1</v>
      </c>
      <c r="S1439" s="73">
        <v>1</v>
      </c>
      <c r="T1439" s="72">
        <v>0</v>
      </c>
      <c r="U1439" s="72">
        <v>1</v>
      </c>
      <c r="V1439" s="72">
        <v>2</v>
      </c>
      <c r="W1439" s="72">
        <v>0</v>
      </c>
      <c r="X1439" s="72">
        <v>0</v>
      </c>
      <c r="Y1439" s="19">
        <v>0</v>
      </c>
      <c r="Z1439" s="72">
        <v>0</v>
      </c>
      <c r="AA1439" s="72">
        <v>1</v>
      </c>
      <c r="AB1439" s="72">
        <v>0</v>
      </c>
      <c r="AC1439" s="72">
        <v>0</v>
      </c>
      <c r="AD1439" s="72">
        <v>1</v>
      </c>
      <c r="AE1439" s="72">
        <v>1</v>
      </c>
      <c r="AF1439" s="72">
        <v>0</v>
      </c>
      <c r="AG1439" s="72">
        <v>1</v>
      </c>
      <c r="AH1439" s="72">
        <v>3</v>
      </c>
      <c r="AI1439" s="73">
        <v>0</v>
      </c>
      <c r="AJ1439" s="73">
        <v>1</v>
      </c>
      <c r="AK1439" s="73">
        <v>0</v>
      </c>
      <c r="AL1439" s="73">
        <v>3</v>
      </c>
      <c r="AM1439" s="72">
        <v>0</v>
      </c>
      <c r="AN1439" s="72">
        <v>0</v>
      </c>
      <c r="AO1439" s="72">
        <v>0</v>
      </c>
      <c r="AP1439" s="72">
        <v>0</v>
      </c>
      <c r="AQ1439" s="72">
        <v>500</v>
      </c>
      <c r="AR1439" s="72">
        <v>0</v>
      </c>
      <c r="AS1439" s="72">
        <v>0</v>
      </c>
      <c r="AT1439" s="73">
        <v>95201004</v>
      </c>
      <c r="AU1439" s="93">
        <v>0</v>
      </c>
      <c r="AV1439" s="93"/>
      <c r="AW1439" s="88" t="s">
        <v>204</v>
      </c>
      <c r="AX1439" s="72" t="s">
        <v>540</v>
      </c>
      <c r="AY1439" s="74">
        <v>0</v>
      </c>
      <c r="AZ1439" s="74">
        <v>0</v>
      </c>
      <c r="BA1439" s="71" t="s">
        <v>206</v>
      </c>
      <c r="BB1439" s="72">
        <v>0</v>
      </c>
      <c r="BC1439" s="75">
        <v>0</v>
      </c>
      <c r="BD1439" s="75">
        <v>0</v>
      </c>
      <c r="BE1439" s="76" t="s">
        <v>3108</v>
      </c>
      <c r="BF1439" s="76" t="s">
        <v>3109</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s="1" customFormat="1" ht="19.5" customHeight="1">
      <c r="C1440" s="74">
        <v>63304005</v>
      </c>
      <c r="D1440" s="71" t="s">
        <v>3110</v>
      </c>
      <c r="E1440" s="71" t="s">
        <v>3111</v>
      </c>
      <c r="F1440" s="74">
        <v>1</v>
      </c>
      <c r="G1440" s="74">
        <v>0</v>
      </c>
      <c r="H1440" s="74">
        <v>0</v>
      </c>
      <c r="I1440" s="75">
        <v>0</v>
      </c>
      <c r="J1440" s="74">
        <v>1</v>
      </c>
      <c r="K1440" s="74">
        <v>0</v>
      </c>
      <c r="L1440" s="74">
        <v>0</v>
      </c>
      <c r="M1440" s="72">
        <v>0</v>
      </c>
      <c r="N1440" s="72">
        <v>0</v>
      </c>
      <c r="O1440" s="72">
        <v>2</v>
      </c>
      <c r="P1440" s="72">
        <v>3</v>
      </c>
      <c r="Q1440" s="72">
        <v>1</v>
      </c>
      <c r="R1440" s="72">
        <v>1</v>
      </c>
      <c r="S1440" s="73">
        <v>1</v>
      </c>
      <c r="T1440" s="72">
        <v>0</v>
      </c>
      <c r="U1440" s="72">
        <v>1</v>
      </c>
      <c r="V1440" s="72">
        <v>2</v>
      </c>
      <c r="W1440" s="72">
        <v>0</v>
      </c>
      <c r="X1440" s="72">
        <v>0</v>
      </c>
      <c r="Y1440" s="19">
        <v>0</v>
      </c>
      <c r="Z1440" s="72">
        <v>0</v>
      </c>
      <c r="AA1440" s="72">
        <v>1</v>
      </c>
      <c r="AB1440" s="72">
        <v>0</v>
      </c>
      <c r="AC1440" s="72">
        <v>0</v>
      </c>
      <c r="AD1440" s="72">
        <v>1</v>
      </c>
      <c r="AE1440" s="72">
        <v>1</v>
      </c>
      <c r="AF1440" s="72">
        <v>0</v>
      </c>
      <c r="AG1440" s="72">
        <v>1</v>
      </c>
      <c r="AH1440" s="72">
        <v>3</v>
      </c>
      <c r="AI1440" s="73">
        <v>0</v>
      </c>
      <c r="AJ1440" s="73">
        <v>1</v>
      </c>
      <c r="AK1440" s="73">
        <v>0</v>
      </c>
      <c r="AL1440" s="73">
        <v>3</v>
      </c>
      <c r="AM1440" s="72">
        <v>0</v>
      </c>
      <c r="AN1440" s="72">
        <v>0</v>
      </c>
      <c r="AO1440" s="72">
        <v>0</v>
      </c>
      <c r="AP1440" s="72">
        <v>0</v>
      </c>
      <c r="AQ1440" s="72">
        <v>500</v>
      </c>
      <c r="AR1440" s="72">
        <v>0</v>
      </c>
      <c r="AS1440" s="72">
        <v>0</v>
      </c>
      <c r="AT1440" s="73">
        <v>95201005</v>
      </c>
      <c r="AU1440" s="93">
        <v>0</v>
      </c>
      <c r="AV1440" s="93"/>
      <c r="AW1440" s="88" t="s">
        <v>204</v>
      </c>
      <c r="AX1440" s="72" t="s">
        <v>540</v>
      </c>
      <c r="AY1440" s="74">
        <v>0</v>
      </c>
      <c r="AZ1440" s="74">
        <v>0</v>
      </c>
      <c r="BA1440" s="71" t="s">
        <v>206</v>
      </c>
      <c r="BB1440" s="72">
        <v>0</v>
      </c>
      <c r="BC1440" s="75">
        <v>0</v>
      </c>
      <c r="BD1440" s="75">
        <v>0</v>
      </c>
      <c r="BE1440" s="76" t="s">
        <v>3112</v>
      </c>
      <c r="BF1440" s="76" t="s">
        <v>3113</v>
      </c>
      <c r="BG1440" s="72">
        <v>0</v>
      </c>
      <c r="BH1440" s="72">
        <v>0</v>
      </c>
      <c r="BI1440" s="72">
        <v>0</v>
      </c>
      <c r="BJ1440" s="72">
        <v>0</v>
      </c>
      <c r="BK1440" s="72">
        <v>0</v>
      </c>
      <c r="BL1440" s="72">
        <v>0</v>
      </c>
      <c r="BM1440" s="90">
        <v>0</v>
      </c>
      <c r="BN1440" s="73">
        <v>0</v>
      </c>
      <c r="BO1440" s="73">
        <v>0</v>
      </c>
      <c r="BP1440" s="73">
        <v>0</v>
      </c>
      <c r="BQ1440" s="73">
        <v>0</v>
      </c>
      <c r="BR1440" s="73">
        <v>0</v>
      </c>
      <c r="BS1440" s="73">
        <v>0</v>
      </c>
      <c r="BT1440" s="73">
        <v>0</v>
      </c>
      <c r="BU1440" s="73">
        <v>0</v>
      </c>
      <c r="BV1440" s="23"/>
      <c r="BW1440" s="23"/>
      <c r="BX1440" s="23"/>
      <c r="BY1440" s="23"/>
      <c r="BZ1440" s="23"/>
    </row>
    <row r="1441" spans="1:78" s="1" customFormat="1" ht="20.100000000000001" customHeight="1">
      <c r="A1441" s="218"/>
      <c r="B1441" s="218"/>
      <c r="C1441" s="74">
        <v>63304006</v>
      </c>
      <c r="D1441" s="71" t="s">
        <v>3114</v>
      </c>
      <c r="E1441" s="160" t="s">
        <v>3115</v>
      </c>
      <c r="F1441" s="90">
        <v>1</v>
      </c>
      <c r="G1441" s="72">
        <v>0</v>
      </c>
      <c r="H1441" s="74">
        <v>0</v>
      </c>
      <c r="I1441" s="75">
        <v>0</v>
      </c>
      <c r="J1441" s="74">
        <v>1</v>
      </c>
      <c r="K1441" s="72">
        <v>0</v>
      </c>
      <c r="L1441" s="74">
        <v>0</v>
      </c>
      <c r="M1441" s="72">
        <v>0</v>
      </c>
      <c r="N1441" s="72">
        <v>0</v>
      </c>
      <c r="O1441" s="72">
        <v>2</v>
      </c>
      <c r="P1441" s="72">
        <v>1</v>
      </c>
      <c r="Q1441" s="72">
        <v>1</v>
      </c>
      <c r="R1441" s="72">
        <v>0</v>
      </c>
      <c r="S1441" s="73">
        <v>0</v>
      </c>
      <c r="T1441" s="72">
        <v>0</v>
      </c>
      <c r="U1441" s="72">
        <v>1</v>
      </c>
      <c r="V1441" s="72">
        <v>1</v>
      </c>
      <c r="W1441" s="72">
        <v>0</v>
      </c>
      <c r="X1441" s="72">
        <v>0</v>
      </c>
      <c r="Y1441" s="19">
        <v>0</v>
      </c>
      <c r="Z1441" s="72">
        <v>0</v>
      </c>
      <c r="AA1441" s="72">
        <v>0</v>
      </c>
      <c r="AB1441" s="72">
        <v>0</v>
      </c>
      <c r="AC1441" s="72">
        <v>0</v>
      </c>
      <c r="AD1441" s="72">
        <v>0</v>
      </c>
      <c r="AE1441" s="72">
        <v>0</v>
      </c>
      <c r="AF1441" s="72">
        <v>0</v>
      </c>
      <c r="AG1441" s="72">
        <v>1</v>
      </c>
      <c r="AH1441" s="72">
        <v>1</v>
      </c>
      <c r="AI1441" s="73">
        <v>0</v>
      </c>
      <c r="AJ1441" s="73">
        <v>1</v>
      </c>
      <c r="AK1441" s="73">
        <v>0</v>
      </c>
      <c r="AL1441" s="73">
        <v>1.5</v>
      </c>
      <c r="AM1441" s="72">
        <v>0</v>
      </c>
      <c r="AN1441" s="72">
        <v>0</v>
      </c>
      <c r="AO1441" s="72">
        <v>0</v>
      </c>
      <c r="AP1441" s="74">
        <v>0</v>
      </c>
      <c r="AQ1441" s="72">
        <v>500</v>
      </c>
      <c r="AR1441" s="72">
        <v>0</v>
      </c>
      <c r="AS1441" s="72">
        <v>0</v>
      </c>
      <c r="AT1441" s="330" t="s">
        <v>3116</v>
      </c>
      <c r="AU1441" s="72">
        <v>0</v>
      </c>
      <c r="AV1441" s="72"/>
      <c r="AW1441" s="71" t="s">
        <v>204</v>
      </c>
      <c r="AX1441" s="72" t="s">
        <v>551</v>
      </c>
      <c r="AY1441" s="74">
        <v>0</v>
      </c>
      <c r="AZ1441" s="74">
        <v>0</v>
      </c>
      <c r="BA1441" s="71" t="s">
        <v>206</v>
      </c>
      <c r="BB1441" s="72">
        <v>0</v>
      </c>
      <c r="BC1441" s="75">
        <v>0</v>
      </c>
      <c r="BD1441" s="75">
        <v>0</v>
      </c>
      <c r="BE1441" s="76" t="s">
        <v>3101</v>
      </c>
      <c r="BF1441" s="76" t="s">
        <v>3102</v>
      </c>
      <c r="BG1441" s="72">
        <v>0</v>
      </c>
      <c r="BH1441" s="72">
        <v>0</v>
      </c>
      <c r="BI1441" s="72">
        <v>0</v>
      </c>
      <c r="BJ1441" s="72">
        <v>0</v>
      </c>
      <c r="BK1441" s="72">
        <v>0</v>
      </c>
      <c r="BL1441" s="72">
        <v>0</v>
      </c>
      <c r="BM1441" s="90">
        <v>0</v>
      </c>
      <c r="BN1441" s="73">
        <v>0</v>
      </c>
      <c r="BO1441" s="73">
        <v>0</v>
      </c>
      <c r="BP1441" s="73">
        <v>0</v>
      </c>
      <c r="BQ1441" s="73">
        <v>0</v>
      </c>
      <c r="BR1441" s="73">
        <v>0</v>
      </c>
      <c r="BS1441" s="73">
        <v>0</v>
      </c>
      <c r="BT1441" s="73">
        <v>0</v>
      </c>
      <c r="BU1441" s="73">
        <v>0</v>
      </c>
      <c r="BV1441" s="23"/>
      <c r="BW1441" s="23"/>
      <c r="BX1441" s="23"/>
      <c r="BY1441" s="23"/>
      <c r="BZ1441" s="23"/>
    </row>
    <row r="1442" spans="1:78" ht="20.100000000000001" customHeight="1">
      <c r="C1442" s="21">
        <v>63401001</v>
      </c>
      <c r="D1442" s="30" t="s">
        <v>3117</v>
      </c>
      <c r="E1442" s="30"/>
      <c r="F1442" s="21">
        <v>1</v>
      </c>
      <c r="G1442" s="21">
        <v>63401001</v>
      </c>
      <c r="H1442" s="21">
        <v>0</v>
      </c>
      <c r="I1442" s="31">
        <v>0</v>
      </c>
      <c r="J1442" s="32">
        <v>1</v>
      </c>
      <c r="K1442" s="32">
        <v>0</v>
      </c>
      <c r="L1442" s="21">
        <v>0</v>
      </c>
      <c r="M1442" s="21">
        <v>0</v>
      </c>
      <c r="N1442" s="21">
        <v>0</v>
      </c>
      <c r="O1442" s="21">
        <v>2</v>
      </c>
      <c r="P1442" s="21">
        <v>12</v>
      </c>
      <c r="Q1442" s="21">
        <v>1</v>
      </c>
      <c r="R1442" s="21">
        <v>0</v>
      </c>
      <c r="S1442" s="19">
        <v>0</v>
      </c>
      <c r="T1442" s="21">
        <v>0</v>
      </c>
      <c r="U1442" s="21">
        <v>1</v>
      </c>
      <c r="V1442" s="21">
        <v>2</v>
      </c>
      <c r="W1442" s="21">
        <v>0</v>
      </c>
      <c r="X1442" s="32">
        <v>0</v>
      </c>
      <c r="Y1442" s="19">
        <v>0</v>
      </c>
      <c r="Z1442" s="32">
        <v>0</v>
      </c>
      <c r="AA1442" s="21">
        <v>0</v>
      </c>
      <c r="AB1442" s="21">
        <v>0</v>
      </c>
      <c r="AC1442" s="21">
        <v>0</v>
      </c>
      <c r="AD1442" s="21">
        <v>1</v>
      </c>
      <c r="AE1442" s="21">
        <v>0</v>
      </c>
      <c r="AF1442" s="21">
        <v>60</v>
      </c>
      <c r="AG1442" s="21">
        <v>1</v>
      </c>
      <c r="AH1442" s="21">
        <v>10</v>
      </c>
      <c r="AI1442" s="19">
        <v>0</v>
      </c>
      <c r="AJ1442" s="19">
        <v>0</v>
      </c>
      <c r="AK1442" s="19">
        <v>0</v>
      </c>
      <c r="AL1442" s="19">
        <v>0</v>
      </c>
      <c r="AM1442" s="21">
        <v>0</v>
      </c>
      <c r="AN1442" s="21">
        <v>0</v>
      </c>
      <c r="AO1442" s="21">
        <v>0</v>
      </c>
      <c r="AP1442" s="21">
        <v>0</v>
      </c>
      <c r="AQ1442" s="21">
        <v>50000</v>
      </c>
      <c r="AR1442" s="21">
        <v>0</v>
      </c>
      <c r="AS1442" s="21">
        <v>0</v>
      </c>
      <c r="AT1442" s="19">
        <v>0</v>
      </c>
      <c r="AU1442" s="337" t="s">
        <v>3118</v>
      </c>
      <c r="AV1442" s="21"/>
      <c r="AW1442" s="30" t="s">
        <v>204</v>
      </c>
      <c r="AX1442" s="21">
        <v>0</v>
      </c>
      <c r="AY1442" s="32">
        <v>0</v>
      </c>
      <c r="AZ1442" s="32">
        <v>0</v>
      </c>
      <c r="BA1442" s="30" t="s">
        <v>2898</v>
      </c>
      <c r="BB1442" s="21">
        <v>0</v>
      </c>
      <c r="BC1442" s="31">
        <v>0</v>
      </c>
      <c r="BD1442" s="31">
        <v>0</v>
      </c>
      <c r="BE1442" s="33" t="s">
        <v>3119</v>
      </c>
      <c r="BF1442" s="33"/>
      <c r="BG1442" s="21">
        <v>0</v>
      </c>
      <c r="BH1442" s="21">
        <v>0</v>
      </c>
      <c r="BI1442" s="21">
        <v>0</v>
      </c>
      <c r="BJ1442" s="21">
        <v>0</v>
      </c>
      <c r="BK1442" s="21">
        <v>0</v>
      </c>
      <c r="BL1442" s="21">
        <v>0</v>
      </c>
      <c r="BM1442" s="25">
        <v>0</v>
      </c>
      <c r="BN1442" s="19">
        <v>1</v>
      </c>
      <c r="BO1442" s="19">
        <v>0</v>
      </c>
      <c r="BP1442" s="19">
        <v>0</v>
      </c>
      <c r="BQ1442" s="19">
        <v>0</v>
      </c>
      <c r="BR1442" s="19">
        <v>0</v>
      </c>
      <c r="BS1442" s="19">
        <v>0</v>
      </c>
      <c r="BT1442" s="19">
        <v>0</v>
      </c>
      <c r="BU1442" s="23">
        <v>0</v>
      </c>
      <c r="BV1442" s="23"/>
      <c r="BW1442" s="23"/>
      <c r="BX1442" s="23"/>
      <c r="BY1442" s="23"/>
      <c r="BZ1442" s="23"/>
    </row>
    <row r="1443" spans="1:78" ht="20.100000000000001" customHeight="1">
      <c r="C1443" s="21">
        <v>63401002</v>
      </c>
      <c r="D1443" s="30" t="s">
        <v>2942</v>
      </c>
      <c r="E1443" s="30"/>
      <c r="F1443" s="21">
        <v>1</v>
      </c>
      <c r="G1443" s="21">
        <v>1000002</v>
      </c>
      <c r="H1443" s="21">
        <v>0</v>
      </c>
      <c r="I1443" s="31">
        <v>0</v>
      </c>
      <c r="J1443" s="32">
        <v>1</v>
      </c>
      <c r="K1443" s="32">
        <v>0</v>
      </c>
      <c r="L1443" s="21">
        <v>0</v>
      </c>
      <c r="M1443" s="21">
        <v>0</v>
      </c>
      <c r="N1443" s="21">
        <v>0</v>
      </c>
      <c r="O1443" s="21">
        <v>8</v>
      </c>
      <c r="P1443" s="21">
        <v>8</v>
      </c>
      <c r="Q1443" s="21">
        <v>2</v>
      </c>
      <c r="R1443" s="21">
        <v>0</v>
      </c>
      <c r="S1443" s="19">
        <v>0</v>
      </c>
      <c r="T1443" s="21">
        <v>0</v>
      </c>
      <c r="U1443" s="21">
        <v>1</v>
      </c>
      <c r="V1443" s="21">
        <v>0</v>
      </c>
      <c r="W1443" s="21">
        <v>0</v>
      </c>
      <c r="X1443" s="32">
        <v>0</v>
      </c>
      <c r="Y1443" s="19">
        <v>0</v>
      </c>
      <c r="Z1443" s="32">
        <v>0</v>
      </c>
      <c r="AA1443" s="21">
        <v>0</v>
      </c>
      <c r="AB1443" s="21">
        <v>0</v>
      </c>
      <c r="AC1443" s="21">
        <v>0</v>
      </c>
      <c r="AD1443" s="21">
        <v>1</v>
      </c>
      <c r="AE1443" s="21">
        <v>0</v>
      </c>
      <c r="AF1443" s="21">
        <v>0</v>
      </c>
      <c r="AG1443" s="21">
        <v>0</v>
      </c>
      <c r="AH1443" s="21" t="s">
        <v>204</v>
      </c>
      <c r="AI1443" s="19">
        <v>0</v>
      </c>
      <c r="AJ1443" s="19">
        <v>0</v>
      </c>
      <c r="AK1443" s="19">
        <v>0</v>
      </c>
      <c r="AL1443" s="19">
        <v>0</v>
      </c>
      <c r="AM1443" s="21">
        <v>0</v>
      </c>
      <c r="AN1443" s="21">
        <v>0</v>
      </c>
      <c r="AO1443" s="21">
        <v>0</v>
      </c>
      <c r="AP1443" s="21">
        <v>0</v>
      </c>
      <c r="AQ1443" s="21">
        <v>0</v>
      </c>
      <c r="AR1443" s="21">
        <v>0</v>
      </c>
      <c r="AS1443" s="21">
        <v>0</v>
      </c>
      <c r="AT1443" s="19">
        <v>0</v>
      </c>
      <c r="AU1443" s="21" t="s">
        <v>204</v>
      </c>
      <c r="AV1443" s="21"/>
      <c r="AW1443" s="30" t="s">
        <v>204</v>
      </c>
      <c r="AX1443" s="21">
        <v>0</v>
      </c>
      <c r="AY1443" s="32">
        <v>0</v>
      </c>
      <c r="AZ1443" s="32">
        <v>0</v>
      </c>
      <c r="BA1443" s="30" t="s">
        <v>204</v>
      </c>
      <c r="BB1443" s="21" t="s">
        <v>2943</v>
      </c>
      <c r="BC1443" s="31">
        <v>0</v>
      </c>
      <c r="BD1443" s="31">
        <v>0</v>
      </c>
      <c r="BE1443" s="33" t="s">
        <v>2944</v>
      </c>
      <c r="BF1443" s="33"/>
      <c r="BG1443" s="21">
        <v>0</v>
      </c>
      <c r="BH1443" s="21">
        <v>0</v>
      </c>
      <c r="BI1443" s="21">
        <v>0</v>
      </c>
      <c r="BJ1443" s="21">
        <v>0</v>
      </c>
      <c r="BK1443" s="21">
        <v>0</v>
      </c>
      <c r="BL1443" s="21">
        <v>0</v>
      </c>
      <c r="BM1443" s="25">
        <v>0</v>
      </c>
      <c r="BN1443" s="19">
        <v>0</v>
      </c>
      <c r="BO1443" s="19">
        <v>0</v>
      </c>
      <c r="BP1443" s="19">
        <v>0</v>
      </c>
      <c r="BQ1443" s="19">
        <v>0</v>
      </c>
      <c r="BR1443" s="19">
        <v>0</v>
      </c>
      <c r="BS1443" s="19">
        <v>0</v>
      </c>
      <c r="BT1443" s="19">
        <v>0</v>
      </c>
      <c r="BU1443" s="23">
        <v>0</v>
      </c>
      <c r="BV1443" s="23"/>
      <c r="BW1443" s="23"/>
      <c r="BX1443" s="23"/>
      <c r="BY1443" s="23"/>
      <c r="BZ1443" s="23"/>
    </row>
    <row r="1444" spans="1:78" ht="20.100000000000001" customHeight="1">
      <c r="C1444" s="21">
        <v>63401003</v>
      </c>
      <c r="D1444" s="30" t="s">
        <v>2938</v>
      </c>
      <c r="E1444" s="30"/>
      <c r="F1444" s="21">
        <v>1</v>
      </c>
      <c r="G1444" s="21">
        <v>63003002</v>
      </c>
      <c r="H1444" s="21">
        <v>0</v>
      </c>
      <c r="I1444" s="31">
        <v>0</v>
      </c>
      <c r="J1444" s="32">
        <v>1</v>
      </c>
      <c r="K1444" s="32">
        <v>0</v>
      </c>
      <c r="L1444" s="21">
        <v>0</v>
      </c>
      <c r="M1444" s="21">
        <v>0</v>
      </c>
      <c r="N1444" s="21">
        <v>0</v>
      </c>
      <c r="O1444" s="21">
        <v>2</v>
      </c>
      <c r="P1444" s="21">
        <v>0</v>
      </c>
      <c r="Q1444" s="21">
        <v>0</v>
      </c>
      <c r="R1444" s="21">
        <v>0</v>
      </c>
      <c r="S1444" s="19">
        <v>0</v>
      </c>
      <c r="T1444" s="21">
        <v>0</v>
      </c>
      <c r="U1444" s="21">
        <v>1</v>
      </c>
      <c r="V1444" s="21">
        <v>0</v>
      </c>
      <c r="W1444" s="21">
        <v>0</v>
      </c>
      <c r="X1444" s="32">
        <v>0</v>
      </c>
      <c r="Y1444" s="19">
        <v>0</v>
      </c>
      <c r="Z1444" s="32">
        <v>0</v>
      </c>
      <c r="AA1444" s="21">
        <v>0</v>
      </c>
      <c r="AB1444" s="21">
        <v>0</v>
      </c>
      <c r="AC1444" s="21">
        <v>0</v>
      </c>
      <c r="AD1444" s="21">
        <v>1</v>
      </c>
      <c r="AE1444" s="21">
        <v>0</v>
      </c>
      <c r="AF1444" s="21">
        <v>0</v>
      </c>
      <c r="AG1444" s="21">
        <v>0</v>
      </c>
      <c r="AH1444" s="21" t="s">
        <v>204</v>
      </c>
      <c r="AI1444" s="19">
        <v>0</v>
      </c>
      <c r="AJ1444" s="19">
        <v>0</v>
      </c>
      <c r="AK1444" s="19">
        <v>0</v>
      </c>
      <c r="AL1444" s="19">
        <v>0</v>
      </c>
      <c r="AM1444" s="21">
        <v>0</v>
      </c>
      <c r="AN1444" s="21">
        <v>0</v>
      </c>
      <c r="AO1444" s="21">
        <v>0</v>
      </c>
      <c r="AP1444" s="21">
        <v>0</v>
      </c>
      <c r="AQ1444" s="21">
        <v>0</v>
      </c>
      <c r="AR1444" s="21">
        <v>0</v>
      </c>
      <c r="AS1444" s="21">
        <v>0</v>
      </c>
      <c r="AT1444" s="19">
        <v>0</v>
      </c>
      <c r="AU1444" s="21" t="s">
        <v>204</v>
      </c>
      <c r="AV1444" s="21"/>
      <c r="AW1444" s="30" t="s">
        <v>204</v>
      </c>
      <c r="AX1444" s="21">
        <v>0</v>
      </c>
      <c r="AY1444" s="32">
        <v>0</v>
      </c>
      <c r="AZ1444" s="32">
        <v>0</v>
      </c>
      <c r="BA1444" s="30" t="s">
        <v>204</v>
      </c>
      <c r="BB1444" s="21">
        <v>0</v>
      </c>
      <c r="BC1444" s="31">
        <v>0</v>
      </c>
      <c r="BD1444" s="31">
        <v>0</v>
      </c>
      <c r="BE1444" s="33" t="s">
        <v>2940</v>
      </c>
      <c r="BF1444" s="33"/>
      <c r="BG1444" s="21">
        <v>0</v>
      </c>
      <c r="BH1444" s="21">
        <v>0</v>
      </c>
      <c r="BI1444" s="21">
        <v>0</v>
      </c>
      <c r="BJ1444" s="21">
        <v>0</v>
      </c>
      <c r="BK1444" s="21">
        <v>0</v>
      </c>
      <c r="BL1444" s="21">
        <v>0</v>
      </c>
      <c r="BM1444" s="25">
        <v>0</v>
      </c>
      <c r="BN1444" s="19">
        <v>0</v>
      </c>
      <c r="BO1444" s="19">
        <v>0</v>
      </c>
      <c r="BP1444" s="19">
        <v>0</v>
      </c>
      <c r="BQ1444" s="19">
        <v>0</v>
      </c>
      <c r="BR1444" s="19">
        <v>0</v>
      </c>
      <c r="BS1444" s="19">
        <v>0</v>
      </c>
      <c r="BT1444" s="19">
        <v>0</v>
      </c>
      <c r="BU1444" s="23">
        <v>0</v>
      </c>
      <c r="BV1444" s="23"/>
      <c r="BW1444" s="23"/>
      <c r="BX1444" s="23"/>
      <c r="BY1444" s="23"/>
      <c r="BZ1444" s="23"/>
    </row>
    <row r="1445" spans="1:78" ht="20.100000000000001" customHeight="1">
      <c r="C1445" s="21">
        <v>63401004</v>
      </c>
      <c r="D1445" s="179" t="s">
        <v>2910</v>
      </c>
      <c r="E1445" s="179"/>
      <c r="F1445" s="180">
        <v>1</v>
      </c>
      <c r="G1445" s="21">
        <v>63401004</v>
      </c>
      <c r="H1445" s="180">
        <v>0</v>
      </c>
      <c r="I1445" s="180">
        <v>0</v>
      </c>
      <c r="J1445" s="32">
        <v>1</v>
      </c>
      <c r="K1445" s="32">
        <v>0</v>
      </c>
      <c r="L1445" s="21">
        <v>0</v>
      </c>
      <c r="M1445" s="180">
        <v>0</v>
      </c>
      <c r="N1445" s="180">
        <v>0</v>
      </c>
      <c r="O1445" s="180">
        <v>2</v>
      </c>
      <c r="P1445" s="180">
        <v>21</v>
      </c>
      <c r="Q1445" s="180">
        <v>0.05</v>
      </c>
      <c r="R1445" s="180">
        <v>0</v>
      </c>
      <c r="S1445" s="19">
        <v>0</v>
      </c>
      <c r="T1445" s="180">
        <v>0</v>
      </c>
      <c r="U1445" s="180">
        <v>1</v>
      </c>
      <c r="V1445" s="180">
        <v>2</v>
      </c>
      <c r="W1445" s="180">
        <v>0</v>
      </c>
      <c r="X1445" s="180">
        <v>0</v>
      </c>
      <c r="Y1445" s="19">
        <v>0</v>
      </c>
      <c r="Z1445" s="180">
        <v>0</v>
      </c>
      <c r="AA1445" s="180">
        <v>0</v>
      </c>
      <c r="AB1445" s="180">
        <v>0</v>
      </c>
      <c r="AC1445" s="180">
        <v>0</v>
      </c>
      <c r="AD1445" s="21">
        <v>1</v>
      </c>
      <c r="AE1445" s="180">
        <v>0</v>
      </c>
      <c r="AF1445" s="180">
        <v>15</v>
      </c>
      <c r="AG1445" s="180">
        <v>1</v>
      </c>
      <c r="AH1445" s="180">
        <v>1</v>
      </c>
      <c r="AI1445" s="180">
        <v>7</v>
      </c>
      <c r="AJ1445" s="180">
        <v>0</v>
      </c>
      <c r="AK1445" s="19">
        <v>0</v>
      </c>
      <c r="AL1445" s="180">
        <v>2</v>
      </c>
      <c r="AM1445" s="180">
        <v>0</v>
      </c>
      <c r="AN1445" s="180">
        <v>0</v>
      </c>
      <c r="AO1445" s="180">
        <v>0</v>
      </c>
      <c r="AP1445" s="21">
        <v>0</v>
      </c>
      <c r="AQ1445" s="180">
        <v>10000</v>
      </c>
      <c r="AR1445" s="180">
        <v>0.5</v>
      </c>
      <c r="AS1445" s="180">
        <v>0</v>
      </c>
      <c r="AT1445" s="180">
        <v>0</v>
      </c>
      <c r="AU1445" s="180">
        <v>92041060</v>
      </c>
      <c r="AV1445" s="180"/>
      <c r="AW1445" s="179"/>
      <c r="AX1445" s="180">
        <v>0</v>
      </c>
      <c r="AY1445" s="180">
        <v>0</v>
      </c>
      <c r="AZ1445" s="180">
        <v>0</v>
      </c>
      <c r="BA1445" s="179" t="s">
        <v>206</v>
      </c>
      <c r="BB1445" s="179" t="s">
        <v>204</v>
      </c>
      <c r="BC1445" s="180">
        <v>0</v>
      </c>
      <c r="BD1445" s="180">
        <v>0</v>
      </c>
      <c r="BE1445" s="181" t="s">
        <v>3120</v>
      </c>
      <c r="BF1445" s="181"/>
      <c r="BG1445" s="180">
        <v>0</v>
      </c>
      <c r="BH1445" s="21">
        <v>0</v>
      </c>
      <c r="BI1445" s="180">
        <v>0</v>
      </c>
      <c r="BJ1445" s="180">
        <v>0</v>
      </c>
      <c r="BK1445" s="180">
        <v>0</v>
      </c>
      <c r="BL1445" s="180">
        <v>0</v>
      </c>
      <c r="BM1445" s="248">
        <v>0</v>
      </c>
      <c r="BN1445" s="19">
        <v>0</v>
      </c>
      <c r="BO1445" s="19">
        <v>0</v>
      </c>
      <c r="BP1445" s="19">
        <v>0</v>
      </c>
      <c r="BQ1445" s="19">
        <v>0</v>
      </c>
      <c r="BR1445" s="19">
        <v>0</v>
      </c>
      <c r="BS1445" s="19">
        <v>0</v>
      </c>
      <c r="BT1445" s="19">
        <v>0</v>
      </c>
      <c r="BU1445" s="249">
        <v>0</v>
      </c>
      <c r="BV1445" s="249"/>
      <c r="BW1445" s="249"/>
      <c r="BX1445" s="249"/>
      <c r="BY1445" s="249"/>
      <c r="BZ1445" s="23"/>
    </row>
    <row r="1446" spans="1:78" ht="20.100000000000001" customHeight="1">
      <c r="C1446" s="21">
        <v>63402001</v>
      </c>
      <c r="D1446" s="30" t="s">
        <v>2971</v>
      </c>
      <c r="E1446" s="30"/>
      <c r="F1446" s="21">
        <v>1</v>
      </c>
      <c r="G1446" s="21">
        <v>63402001</v>
      </c>
      <c r="H1446" s="21">
        <v>0</v>
      </c>
      <c r="I1446" s="31">
        <v>0</v>
      </c>
      <c r="J1446" s="32">
        <v>1</v>
      </c>
      <c r="K1446" s="32">
        <v>0</v>
      </c>
      <c r="L1446" s="21">
        <v>0</v>
      </c>
      <c r="M1446" s="21">
        <v>0</v>
      </c>
      <c r="N1446" s="21">
        <v>0</v>
      </c>
      <c r="O1446" s="21">
        <v>2</v>
      </c>
      <c r="P1446" s="21">
        <v>12</v>
      </c>
      <c r="Q1446" s="21">
        <v>1</v>
      </c>
      <c r="R1446" s="21">
        <v>0</v>
      </c>
      <c r="S1446" s="19">
        <v>0</v>
      </c>
      <c r="T1446" s="21">
        <v>0</v>
      </c>
      <c r="U1446" s="21">
        <v>1</v>
      </c>
      <c r="V1446" s="21">
        <v>2</v>
      </c>
      <c r="W1446" s="21">
        <v>0</v>
      </c>
      <c r="X1446" s="32">
        <v>0</v>
      </c>
      <c r="Y1446" s="19">
        <v>0</v>
      </c>
      <c r="Z1446" s="32">
        <v>0</v>
      </c>
      <c r="AA1446" s="21">
        <v>0</v>
      </c>
      <c r="AB1446" s="21">
        <v>0</v>
      </c>
      <c r="AC1446" s="21">
        <v>0</v>
      </c>
      <c r="AD1446" s="21">
        <v>1</v>
      </c>
      <c r="AE1446" s="21">
        <v>0</v>
      </c>
      <c r="AF1446" s="21">
        <v>60</v>
      </c>
      <c r="AG1446" s="21">
        <v>1</v>
      </c>
      <c r="AH1446" s="21">
        <v>10</v>
      </c>
      <c r="AI1446" s="19">
        <v>0</v>
      </c>
      <c r="AJ1446" s="19">
        <v>0</v>
      </c>
      <c r="AK1446" s="19">
        <v>0</v>
      </c>
      <c r="AL1446" s="19">
        <v>0</v>
      </c>
      <c r="AM1446" s="21">
        <v>0</v>
      </c>
      <c r="AN1446" s="21">
        <v>0</v>
      </c>
      <c r="AO1446" s="21">
        <v>0</v>
      </c>
      <c r="AP1446" s="21">
        <v>0</v>
      </c>
      <c r="AQ1446" s="21">
        <v>50000</v>
      </c>
      <c r="AR1446" s="21">
        <v>0</v>
      </c>
      <c r="AS1446" s="21">
        <v>0</v>
      </c>
      <c r="AT1446" s="19">
        <v>0</v>
      </c>
      <c r="AU1446" s="21">
        <v>90503231</v>
      </c>
      <c r="AV1446" s="21"/>
      <c r="AW1446" s="30" t="s">
        <v>204</v>
      </c>
      <c r="AX1446" s="21">
        <v>0</v>
      </c>
      <c r="AY1446" s="32">
        <v>0</v>
      </c>
      <c r="AZ1446" s="32">
        <v>0</v>
      </c>
      <c r="BA1446" s="30" t="s">
        <v>2898</v>
      </c>
      <c r="BB1446" s="21">
        <v>0</v>
      </c>
      <c r="BC1446" s="31">
        <v>0</v>
      </c>
      <c r="BD1446" s="31">
        <v>0</v>
      </c>
      <c r="BE1446" s="33" t="s">
        <v>2973</v>
      </c>
      <c r="BF1446" s="33"/>
      <c r="BG1446" s="21">
        <v>0</v>
      </c>
      <c r="BH1446" s="21">
        <v>0</v>
      </c>
      <c r="BI1446" s="21">
        <v>0</v>
      </c>
      <c r="BJ1446" s="21">
        <v>0</v>
      </c>
      <c r="BK1446" s="21">
        <v>0</v>
      </c>
      <c r="BL1446" s="21">
        <v>0</v>
      </c>
      <c r="BM1446" s="25">
        <v>0</v>
      </c>
      <c r="BN1446" s="19">
        <v>1</v>
      </c>
      <c r="BO1446" s="19">
        <v>0</v>
      </c>
      <c r="BP1446" s="19">
        <v>0</v>
      </c>
      <c r="BQ1446" s="19">
        <v>0</v>
      </c>
      <c r="BR1446" s="19">
        <v>0</v>
      </c>
      <c r="BS1446" s="19">
        <v>0</v>
      </c>
      <c r="BT1446" s="19">
        <v>0</v>
      </c>
      <c r="BU1446" s="23">
        <v>0</v>
      </c>
      <c r="BV1446" s="23"/>
      <c r="BW1446" s="23"/>
      <c r="BX1446" s="23"/>
      <c r="BY1446" s="23"/>
      <c r="BZ1446" s="23"/>
    </row>
    <row r="1447" spans="1:78" ht="20.100000000000001" customHeight="1">
      <c r="C1447" s="21">
        <v>63402002</v>
      </c>
      <c r="D1447" s="30" t="s">
        <v>2906</v>
      </c>
      <c r="E1447" s="30"/>
      <c r="F1447" s="21">
        <v>1</v>
      </c>
      <c r="G1447" s="21">
        <v>63002002</v>
      </c>
      <c r="H1447" s="21">
        <v>0</v>
      </c>
      <c r="I1447" s="31">
        <v>0</v>
      </c>
      <c r="J1447" s="32">
        <v>1</v>
      </c>
      <c r="K1447" s="32">
        <v>0</v>
      </c>
      <c r="L1447" s="21">
        <v>0</v>
      </c>
      <c r="M1447" s="21">
        <v>0</v>
      </c>
      <c r="N1447" s="21">
        <v>0</v>
      </c>
      <c r="O1447" s="21">
        <v>2</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v>0</v>
      </c>
      <c r="BC1447" s="31">
        <v>0</v>
      </c>
      <c r="BD1447" s="31">
        <v>0</v>
      </c>
      <c r="BE1447" s="33" t="s">
        <v>2908</v>
      </c>
      <c r="BF1447" s="33"/>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1:78" ht="20.100000000000001" customHeight="1">
      <c r="C1448" s="21">
        <v>63402003</v>
      </c>
      <c r="D1448" s="30" t="s">
        <v>2942</v>
      </c>
      <c r="E1448" s="30"/>
      <c r="F1448" s="21">
        <v>1</v>
      </c>
      <c r="G1448" s="21">
        <v>1000002</v>
      </c>
      <c r="H1448" s="21">
        <v>0</v>
      </c>
      <c r="I1448" s="31">
        <v>0</v>
      </c>
      <c r="J1448" s="32">
        <v>1</v>
      </c>
      <c r="K1448" s="32">
        <v>0</v>
      </c>
      <c r="L1448" s="21">
        <v>0</v>
      </c>
      <c r="M1448" s="21">
        <v>0</v>
      </c>
      <c r="N1448" s="21">
        <v>0</v>
      </c>
      <c r="O1448" s="21">
        <v>8</v>
      </c>
      <c r="P1448" s="21">
        <v>8</v>
      </c>
      <c r="Q1448" s="21">
        <v>2</v>
      </c>
      <c r="R1448" s="21">
        <v>0</v>
      </c>
      <c r="S1448" s="19">
        <v>0</v>
      </c>
      <c r="T1448" s="21">
        <v>0</v>
      </c>
      <c r="U1448" s="21">
        <v>1</v>
      </c>
      <c r="V1448" s="21">
        <v>0</v>
      </c>
      <c r="W1448" s="21">
        <v>0</v>
      </c>
      <c r="X1448" s="32">
        <v>0</v>
      </c>
      <c r="Y1448" s="19">
        <v>0</v>
      </c>
      <c r="Z1448" s="32">
        <v>0</v>
      </c>
      <c r="AA1448" s="21">
        <v>0</v>
      </c>
      <c r="AB1448" s="21">
        <v>0</v>
      </c>
      <c r="AC1448" s="21">
        <v>0</v>
      </c>
      <c r="AD1448" s="21">
        <v>1</v>
      </c>
      <c r="AE1448" s="21">
        <v>0</v>
      </c>
      <c r="AF1448" s="21">
        <v>0</v>
      </c>
      <c r="AG1448" s="21">
        <v>0</v>
      </c>
      <c r="AH1448" s="21" t="s">
        <v>204</v>
      </c>
      <c r="AI1448" s="19">
        <v>0</v>
      </c>
      <c r="AJ1448" s="19">
        <v>0</v>
      </c>
      <c r="AK1448" s="19">
        <v>0</v>
      </c>
      <c r="AL1448" s="19">
        <v>0</v>
      </c>
      <c r="AM1448" s="21">
        <v>0</v>
      </c>
      <c r="AN1448" s="21">
        <v>0</v>
      </c>
      <c r="AO1448" s="21">
        <v>0</v>
      </c>
      <c r="AP1448" s="21">
        <v>0</v>
      </c>
      <c r="AQ1448" s="21">
        <v>0</v>
      </c>
      <c r="AR1448" s="21">
        <v>0</v>
      </c>
      <c r="AS1448" s="21">
        <v>0</v>
      </c>
      <c r="AT1448" s="19">
        <v>0</v>
      </c>
      <c r="AU1448" s="21" t="s">
        <v>204</v>
      </c>
      <c r="AV1448" s="21"/>
      <c r="AW1448" s="30" t="s">
        <v>204</v>
      </c>
      <c r="AX1448" s="21">
        <v>0</v>
      </c>
      <c r="AY1448" s="32">
        <v>0</v>
      </c>
      <c r="AZ1448" s="32">
        <v>0</v>
      </c>
      <c r="BA1448" s="30" t="s">
        <v>204</v>
      </c>
      <c r="BB1448" s="21" t="s">
        <v>2943</v>
      </c>
      <c r="BC1448" s="31">
        <v>0</v>
      </c>
      <c r="BD1448" s="31">
        <v>0</v>
      </c>
      <c r="BE1448" s="33" t="s">
        <v>2944</v>
      </c>
      <c r="BF1448" s="33"/>
      <c r="BG1448" s="21">
        <v>0</v>
      </c>
      <c r="BH1448" s="21">
        <v>0</v>
      </c>
      <c r="BI1448" s="21">
        <v>0</v>
      </c>
      <c r="BJ1448" s="21">
        <v>0</v>
      </c>
      <c r="BK1448" s="21">
        <v>0</v>
      </c>
      <c r="BL1448" s="21">
        <v>0</v>
      </c>
      <c r="BM1448" s="25">
        <v>0</v>
      </c>
      <c r="BN1448" s="19">
        <v>0</v>
      </c>
      <c r="BO1448" s="19">
        <v>0</v>
      </c>
      <c r="BP1448" s="19">
        <v>0</v>
      </c>
      <c r="BQ1448" s="19">
        <v>0</v>
      </c>
      <c r="BR1448" s="19">
        <v>0</v>
      </c>
      <c r="BS1448" s="19">
        <v>0</v>
      </c>
      <c r="BT1448" s="19">
        <v>0</v>
      </c>
      <c r="BU1448" s="23">
        <v>0</v>
      </c>
      <c r="BV1448" s="23"/>
      <c r="BW1448" s="23"/>
      <c r="BX1448" s="23"/>
      <c r="BY1448" s="23"/>
      <c r="BZ1448" s="23"/>
    </row>
    <row r="1449" spans="1:78" ht="20.100000000000001" customHeight="1">
      <c r="C1449" s="21">
        <v>63402004</v>
      </c>
      <c r="D1449" s="179" t="s">
        <v>2910</v>
      </c>
      <c r="E1449" s="30" t="s">
        <v>2989</v>
      </c>
      <c r="F1449" s="21">
        <v>1</v>
      </c>
      <c r="G1449" s="21">
        <v>63402004</v>
      </c>
      <c r="H1449" s="21">
        <v>0</v>
      </c>
      <c r="I1449" s="31">
        <v>0</v>
      </c>
      <c r="J1449" s="32">
        <v>1</v>
      </c>
      <c r="K1449" s="32">
        <v>0</v>
      </c>
      <c r="L1449" s="21">
        <v>0</v>
      </c>
      <c r="M1449" s="21">
        <v>0</v>
      </c>
      <c r="N1449" s="21">
        <v>0</v>
      </c>
      <c r="O1449" s="21">
        <v>8</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t="s">
        <v>2990</v>
      </c>
      <c r="BC1449" s="31">
        <v>0</v>
      </c>
      <c r="BD1449" s="31">
        <v>0</v>
      </c>
      <c r="BE1449" s="33" t="s">
        <v>3121</v>
      </c>
      <c r="BF1449" s="33" t="s">
        <v>2992</v>
      </c>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1:78" ht="20.100000000000001" customHeight="1">
      <c r="C1450" s="21">
        <v>63403001</v>
      </c>
      <c r="D1450" s="30" t="s">
        <v>2954</v>
      </c>
      <c r="E1450" s="30"/>
      <c r="F1450" s="180">
        <v>1</v>
      </c>
      <c r="G1450" s="21">
        <v>63403001</v>
      </c>
      <c r="H1450" s="180">
        <v>0</v>
      </c>
      <c r="I1450" s="180">
        <v>0</v>
      </c>
      <c r="J1450" s="180">
        <v>1</v>
      </c>
      <c r="K1450" s="180">
        <v>0</v>
      </c>
      <c r="L1450" s="180">
        <v>0</v>
      </c>
      <c r="M1450" s="180">
        <v>0</v>
      </c>
      <c r="N1450" s="180">
        <v>0</v>
      </c>
      <c r="O1450" s="180">
        <v>2</v>
      </c>
      <c r="P1450" s="180">
        <v>10</v>
      </c>
      <c r="Q1450" s="180">
        <v>1</v>
      </c>
      <c r="R1450" s="180">
        <v>0</v>
      </c>
      <c r="S1450" s="180">
        <v>0</v>
      </c>
      <c r="T1450" s="180">
        <v>0</v>
      </c>
      <c r="U1450" s="180">
        <v>1</v>
      </c>
      <c r="V1450" s="180">
        <v>2</v>
      </c>
      <c r="W1450" s="180">
        <v>0</v>
      </c>
      <c r="X1450" s="180">
        <v>0</v>
      </c>
      <c r="Y1450" s="19">
        <v>0</v>
      </c>
      <c r="Z1450" s="180">
        <v>0</v>
      </c>
      <c r="AA1450" s="180">
        <v>0</v>
      </c>
      <c r="AB1450" s="180">
        <v>0</v>
      </c>
      <c r="AC1450" s="180">
        <v>0</v>
      </c>
      <c r="AD1450" s="21">
        <v>1</v>
      </c>
      <c r="AE1450" s="180">
        <v>0</v>
      </c>
      <c r="AF1450" s="180">
        <v>30</v>
      </c>
      <c r="AG1450" s="180">
        <v>0</v>
      </c>
      <c r="AH1450" s="180">
        <v>0</v>
      </c>
      <c r="AI1450" s="180">
        <v>7</v>
      </c>
      <c r="AJ1450" s="180">
        <v>0</v>
      </c>
      <c r="AK1450" s="180">
        <v>0</v>
      </c>
      <c r="AL1450" s="180">
        <v>3</v>
      </c>
      <c r="AM1450" s="180">
        <v>0</v>
      </c>
      <c r="AN1450" s="180">
        <v>0</v>
      </c>
      <c r="AO1450" s="180">
        <v>0</v>
      </c>
      <c r="AP1450" s="180">
        <v>0</v>
      </c>
      <c r="AQ1450" s="180">
        <v>2000</v>
      </c>
      <c r="AR1450" s="180">
        <v>0</v>
      </c>
      <c r="AS1450" s="180">
        <v>0</v>
      </c>
      <c r="AT1450" s="180">
        <v>0</v>
      </c>
      <c r="AU1450" s="180">
        <v>90503221</v>
      </c>
      <c r="AV1450" s="180"/>
      <c r="AW1450" s="179" t="s">
        <v>204</v>
      </c>
      <c r="AX1450" s="180">
        <v>0</v>
      </c>
      <c r="AY1450" s="180">
        <v>0</v>
      </c>
      <c r="AZ1450" s="180">
        <v>0</v>
      </c>
      <c r="BA1450" s="179" t="s">
        <v>206</v>
      </c>
      <c r="BB1450" s="179">
        <v>0</v>
      </c>
      <c r="BC1450" s="180">
        <v>0</v>
      </c>
      <c r="BD1450" s="180">
        <v>0</v>
      </c>
      <c r="BE1450" s="33" t="s">
        <v>3122</v>
      </c>
      <c r="BF1450" s="33"/>
      <c r="BG1450" s="180">
        <v>0</v>
      </c>
      <c r="BH1450" s="180">
        <v>0</v>
      </c>
      <c r="BI1450" s="180">
        <v>0</v>
      </c>
      <c r="BJ1450" s="180">
        <v>0</v>
      </c>
      <c r="BK1450" s="180">
        <v>0</v>
      </c>
      <c r="BL1450" s="180">
        <v>0</v>
      </c>
      <c r="BM1450" s="244">
        <v>0</v>
      </c>
      <c r="BN1450" s="180">
        <v>0</v>
      </c>
      <c r="BO1450" s="19">
        <v>0</v>
      </c>
      <c r="BP1450" s="19">
        <v>0</v>
      </c>
      <c r="BQ1450" s="19">
        <v>0</v>
      </c>
      <c r="BR1450" s="19">
        <v>0</v>
      </c>
      <c r="BS1450" s="19">
        <v>0</v>
      </c>
      <c r="BT1450" s="19">
        <v>0</v>
      </c>
      <c r="BU1450" s="23">
        <v>0</v>
      </c>
      <c r="BV1450" s="23"/>
      <c r="BW1450" s="23"/>
      <c r="BX1450" s="23"/>
      <c r="BY1450" s="23"/>
      <c r="BZ1450" s="23"/>
    </row>
    <row r="1451" spans="1:78" ht="20.100000000000001" customHeight="1">
      <c r="C1451" s="21">
        <v>63403002</v>
      </c>
      <c r="D1451" s="30" t="s">
        <v>2938</v>
      </c>
      <c r="E1451" s="30"/>
      <c r="F1451" s="21">
        <v>1</v>
      </c>
      <c r="G1451" s="21">
        <v>63003002</v>
      </c>
      <c r="H1451" s="21">
        <v>0</v>
      </c>
      <c r="I1451" s="31">
        <v>0</v>
      </c>
      <c r="J1451" s="32">
        <v>1</v>
      </c>
      <c r="K1451" s="32">
        <v>0</v>
      </c>
      <c r="L1451" s="21">
        <v>0</v>
      </c>
      <c r="M1451" s="21">
        <v>0</v>
      </c>
      <c r="N1451" s="21">
        <v>0</v>
      </c>
      <c r="O1451" s="21">
        <v>2</v>
      </c>
      <c r="P1451" s="21">
        <v>0</v>
      </c>
      <c r="Q1451" s="21">
        <v>0</v>
      </c>
      <c r="R1451" s="21">
        <v>0</v>
      </c>
      <c r="S1451" s="19">
        <v>0</v>
      </c>
      <c r="T1451" s="21">
        <v>0</v>
      </c>
      <c r="U1451" s="21">
        <v>1</v>
      </c>
      <c r="V1451" s="21">
        <v>0</v>
      </c>
      <c r="W1451" s="21">
        <v>0</v>
      </c>
      <c r="X1451" s="32">
        <v>0</v>
      </c>
      <c r="Y1451" s="19">
        <v>0</v>
      </c>
      <c r="Z1451" s="32">
        <v>0</v>
      </c>
      <c r="AA1451" s="21">
        <v>0</v>
      </c>
      <c r="AB1451" s="21">
        <v>0</v>
      </c>
      <c r="AC1451" s="21">
        <v>0</v>
      </c>
      <c r="AD1451" s="21">
        <v>1</v>
      </c>
      <c r="AE1451" s="21">
        <v>0</v>
      </c>
      <c r="AF1451" s="21">
        <v>0</v>
      </c>
      <c r="AG1451" s="21">
        <v>0</v>
      </c>
      <c r="AH1451" s="21" t="s">
        <v>204</v>
      </c>
      <c r="AI1451" s="19">
        <v>0</v>
      </c>
      <c r="AJ1451" s="19">
        <v>0</v>
      </c>
      <c r="AK1451" s="19">
        <v>0</v>
      </c>
      <c r="AL1451" s="19">
        <v>0</v>
      </c>
      <c r="AM1451" s="21">
        <v>0</v>
      </c>
      <c r="AN1451" s="21">
        <v>0</v>
      </c>
      <c r="AO1451" s="21">
        <v>0</v>
      </c>
      <c r="AP1451" s="21">
        <v>0</v>
      </c>
      <c r="AQ1451" s="21">
        <v>0</v>
      </c>
      <c r="AR1451" s="21">
        <v>0</v>
      </c>
      <c r="AS1451" s="21">
        <v>0</v>
      </c>
      <c r="AT1451" s="19">
        <v>0</v>
      </c>
      <c r="AU1451" s="21" t="s">
        <v>204</v>
      </c>
      <c r="AV1451" s="21"/>
      <c r="AW1451" s="30" t="s">
        <v>204</v>
      </c>
      <c r="AX1451" s="21">
        <v>0</v>
      </c>
      <c r="AY1451" s="32">
        <v>0</v>
      </c>
      <c r="AZ1451" s="32">
        <v>0</v>
      </c>
      <c r="BA1451" s="30" t="s">
        <v>204</v>
      </c>
      <c r="BB1451" s="21">
        <v>0</v>
      </c>
      <c r="BC1451" s="31">
        <v>0</v>
      </c>
      <c r="BD1451" s="31">
        <v>0</v>
      </c>
      <c r="BE1451" s="33" t="s">
        <v>2940</v>
      </c>
      <c r="BF1451" s="33"/>
      <c r="BG1451" s="21">
        <v>0</v>
      </c>
      <c r="BH1451" s="21">
        <v>0</v>
      </c>
      <c r="BI1451" s="21">
        <v>0</v>
      </c>
      <c r="BJ1451" s="21">
        <v>0</v>
      </c>
      <c r="BK1451" s="21">
        <v>0</v>
      </c>
      <c r="BL1451" s="21">
        <v>0</v>
      </c>
      <c r="BM1451" s="25">
        <v>0</v>
      </c>
      <c r="BN1451" s="19">
        <v>0</v>
      </c>
      <c r="BO1451" s="19">
        <v>0</v>
      </c>
      <c r="BP1451" s="19">
        <v>0</v>
      </c>
      <c r="BQ1451" s="19">
        <v>0</v>
      </c>
      <c r="BR1451" s="19">
        <v>0</v>
      </c>
      <c r="BS1451" s="19">
        <v>0</v>
      </c>
      <c r="BT1451" s="19">
        <v>0</v>
      </c>
      <c r="BU1451" s="23">
        <v>0</v>
      </c>
      <c r="BV1451" s="23"/>
      <c r="BW1451" s="23"/>
      <c r="BX1451" s="23"/>
      <c r="BY1451" s="23"/>
      <c r="BZ1451" s="23"/>
    </row>
    <row r="1452" spans="1:78" ht="20.100000000000001" customHeight="1">
      <c r="C1452" s="32">
        <v>63403003</v>
      </c>
      <c r="D1452" s="35" t="s">
        <v>3123</v>
      </c>
      <c r="E1452" s="35" t="s">
        <v>3124</v>
      </c>
      <c r="F1452" s="32">
        <v>1</v>
      </c>
      <c r="G1452" s="32">
        <v>68000015</v>
      </c>
      <c r="H1452" s="32">
        <v>0</v>
      </c>
      <c r="I1452" s="31">
        <v>0</v>
      </c>
      <c r="J1452" s="32">
        <v>1</v>
      </c>
      <c r="K1452" s="32">
        <v>0</v>
      </c>
      <c r="L1452" s="32">
        <v>0</v>
      </c>
      <c r="M1452" s="32">
        <v>0</v>
      </c>
      <c r="N1452" s="32">
        <v>0</v>
      </c>
      <c r="O1452" s="32">
        <v>8</v>
      </c>
      <c r="P1452" s="32">
        <v>0</v>
      </c>
      <c r="Q1452" s="32">
        <v>0</v>
      </c>
      <c r="R1452" s="32">
        <v>0</v>
      </c>
      <c r="S1452" s="19">
        <v>0</v>
      </c>
      <c r="T1452" s="31">
        <v>0</v>
      </c>
      <c r="U1452" s="21">
        <v>1</v>
      </c>
      <c r="V1452" s="32">
        <v>2</v>
      </c>
      <c r="W1452" s="32">
        <v>0</v>
      </c>
      <c r="X1452" s="32">
        <v>0</v>
      </c>
      <c r="Y1452" s="19">
        <v>0</v>
      </c>
      <c r="Z1452" s="32">
        <v>0</v>
      </c>
      <c r="AA1452" s="32">
        <v>0</v>
      </c>
      <c r="AB1452" s="32">
        <v>0</v>
      </c>
      <c r="AC1452" s="32">
        <v>0</v>
      </c>
      <c r="AD1452" s="32">
        <v>1</v>
      </c>
      <c r="AE1452" s="32">
        <v>0</v>
      </c>
      <c r="AF1452" s="32">
        <v>18</v>
      </c>
      <c r="AG1452" s="32">
        <v>0</v>
      </c>
      <c r="AH1452" s="32">
        <v>0</v>
      </c>
      <c r="AI1452" s="19">
        <v>2</v>
      </c>
      <c r="AJ1452" s="19">
        <v>0</v>
      </c>
      <c r="AK1452" s="19">
        <v>0</v>
      </c>
      <c r="AL1452" s="19">
        <v>0</v>
      </c>
      <c r="AM1452" s="32">
        <v>0</v>
      </c>
      <c r="AN1452" s="32">
        <v>0</v>
      </c>
      <c r="AO1452" s="32">
        <v>0</v>
      </c>
      <c r="AP1452" s="32">
        <v>0</v>
      </c>
      <c r="AQ1452" s="32">
        <v>1000</v>
      </c>
      <c r="AR1452" s="32">
        <v>0</v>
      </c>
      <c r="AS1452" s="32">
        <v>0</v>
      </c>
      <c r="AT1452" s="19"/>
      <c r="AU1452" s="32" t="s">
        <v>204</v>
      </c>
      <c r="AV1452" s="32"/>
      <c r="AW1452" s="35" t="s">
        <v>205</v>
      </c>
      <c r="AX1452" s="32">
        <v>0</v>
      </c>
      <c r="AY1452" s="32">
        <v>0</v>
      </c>
      <c r="AZ1452" s="32">
        <v>0</v>
      </c>
      <c r="BA1452" s="35" t="s">
        <v>206</v>
      </c>
      <c r="BB1452" s="35" t="s">
        <v>3125</v>
      </c>
      <c r="BC1452" s="31">
        <v>0</v>
      </c>
      <c r="BD1452" s="31">
        <v>1</v>
      </c>
      <c r="BE1452" s="250" t="s">
        <v>3126</v>
      </c>
      <c r="BF1452" s="60" t="s">
        <v>3127</v>
      </c>
      <c r="BG1452" s="32">
        <v>0</v>
      </c>
      <c r="BH1452" s="21">
        <v>0</v>
      </c>
      <c r="BI1452" s="32">
        <v>0</v>
      </c>
      <c r="BJ1452" s="32">
        <v>0</v>
      </c>
      <c r="BK1452" s="32">
        <v>0</v>
      </c>
      <c r="BL1452" s="32">
        <v>0</v>
      </c>
      <c r="BM1452" s="25">
        <v>0</v>
      </c>
      <c r="BN1452" s="19">
        <v>1</v>
      </c>
      <c r="BO1452" s="19">
        <v>0</v>
      </c>
      <c r="BP1452" s="19">
        <v>0</v>
      </c>
      <c r="BQ1452" s="19">
        <v>0</v>
      </c>
      <c r="BR1452" s="19">
        <v>0</v>
      </c>
      <c r="BS1452" s="19">
        <v>0</v>
      </c>
      <c r="BT1452" s="19">
        <v>0</v>
      </c>
      <c r="BU1452" s="23">
        <v>0</v>
      </c>
      <c r="BV1452" s="23"/>
      <c r="BW1452" s="23"/>
      <c r="BX1452" s="23"/>
      <c r="BY1452" s="23"/>
      <c r="BZ1452" s="23"/>
    </row>
    <row r="1453" spans="1:78" ht="20.100000000000001" customHeight="1">
      <c r="C1453" s="32">
        <v>63403004</v>
      </c>
      <c r="D1453" s="35" t="s">
        <v>2910</v>
      </c>
      <c r="E1453" s="35" t="s">
        <v>3059</v>
      </c>
      <c r="F1453" s="32">
        <v>1</v>
      </c>
      <c r="G1453" s="32">
        <v>63403004</v>
      </c>
      <c r="H1453" s="32">
        <v>0</v>
      </c>
      <c r="I1453" s="31">
        <v>0</v>
      </c>
      <c r="J1453" s="32">
        <v>1</v>
      </c>
      <c r="K1453" s="32">
        <v>0</v>
      </c>
      <c r="L1453" s="32">
        <v>0</v>
      </c>
      <c r="M1453" s="32">
        <v>0</v>
      </c>
      <c r="N1453" s="32">
        <v>0</v>
      </c>
      <c r="O1453" s="32">
        <v>2</v>
      </c>
      <c r="P1453" s="32">
        <v>1</v>
      </c>
      <c r="Q1453" s="32">
        <v>0.15</v>
      </c>
      <c r="R1453" s="32">
        <v>0</v>
      </c>
      <c r="S1453" s="19">
        <v>0</v>
      </c>
      <c r="T1453" s="31">
        <v>0</v>
      </c>
      <c r="U1453" s="21">
        <v>1</v>
      </c>
      <c r="V1453" s="32">
        <v>2</v>
      </c>
      <c r="W1453" s="32">
        <v>0</v>
      </c>
      <c r="X1453" s="32">
        <v>0</v>
      </c>
      <c r="Y1453" s="19">
        <v>0</v>
      </c>
      <c r="Z1453" s="32">
        <v>0</v>
      </c>
      <c r="AA1453" s="32">
        <v>0</v>
      </c>
      <c r="AB1453" s="32">
        <v>0</v>
      </c>
      <c r="AC1453" s="32">
        <v>0</v>
      </c>
      <c r="AD1453" s="32">
        <v>1</v>
      </c>
      <c r="AE1453" s="32">
        <v>0</v>
      </c>
      <c r="AF1453" s="32">
        <v>3</v>
      </c>
      <c r="AG1453" s="32">
        <v>0</v>
      </c>
      <c r="AH1453" s="32">
        <v>0</v>
      </c>
      <c r="AI1453" s="19">
        <v>7</v>
      </c>
      <c r="AJ1453" s="19">
        <v>0</v>
      </c>
      <c r="AK1453" s="19">
        <v>0</v>
      </c>
      <c r="AL1453" s="19">
        <v>3</v>
      </c>
      <c r="AM1453" s="32">
        <v>0</v>
      </c>
      <c r="AN1453" s="32">
        <v>0</v>
      </c>
      <c r="AO1453" s="32">
        <v>0</v>
      </c>
      <c r="AP1453" s="32">
        <v>0</v>
      </c>
      <c r="AQ1453" s="32">
        <v>3000</v>
      </c>
      <c r="AR1453" s="32">
        <v>0.5</v>
      </c>
      <c r="AS1453" s="32">
        <v>0</v>
      </c>
      <c r="AT1453" s="19" t="s">
        <v>3128</v>
      </c>
      <c r="AU1453" s="32">
        <v>0</v>
      </c>
      <c r="AV1453" s="32"/>
      <c r="AW1453" s="35" t="s">
        <v>204</v>
      </c>
      <c r="AX1453" s="32">
        <v>0</v>
      </c>
      <c r="AY1453" s="32">
        <v>0</v>
      </c>
      <c r="AZ1453" s="32">
        <v>0</v>
      </c>
      <c r="BA1453" s="35" t="s">
        <v>206</v>
      </c>
      <c r="BB1453" s="35">
        <v>0</v>
      </c>
      <c r="BC1453" s="31">
        <v>0</v>
      </c>
      <c r="BD1453" s="31">
        <v>1</v>
      </c>
      <c r="BE1453" s="250" t="s">
        <v>3129</v>
      </c>
      <c r="BF1453" s="60" t="s">
        <v>3064</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1:78" ht="20.100000000000001" customHeight="1">
      <c r="C1454" s="32">
        <v>64000001</v>
      </c>
      <c r="D1454" s="35" t="s">
        <v>446</v>
      </c>
      <c r="E1454" s="35" t="s">
        <v>447</v>
      </c>
      <c r="F1454" s="32">
        <v>1</v>
      </c>
      <c r="G1454" s="32">
        <v>10041</v>
      </c>
      <c r="H1454" s="32">
        <v>0</v>
      </c>
      <c r="I1454" s="31">
        <v>0</v>
      </c>
      <c r="J1454" s="32">
        <v>1</v>
      </c>
      <c r="K1454" s="32">
        <v>0</v>
      </c>
      <c r="L1454" s="21">
        <v>0</v>
      </c>
      <c r="M1454" s="32">
        <v>0</v>
      </c>
      <c r="N1454" s="32">
        <v>0</v>
      </c>
      <c r="O1454" s="32">
        <v>2</v>
      </c>
      <c r="P1454" s="32">
        <v>1</v>
      </c>
      <c r="Q1454" s="32">
        <v>0.5</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32">
        <v>18</v>
      </c>
      <c r="AG1454" s="32">
        <v>0</v>
      </c>
      <c r="AH1454" s="32">
        <v>0</v>
      </c>
      <c r="AI1454" s="19">
        <v>2</v>
      </c>
      <c r="AJ1454" s="19">
        <v>0</v>
      </c>
      <c r="AK1454" s="19">
        <v>0</v>
      </c>
      <c r="AL1454" s="19">
        <v>0</v>
      </c>
      <c r="AM1454" s="32">
        <v>0</v>
      </c>
      <c r="AN1454" s="32">
        <v>0</v>
      </c>
      <c r="AO1454" s="32">
        <v>0</v>
      </c>
      <c r="AP1454" s="21">
        <v>0</v>
      </c>
      <c r="AQ1454" s="32">
        <v>1000</v>
      </c>
      <c r="AR1454" s="32">
        <v>0</v>
      </c>
      <c r="AS1454" s="32">
        <v>0</v>
      </c>
      <c r="AT1454" s="19">
        <v>90600010</v>
      </c>
      <c r="AU1454" s="32">
        <v>0</v>
      </c>
      <c r="AV1454" s="32"/>
      <c r="AW1454" s="35" t="s">
        <v>205</v>
      </c>
      <c r="AX1454" s="32" t="s">
        <v>1582</v>
      </c>
      <c r="AY1454" s="32">
        <v>0</v>
      </c>
      <c r="AZ1454" s="32">
        <v>40000003</v>
      </c>
      <c r="BA1454" s="35" t="s">
        <v>206</v>
      </c>
      <c r="BB1454" s="35" t="s">
        <v>204</v>
      </c>
      <c r="BC1454" s="31">
        <v>0</v>
      </c>
      <c r="BD1454" s="31">
        <v>0</v>
      </c>
      <c r="BE1454" s="60" t="s">
        <v>3130</v>
      </c>
      <c r="BF1454" s="60" t="s">
        <v>3131</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1:78" ht="20.100000000000001" customHeight="1">
      <c r="C1455" s="32">
        <v>64000002</v>
      </c>
      <c r="D1455" s="35" t="s">
        <v>2729</v>
      </c>
      <c r="E1455" s="35" t="s">
        <v>2730</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21">
        <v>0</v>
      </c>
      <c r="AQ1455" s="32">
        <v>1000</v>
      </c>
      <c r="AR1455" s="32">
        <v>0</v>
      </c>
      <c r="AS1455" s="32">
        <v>0</v>
      </c>
      <c r="AT1455" s="19">
        <v>90600020</v>
      </c>
      <c r="AU1455" s="32">
        <v>0</v>
      </c>
      <c r="AV1455" s="32"/>
      <c r="AW1455" s="35" t="s">
        <v>205</v>
      </c>
      <c r="AX1455" s="32" t="s">
        <v>1582</v>
      </c>
      <c r="AY1455" s="32">
        <v>0</v>
      </c>
      <c r="AZ1455" s="32">
        <v>0</v>
      </c>
      <c r="BA1455" s="35" t="s">
        <v>206</v>
      </c>
      <c r="BB1455" s="35" t="s">
        <v>204</v>
      </c>
      <c r="BC1455" s="31">
        <v>0</v>
      </c>
      <c r="BD1455" s="31">
        <v>0</v>
      </c>
      <c r="BE1455" s="60" t="s">
        <v>3132</v>
      </c>
      <c r="BF1455" s="60" t="s">
        <v>3133</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1:78" ht="20.100000000000001" customHeight="1">
      <c r="C1456" s="32">
        <v>64000003</v>
      </c>
      <c r="D1456" s="35" t="s">
        <v>3134</v>
      </c>
      <c r="E1456" s="35" t="s">
        <v>3135</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90600030</v>
      </c>
      <c r="AU1456" s="32">
        <v>0</v>
      </c>
      <c r="AV1456" s="32"/>
      <c r="AW1456" s="35" t="s">
        <v>205</v>
      </c>
      <c r="AX1456" s="32" t="s">
        <v>1582</v>
      </c>
      <c r="AY1456" s="32">
        <v>0</v>
      </c>
      <c r="AZ1456" s="32">
        <v>0</v>
      </c>
      <c r="BA1456" s="35" t="s">
        <v>206</v>
      </c>
      <c r="BB1456" s="35" t="s">
        <v>204</v>
      </c>
      <c r="BC1456" s="31">
        <v>0</v>
      </c>
      <c r="BD1456" s="31">
        <v>0</v>
      </c>
      <c r="BE1456" s="60" t="s">
        <v>3136</v>
      </c>
      <c r="BF1456" s="60" t="s">
        <v>3137</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64000004</v>
      </c>
      <c r="D1457" s="35" t="s">
        <v>3138</v>
      </c>
      <c r="E1457" s="35" t="s">
        <v>3139</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90600040</v>
      </c>
      <c r="AU1457" s="32">
        <v>0</v>
      </c>
      <c r="AV1457" s="32"/>
      <c r="AW1457" s="35" t="s">
        <v>205</v>
      </c>
      <c r="AX1457" s="32" t="s">
        <v>1582</v>
      </c>
      <c r="AY1457" s="32">
        <v>0</v>
      </c>
      <c r="AZ1457" s="32">
        <v>0</v>
      </c>
      <c r="BA1457" s="35" t="s">
        <v>206</v>
      </c>
      <c r="BB1457" s="35" t="s">
        <v>204</v>
      </c>
      <c r="BC1457" s="31">
        <v>0</v>
      </c>
      <c r="BD1457" s="31">
        <v>0</v>
      </c>
      <c r="BE1457" s="60" t="s">
        <v>3140</v>
      </c>
      <c r="BF1457" s="60" t="s">
        <v>3141</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64000005</v>
      </c>
      <c r="D1458" s="35" t="s">
        <v>573</v>
      </c>
      <c r="E1458" s="35" t="s">
        <v>574</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90600050</v>
      </c>
      <c r="AU1458" s="32">
        <v>0</v>
      </c>
      <c r="AV1458" s="32"/>
      <c r="AW1458" s="35" t="s">
        <v>205</v>
      </c>
      <c r="AX1458" s="32" t="s">
        <v>1582</v>
      </c>
      <c r="AY1458" s="32">
        <v>0</v>
      </c>
      <c r="AZ1458" s="32">
        <v>0</v>
      </c>
      <c r="BA1458" s="35" t="s">
        <v>206</v>
      </c>
      <c r="BB1458" s="35" t="s">
        <v>204</v>
      </c>
      <c r="BC1458" s="31">
        <v>0</v>
      </c>
      <c r="BD1458" s="31">
        <v>0</v>
      </c>
      <c r="BE1458" s="60" t="s">
        <v>3142</v>
      </c>
      <c r="BF1458" s="60" t="s">
        <v>3143</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64000006</v>
      </c>
      <c r="D1459" s="35" t="s">
        <v>3144</v>
      </c>
      <c r="E1459" s="35" t="s">
        <v>3145</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90600060</v>
      </c>
      <c r="AU1459" s="32">
        <v>0</v>
      </c>
      <c r="AV1459" s="32"/>
      <c r="AW1459" s="35" t="s">
        <v>205</v>
      </c>
      <c r="AX1459" s="32" t="s">
        <v>1582</v>
      </c>
      <c r="AY1459" s="32">
        <v>0</v>
      </c>
      <c r="AZ1459" s="32">
        <v>0</v>
      </c>
      <c r="BA1459" s="35" t="s">
        <v>206</v>
      </c>
      <c r="BB1459" s="35" t="s">
        <v>204</v>
      </c>
      <c r="BC1459" s="31">
        <v>0</v>
      </c>
      <c r="BD1459" s="31">
        <v>0</v>
      </c>
      <c r="BE1459" s="60" t="s">
        <v>3146</v>
      </c>
      <c r="BF1459" s="60" t="s">
        <v>3147</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64000007</v>
      </c>
      <c r="D1460" s="35" t="s">
        <v>3148</v>
      </c>
      <c r="E1460" s="35" t="s">
        <v>3149</v>
      </c>
      <c r="F1460" s="32">
        <v>1</v>
      </c>
      <c r="G1460" s="32">
        <v>60010500</v>
      </c>
      <c r="H1460" s="32">
        <v>0</v>
      </c>
      <c r="I1460" s="31">
        <v>0</v>
      </c>
      <c r="J1460" s="32">
        <v>1</v>
      </c>
      <c r="K1460" s="32">
        <v>0</v>
      </c>
      <c r="L1460" s="21">
        <v>0</v>
      </c>
      <c r="M1460" s="32">
        <v>0</v>
      </c>
      <c r="N1460" s="32">
        <v>0</v>
      </c>
      <c r="O1460" s="32">
        <v>2</v>
      </c>
      <c r="P1460" s="32">
        <v>2</v>
      </c>
      <c r="Q1460" s="32">
        <v>0.6</v>
      </c>
      <c r="R1460" s="32">
        <v>0</v>
      </c>
      <c r="S1460" s="19">
        <v>0</v>
      </c>
      <c r="T1460" s="31">
        <v>0</v>
      </c>
      <c r="U1460" s="21">
        <v>1</v>
      </c>
      <c r="V1460" s="32">
        <v>2</v>
      </c>
      <c r="W1460" s="32">
        <v>0</v>
      </c>
      <c r="X1460" s="32">
        <v>0</v>
      </c>
      <c r="Y1460" s="19">
        <v>0</v>
      </c>
      <c r="Z1460" s="32">
        <v>0</v>
      </c>
      <c r="AA1460" s="32">
        <v>0</v>
      </c>
      <c r="AB1460" s="32">
        <v>0</v>
      </c>
      <c r="AC1460" s="32">
        <v>0</v>
      </c>
      <c r="AD1460" s="21">
        <v>1</v>
      </c>
      <c r="AE1460" s="32">
        <v>0</v>
      </c>
      <c r="AF1460" s="21">
        <v>99999</v>
      </c>
      <c r="AG1460" s="32">
        <v>0</v>
      </c>
      <c r="AH1460" s="32">
        <v>0</v>
      </c>
      <c r="AI1460" s="19">
        <v>2</v>
      </c>
      <c r="AJ1460" s="19">
        <v>0</v>
      </c>
      <c r="AK1460" s="19">
        <v>0</v>
      </c>
      <c r="AL1460" s="19">
        <v>0</v>
      </c>
      <c r="AM1460" s="32">
        <v>0</v>
      </c>
      <c r="AN1460" s="32">
        <v>0</v>
      </c>
      <c r="AO1460" s="32">
        <v>0</v>
      </c>
      <c r="AP1460" s="32">
        <v>0</v>
      </c>
      <c r="AQ1460" s="32">
        <v>1000</v>
      </c>
      <c r="AR1460" s="32">
        <v>0</v>
      </c>
      <c r="AS1460" s="32">
        <v>0</v>
      </c>
      <c r="AT1460" s="19">
        <v>90600070</v>
      </c>
      <c r="AU1460" s="32">
        <v>0</v>
      </c>
      <c r="AV1460" s="32"/>
      <c r="AW1460" s="35" t="s">
        <v>205</v>
      </c>
      <c r="AX1460" s="32" t="s">
        <v>1582</v>
      </c>
      <c r="AY1460" s="32">
        <v>0</v>
      </c>
      <c r="AZ1460" s="32">
        <v>0</v>
      </c>
      <c r="BA1460" s="35" t="s">
        <v>206</v>
      </c>
      <c r="BB1460" s="35" t="s">
        <v>204</v>
      </c>
      <c r="BC1460" s="31">
        <v>0</v>
      </c>
      <c r="BD1460" s="31">
        <v>0</v>
      </c>
      <c r="BE1460" s="60" t="s">
        <v>3150</v>
      </c>
      <c r="BF1460" s="60" t="s">
        <v>3151</v>
      </c>
      <c r="BG1460" s="32">
        <v>0</v>
      </c>
      <c r="BH1460" s="21">
        <v>0</v>
      </c>
      <c r="BI1460" s="32">
        <v>0</v>
      </c>
      <c r="BJ1460" s="32">
        <v>0</v>
      </c>
      <c r="BK1460" s="32">
        <v>0</v>
      </c>
      <c r="BL1460" s="32">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64000008</v>
      </c>
      <c r="D1461" s="35" t="s">
        <v>627</v>
      </c>
      <c r="E1461" s="35" t="s">
        <v>628</v>
      </c>
      <c r="F1461" s="32">
        <v>1</v>
      </c>
      <c r="G1461" s="32">
        <v>60010500</v>
      </c>
      <c r="H1461" s="32">
        <v>0</v>
      </c>
      <c r="I1461" s="31">
        <v>0</v>
      </c>
      <c r="J1461" s="32">
        <v>1</v>
      </c>
      <c r="K1461" s="32">
        <v>0</v>
      </c>
      <c r="L1461" s="21">
        <v>0</v>
      </c>
      <c r="M1461" s="32">
        <v>0</v>
      </c>
      <c r="N1461" s="32">
        <v>0</v>
      </c>
      <c r="O1461" s="32">
        <v>2</v>
      </c>
      <c r="P1461" s="32">
        <v>2</v>
      </c>
      <c r="Q1461" s="32">
        <v>0.6</v>
      </c>
      <c r="R1461" s="32">
        <v>0</v>
      </c>
      <c r="S1461" s="19">
        <v>0</v>
      </c>
      <c r="T1461" s="31">
        <v>0</v>
      </c>
      <c r="U1461" s="21">
        <v>1</v>
      </c>
      <c r="V1461" s="32">
        <v>2</v>
      </c>
      <c r="W1461" s="32">
        <v>0</v>
      </c>
      <c r="X1461" s="32">
        <v>0</v>
      </c>
      <c r="Y1461" s="19">
        <v>0</v>
      </c>
      <c r="Z1461" s="32">
        <v>0</v>
      </c>
      <c r="AA1461" s="32">
        <v>0</v>
      </c>
      <c r="AB1461" s="32">
        <v>0</v>
      </c>
      <c r="AC1461" s="32">
        <v>0</v>
      </c>
      <c r="AD1461" s="21">
        <v>1</v>
      </c>
      <c r="AE1461" s="32">
        <v>0</v>
      </c>
      <c r="AF1461" s="21">
        <v>99999</v>
      </c>
      <c r="AG1461" s="32">
        <v>0</v>
      </c>
      <c r="AH1461" s="32">
        <v>0</v>
      </c>
      <c r="AI1461" s="19">
        <v>2</v>
      </c>
      <c r="AJ1461" s="19">
        <v>0</v>
      </c>
      <c r="AK1461" s="19">
        <v>0</v>
      </c>
      <c r="AL1461" s="19">
        <v>0</v>
      </c>
      <c r="AM1461" s="32">
        <v>0</v>
      </c>
      <c r="AN1461" s="32">
        <v>0</v>
      </c>
      <c r="AO1461" s="32">
        <v>0</v>
      </c>
      <c r="AP1461" s="32">
        <v>0</v>
      </c>
      <c r="AQ1461" s="32">
        <v>1000</v>
      </c>
      <c r="AR1461" s="32">
        <v>0</v>
      </c>
      <c r="AS1461" s="32">
        <v>0</v>
      </c>
      <c r="AT1461" s="19">
        <v>0</v>
      </c>
      <c r="AU1461" s="32" t="s">
        <v>204</v>
      </c>
      <c r="AV1461" s="32"/>
      <c r="AW1461" s="35" t="s">
        <v>205</v>
      </c>
      <c r="AX1461" s="32" t="s">
        <v>1582</v>
      </c>
      <c r="AY1461" s="32">
        <v>0</v>
      </c>
      <c r="AZ1461" s="32">
        <v>0</v>
      </c>
      <c r="BA1461" s="35" t="s">
        <v>206</v>
      </c>
      <c r="BB1461" s="35" t="s">
        <v>204</v>
      </c>
      <c r="BC1461" s="31">
        <v>0</v>
      </c>
      <c r="BD1461" s="31">
        <v>0</v>
      </c>
      <c r="BE1461" s="60" t="s">
        <v>3152</v>
      </c>
      <c r="BF1461" s="60" t="s">
        <v>3153</v>
      </c>
      <c r="BG1461" s="32">
        <v>0</v>
      </c>
      <c r="BH1461" s="21">
        <v>0</v>
      </c>
      <c r="BI1461" s="32">
        <v>0</v>
      </c>
      <c r="BJ1461" s="32">
        <v>0</v>
      </c>
      <c r="BK1461" s="32">
        <v>0</v>
      </c>
      <c r="BL1461" s="32">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64100001</v>
      </c>
      <c r="D1462" s="35" t="s">
        <v>3154</v>
      </c>
      <c r="E1462" s="35" t="s">
        <v>3155</v>
      </c>
      <c r="F1462" s="21">
        <v>1</v>
      </c>
      <c r="G1462" s="19">
        <v>0</v>
      </c>
      <c r="H1462" s="32">
        <v>0</v>
      </c>
      <c r="I1462" s="19">
        <v>0</v>
      </c>
      <c r="J1462" s="21">
        <v>0</v>
      </c>
      <c r="K1462" s="32">
        <v>0</v>
      </c>
      <c r="L1462" s="21">
        <v>0</v>
      </c>
      <c r="M1462" s="19">
        <v>0</v>
      </c>
      <c r="N1462" s="19">
        <v>0</v>
      </c>
      <c r="O1462" s="32">
        <v>2</v>
      </c>
      <c r="P1462" s="32">
        <v>3</v>
      </c>
      <c r="Q1462" s="32">
        <v>0.05</v>
      </c>
      <c r="R1462" s="19">
        <v>0</v>
      </c>
      <c r="S1462" s="19">
        <v>0</v>
      </c>
      <c r="T1462" s="19">
        <v>0</v>
      </c>
      <c r="U1462" s="21">
        <v>1</v>
      </c>
      <c r="V1462" s="19">
        <v>2</v>
      </c>
      <c r="W1462" s="19">
        <v>0</v>
      </c>
      <c r="X1462" s="32">
        <v>0</v>
      </c>
      <c r="Y1462" s="19">
        <v>0</v>
      </c>
      <c r="Z1462" s="32">
        <v>0</v>
      </c>
      <c r="AA1462" s="19">
        <v>0</v>
      </c>
      <c r="AB1462" s="19">
        <v>0</v>
      </c>
      <c r="AC1462" s="19">
        <v>0</v>
      </c>
      <c r="AD1462" s="32">
        <v>0</v>
      </c>
      <c r="AE1462" s="19">
        <v>0</v>
      </c>
      <c r="AF1462" s="32">
        <v>1</v>
      </c>
      <c r="AG1462" s="19">
        <v>1</v>
      </c>
      <c r="AH1462" s="19">
        <v>3</v>
      </c>
      <c r="AI1462" s="19">
        <v>2</v>
      </c>
      <c r="AJ1462" s="19">
        <v>1</v>
      </c>
      <c r="AK1462" s="19">
        <v>1</v>
      </c>
      <c r="AL1462" s="19">
        <v>6</v>
      </c>
      <c r="AM1462" s="19">
        <v>0</v>
      </c>
      <c r="AN1462" s="19">
        <v>0</v>
      </c>
      <c r="AO1462" s="19">
        <v>0</v>
      </c>
      <c r="AP1462" s="32">
        <v>0</v>
      </c>
      <c r="AQ1462" s="19">
        <v>3000</v>
      </c>
      <c r="AR1462" s="19">
        <v>0.1</v>
      </c>
      <c r="AS1462" s="19">
        <v>0</v>
      </c>
      <c r="AT1462" s="19">
        <v>0</v>
      </c>
      <c r="AU1462" s="32">
        <v>90610011</v>
      </c>
      <c r="AV1462" s="32"/>
      <c r="AW1462" s="20" t="s">
        <v>262</v>
      </c>
      <c r="AX1462" s="19" t="s">
        <v>1977</v>
      </c>
      <c r="AY1462" s="19" t="s">
        <v>204</v>
      </c>
      <c r="AZ1462" s="19">
        <v>0</v>
      </c>
      <c r="BA1462" s="20" t="s">
        <v>206</v>
      </c>
      <c r="BB1462" s="19">
        <v>0</v>
      </c>
      <c r="BC1462" s="19">
        <v>0</v>
      </c>
      <c r="BD1462" s="19">
        <v>0</v>
      </c>
      <c r="BE1462" s="22" t="s">
        <v>3156</v>
      </c>
      <c r="BF1462" s="22" t="s">
        <v>3157</v>
      </c>
      <c r="BG1462" s="19">
        <v>0</v>
      </c>
      <c r="BH1462" s="21">
        <v>0</v>
      </c>
      <c r="BI1462" s="19">
        <v>0</v>
      </c>
      <c r="BJ1462" s="19">
        <v>0</v>
      </c>
      <c r="BK1462" s="19">
        <v>0</v>
      </c>
      <c r="BL1462" s="19">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64100002</v>
      </c>
      <c r="D1463" s="35" t="s">
        <v>3158</v>
      </c>
      <c r="E1463" s="35" t="s">
        <v>3159</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19">
        <v>0</v>
      </c>
      <c r="AU1463" s="32">
        <v>90610021</v>
      </c>
      <c r="AV1463" s="32"/>
      <c r="AW1463" s="20" t="s">
        <v>262</v>
      </c>
      <c r="AX1463" s="19" t="s">
        <v>1977</v>
      </c>
      <c r="AY1463" s="19" t="s">
        <v>204</v>
      </c>
      <c r="AZ1463" s="19">
        <v>0</v>
      </c>
      <c r="BA1463" s="20" t="s">
        <v>206</v>
      </c>
      <c r="BB1463" s="19">
        <v>0</v>
      </c>
      <c r="BC1463" s="19">
        <v>0</v>
      </c>
      <c r="BD1463" s="19">
        <v>0</v>
      </c>
      <c r="BE1463" s="22" t="s">
        <v>3156</v>
      </c>
      <c r="BF1463" s="22" t="s">
        <v>3157</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100000000000001" customHeight="1">
      <c r="C1464" s="32">
        <v>64100003</v>
      </c>
      <c r="D1464" s="30" t="s">
        <v>3160</v>
      </c>
      <c r="E1464" s="30" t="s">
        <v>3161</v>
      </c>
      <c r="F1464" s="32">
        <v>1</v>
      </c>
      <c r="G1464" s="19">
        <v>0</v>
      </c>
      <c r="H1464" s="32">
        <v>0</v>
      </c>
      <c r="I1464" s="31">
        <v>0</v>
      </c>
      <c r="J1464" s="21">
        <v>0</v>
      </c>
      <c r="K1464" s="32">
        <v>0</v>
      </c>
      <c r="L1464" s="32">
        <v>0</v>
      </c>
      <c r="M1464" s="21">
        <v>0</v>
      </c>
      <c r="N1464" s="21">
        <v>0</v>
      </c>
      <c r="O1464" s="21">
        <v>2</v>
      </c>
      <c r="P1464" s="21">
        <v>3</v>
      </c>
      <c r="Q1464" s="21">
        <v>0.2</v>
      </c>
      <c r="R1464" s="21">
        <v>0</v>
      </c>
      <c r="S1464" s="19">
        <v>1</v>
      </c>
      <c r="T1464" s="21">
        <v>0</v>
      </c>
      <c r="U1464" s="21">
        <v>1</v>
      </c>
      <c r="V1464" s="21">
        <v>2</v>
      </c>
      <c r="W1464" s="21">
        <v>0</v>
      </c>
      <c r="X1464" s="21">
        <v>3</v>
      </c>
      <c r="Y1464" s="19">
        <v>0</v>
      </c>
      <c r="Z1464" s="21">
        <v>0</v>
      </c>
      <c r="AA1464" s="21">
        <v>1</v>
      </c>
      <c r="AB1464" s="21">
        <v>0</v>
      </c>
      <c r="AC1464" s="21">
        <v>0</v>
      </c>
      <c r="AD1464" s="21">
        <v>0</v>
      </c>
      <c r="AE1464" s="21">
        <v>0</v>
      </c>
      <c r="AF1464" s="21">
        <v>8</v>
      </c>
      <c r="AG1464" s="21">
        <v>1</v>
      </c>
      <c r="AH1464" s="21">
        <v>3</v>
      </c>
      <c r="AI1464" s="19">
        <v>1</v>
      </c>
      <c r="AJ1464" s="19">
        <v>1</v>
      </c>
      <c r="AK1464" s="19">
        <v>0</v>
      </c>
      <c r="AL1464" s="19">
        <v>1.5</v>
      </c>
      <c r="AM1464" s="21">
        <v>0</v>
      </c>
      <c r="AN1464" s="21">
        <v>0</v>
      </c>
      <c r="AO1464" s="21">
        <v>0</v>
      </c>
      <c r="AP1464" s="21">
        <v>0</v>
      </c>
      <c r="AQ1464" s="21">
        <v>5000</v>
      </c>
      <c r="AR1464" s="21">
        <v>3</v>
      </c>
      <c r="AS1464" s="21">
        <v>0</v>
      </c>
      <c r="AT1464" s="19">
        <v>0</v>
      </c>
      <c r="AU1464" s="21" t="s">
        <v>204</v>
      </c>
      <c r="AV1464" s="21"/>
      <c r="AW1464" s="35" t="s">
        <v>205</v>
      </c>
      <c r="AX1464" s="21" t="s">
        <v>540</v>
      </c>
      <c r="AY1464" s="32">
        <v>10000007</v>
      </c>
      <c r="AZ1464" s="32">
        <v>70103003</v>
      </c>
      <c r="BA1464" s="30" t="s">
        <v>206</v>
      </c>
      <c r="BB1464" s="21" t="s">
        <v>3162</v>
      </c>
      <c r="BC1464" s="31">
        <v>0</v>
      </c>
      <c r="BD1464" s="31">
        <v>0</v>
      </c>
      <c r="BE1464" s="33" t="s">
        <v>3163</v>
      </c>
      <c r="BF1464" s="33" t="s">
        <v>3164</v>
      </c>
      <c r="BG1464" s="21">
        <v>0</v>
      </c>
      <c r="BH1464" s="21">
        <v>0</v>
      </c>
      <c r="BI1464" s="21">
        <v>0</v>
      </c>
      <c r="BJ1464" s="21">
        <v>0</v>
      </c>
      <c r="BK1464" s="21">
        <v>0</v>
      </c>
      <c r="BL1464" s="21">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64100004</v>
      </c>
      <c r="D1465" s="35" t="s">
        <v>3165</v>
      </c>
      <c r="E1465" s="35" t="s">
        <v>3166</v>
      </c>
      <c r="F1465" s="21">
        <v>1</v>
      </c>
      <c r="G1465" s="19">
        <v>0</v>
      </c>
      <c r="H1465" s="32">
        <v>0</v>
      </c>
      <c r="I1465" s="19">
        <v>0</v>
      </c>
      <c r="J1465" s="21">
        <v>0</v>
      </c>
      <c r="K1465" s="32">
        <v>0</v>
      </c>
      <c r="L1465" s="21">
        <v>0</v>
      </c>
      <c r="M1465" s="19">
        <v>0</v>
      </c>
      <c r="N1465" s="19">
        <v>0</v>
      </c>
      <c r="O1465" s="32">
        <v>2</v>
      </c>
      <c r="P1465" s="32">
        <v>1</v>
      </c>
      <c r="Q1465" s="32">
        <v>1</v>
      </c>
      <c r="R1465" s="19">
        <v>0</v>
      </c>
      <c r="S1465" s="19">
        <v>0</v>
      </c>
      <c r="T1465" s="19">
        <v>0</v>
      </c>
      <c r="U1465" s="21">
        <v>1</v>
      </c>
      <c r="V1465" s="19">
        <v>2</v>
      </c>
      <c r="W1465" s="19">
        <v>0</v>
      </c>
      <c r="X1465" s="32">
        <v>0</v>
      </c>
      <c r="Y1465" s="19">
        <v>0</v>
      </c>
      <c r="Z1465" s="32">
        <v>0</v>
      </c>
      <c r="AA1465" s="19">
        <v>0</v>
      </c>
      <c r="AB1465" s="19">
        <v>0</v>
      </c>
      <c r="AC1465" s="19">
        <v>0</v>
      </c>
      <c r="AD1465" s="32">
        <v>0</v>
      </c>
      <c r="AE1465" s="19">
        <v>0</v>
      </c>
      <c r="AF1465" s="32">
        <v>30</v>
      </c>
      <c r="AG1465" s="19">
        <v>1</v>
      </c>
      <c r="AH1465" s="19">
        <v>3</v>
      </c>
      <c r="AI1465" s="19">
        <v>2</v>
      </c>
      <c r="AJ1465" s="19">
        <v>1</v>
      </c>
      <c r="AK1465" s="19">
        <v>1</v>
      </c>
      <c r="AL1465" s="19">
        <v>6</v>
      </c>
      <c r="AM1465" s="19">
        <v>0</v>
      </c>
      <c r="AN1465" s="19">
        <v>0</v>
      </c>
      <c r="AO1465" s="19">
        <v>0</v>
      </c>
      <c r="AP1465" s="32">
        <v>0</v>
      </c>
      <c r="AQ1465" s="19">
        <v>3000</v>
      </c>
      <c r="AR1465" s="19">
        <v>0.1</v>
      </c>
      <c r="AS1465" s="19">
        <v>0</v>
      </c>
      <c r="AT1465" s="32">
        <v>90610041</v>
      </c>
      <c r="AU1465" s="32">
        <v>90610041</v>
      </c>
      <c r="AV1465" s="32"/>
      <c r="AW1465" s="20" t="s">
        <v>262</v>
      </c>
      <c r="AX1465" s="19" t="s">
        <v>1977</v>
      </c>
      <c r="AY1465" s="19" t="s">
        <v>204</v>
      </c>
      <c r="AZ1465" s="19">
        <v>0</v>
      </c>
      <c r="BA1465" s="20" t="s">
        <v>206</v>
      </c>
      <c r="BB1465" s="19">
        <v>0</v>
      </c>
      <c r="BC1465" s="19">
        <v>0</v>
      </c>
      <c r="BD1465" s="19">
        <v>0</v>
      </c>
      <c r="BE1465" s="22" t="s">
        <v>3156</v>
      </c>
      <c r="BF1465" s="22" t="s">
        <v>3157</v>
      </c>
      <c r="BG1465" s="19">
        <v>0</v>
      </c>
      <c r="BH1465" s="21">
        <v>0</v>
      </c>
      <c r="BI1465" s="19">
        <v>0</v>
      </c>
      <c r="BJ1465" s="19">
        <v>0</v>
      </c>
      <c r="BK1465" s="19">
        <v>0</v>
      </c>
      <c r="BL1465" s="19">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25" customHeight="1">
      <c r="C1466" s="32">
        <v>64100005</v>
      </c>
      <c r="D1466" s="35" t="s">
        <v>2848</v>
      </c>
      <c r="E1466" s="35" t="s">
        <v>2849</v>
      </c>
      <c r="F1466" s="32">
        <v>1</v>
      </c>
      <c r="G1466" s="19">
        <v>0</v>
      </c>
      <c r="H1466" s="32">
        <v>0</v>
      </c>
      <c r="I1466" s="31">
        <v>0</v>
      </c>
      <c r="J1466" s="21">
        <v>0</v>
      </c>
      <c r="K1466" s="32">
        <v>0</v>
      </c>
      <c r="L1466" s="21">
        <v>0</v>
      </c>
      <c r="M1466" s="32">
        <v>0</v>
      </c>
      <c r="N1466" s="32">
        <v>0</v>
      </c>
      <c r="O1466" s="32">
        <v>2</v>
      </c>
      <c r="P1466" s="32">
        <v>2</v>
      </c>
      <c r="Q1466" s="32">
        <v>0.3</v>
      </c>
      <c r="R1466" s="32">
        <v>0</v>
      </c>
      <c r="S1466" s="19">
        <v>0</v>
      </c>
      <c r="T1466" s="31">
        <v>0</v>
      </c>
      <c r="U1466" s="21">
        <v>1</v>
      </c>
      <c r="V1466" s="32">
        <v>1</v>
      </c>
      <c r="W1466" s="32">
        <v>0</v>
      </c>
      <c r="X1466" s="32">
        <v>3</v>
      </c>
      <c r="Y1466" s="19">
        <v>0</v>
      </c>
      <c r="Z1466" s="32">
        <v>0</v>
      </c>
      <c r="AA1466" s="32">
        <v>0</v>
      </c>
      <c r="AB1466" s="32">
        <v>0</v>
      </c>
      <c r="AC1466" s="32">
        <v>0</v>
      </c>
      <c r="AD1466" s="32">
        <v>1</v>
      </c>
      <c r="AE1466" s="32">
        <v>0</v>
      </c>
      <c r="AF1466" s="32">
        <v>15</v>
      </c>
      <c r="AG1466" s="32">
        <v>0</v>
      </c>
      <c r="AH1466" s="32">
        <v>3</v>
      </c>
      <c r="AI1466" s="19">
        <v>7</v>
      </c>
      <c r="AJ1466" s="19">
        <v>0</v>
      </c>
      <c r="AK1466" s="19">
        <v>1</v>
      </c>
      <c r="AL1466" s="19">
        <v>6</v>
      </c>
      <c r="AM1466" s="32">
        <v>0</v>
      </c>
      <c r="AN1466" s="32">
        <v>0</v>
      </c>
      <c r="AO1466" s="32">
        <v>0</v>
      </c>
      <c r="AP1466" s="32">
        <v>0</v>
      </c>
      <c r="AQ1466" s="32">
        <v>3000</v>
      </c>
      <c r="AR1466" s="32">
        <v>0.5</v>
      </c>
      <c r="AS1466" s="32">
        <v>20</v>
      </c>
      <c r="AT1466" s="19">
        <v>0</v>
      </c>
      <c r="AU1466" s="251">
        <v>90610051</v>
      </c>
      <c r="AV1466" s="252"/>
      <c r="AW1466" s="30" t="s">
        <v>248</v>
      </c>
      <c r="AX1466" s="32" t="s">
        <v>1802</v>
      </c>
      <c r="AY1466" s="32">
        <v>10000011</v>
      </c>
      <c r="AZ1466" s="32">
        <v>20001010</v>
      </c>
      <c r="BA1466" s="35" t="s">
        <v>256</v>
      </c>
      <c r="BB1466" s="35" t="s">
        <v>204</v>
      </c>
      <c r="BC1466" s="31">
        <v>0</v>
      </c>
      <c r="BD1466" s="31">
        <v>0</v>
      </c>
      <c r="BE1466" s="33" t="s">
        <v>3167</v>
      </c>
      <c r="BF1466" s="33" t="s">
        <v>3168</v>
      </c>
      <c r="BG1466" s="32">
        <v>0</v>
      </c>
      <c r="BH1466" s="21">
        <v>0</v>
      </c>
      <c r="BI1466" s="32">
        <v>0</v>
      </c>
      <c r="BJ1466" s="32">
        <v>0</v>
      </c>
      <c r="BK1466" s="32">
        <v>0</v>
      </c>
      <c r="BL1466" s="32">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100000000000001" customHeight="1">
      <c r="C1467" s="32">
        <v>64100006</v>
      </c>
      <c r="D1467" s="35" t="s">
        <v>1330</v>
      </c>
      <c r="E1467" s="35" t="s">
        <v>1331</v>
      </c>
      <c r="F1467" s="32">
        <v>1</v>
      </c>
      <c r="G1467" s="32">
        <v>60010500</v>
      </c>
      <c r="H1467" s="32">
        <v>0</v>
      </c>
      <c r="I1467" s="31">
        <v>0</v>
      </c>
      <c r="J1467" s="21">
        <v>0</v>
      </c>
      <c r="K1467" s="32">
        <v>0</v>
      </c>
      <c r="L1467" s="32">
        <v>0</v>
      </c>
      <c r="M1467" s="32">
        <v>0</v>
      </c>
      <c r="N1467" s="32">
        <v>0</v>
      </c>
      <c r="O1467" s="21">
        <v>2</v>
      </c>
      <c r="P1467" s="32">
        <v>7</v>
      </c>
      <c r="Q1467" s="32">
        <v>0.1</v>
      </c>
      <c r="R1467" s="32">
        <v>0</v>
      </c>
      <c r="S1467" s="19">
        <v>0</v>
      </c>
      <c r="T1467" s="31">
        <v>0</v>
      </c>
      <c r="U1467" s="21">
        <v>1</v>
      </c>
      <c r="V1467" s="32">
        <v>1</v>
      </c>
      <c r="W1467" s="32">
        <v>0</v>
      </c>
      <c r="X1467" s="32">
        <v>1</v>
      </c>
      <c r="Y1467" s="19">
        <v>0</v>
      </c>
      <c r="Z1467" s="32">
        <v>0</v>
      </c>
      <c r="AA1467" s="32">
        <v>0</v>
      </c>
      <c r="AB1467" s="32">
        <v>0</v>
      </c>
      <c r="AC1467" s="32">
        <v>0</v>
      </c>
      <c r="AD1467" s="21">
        <v>0</v>
      </c>
      <c r="AE1467" s="32">
        <v>0</v>
      </c>
      <c r="AF1467" s="32">
        <v>15</v>
      </c>
      <c r="AG1467" s="32">
        <v>0</v>
      </c>
      <c r="AH1467" s="32">
        <v>0</v>
      </c>
      <c r="AI1467" s="19">
        <v>7</v>
      </c>
      <c r="AJ1467" s="19">
        <v>0</v>
      </c>
      <c r="AK1467" s="19">
        <v>0</v>
      </c>
      <c r="AL1467" s="19">
        <v>0</v>
      </c>
      <c r="AM1467" s="32">
        <v>0</v>
      </c>
      <c r="AN1467" s="32">
        <v>0</v>
      </c>
      <c r="AO1467" s="32">
        <v>0</v>
      </c>
      <c r="AP1467" s="32">
        <v>0</v>
      </c>
      <c r="AQ1467" s="32">
        <v>1000</v>
      </c>
      <c r="AR1467" s="32">
        <v>0.5</v>
      </c>
      <c r="AS1467" s="32">
        <v>0</v>
      </c>
      <c r="AT1467" s="19">
        <v>0</v>
      </c>
      <c r="AU1467" s="19">
        <v>90202001</v>
      </c>
      <c r="AV1467" s="19"/>
      <c r="AW1467" s="35" t="s">
        <v>747</v>
      </c>
      <c r="AX1467" s="32">
        <v>0</v>
      </c>
      <c r="AY1467" s="32">
        <v>10007001</v>
      </c>
      <c r="AZ1467" s="32">
        <v>0</v>
      </c>
      <c r="BA1467" s="35" t="s">
        <v>206</v>
      </c>
      <c r="BB1467" s="35" t="s">
        <v>204</v>
      </c>
      <c r="BC1467" s="31">
        <v>0</v>
      </c>
      <c r="BD1467" s="31">
        <v>0</v>
      </c>
      <c r="BE1467" s="60" t="s">
        <v>3169</v>
      </c>
      <c r="BF1467" s="60" t="s">
        <v>3170</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64100007</v>
      </c>
      <c r="D1468" s="30" t="s">
        <v>3160</v>
      </c>
      <c r="E1468" s="30" t="s">
        <v>3161</v>
      </c>
      <c r="F1468" s="32">
        <v>1</v>
      </c>
      <c r="G1468" s="19">
        <v>0</v>
      </c>
      <c r="H1468" s="32">
        <v>0</v>
      </c>
      <c r="I1468" s="31">
        <v>0</v>
      </c>
      <c r="J1468" s="21">
        <v>0</v>
      </c>
      <c r="K1468" s="32">
        <v>0</v>
      </c>
      <c r="L1468" s="32">
        <v>0</v>
      </c>
      <c r="M1468" s="21">
        <v>0</v>
      </c>
      <c r="N1468" s="21">
        <v>0</v>
      </c>
      <c r="O1468" s="21">
        <v>2</v>
      </c>
      <c r="P1468" s="21">
        <v>3</v>
      </c>
      <c r="Q1468" s="21">
        <v>0.2</v>
      </c>
      <c r="R1468" s="21">
        <v>0</v>
      </c>
      <c r="S1468" s="19">
        <v>0</v>
      </c>
      <c r="T1468" s="21">
        <v>0</v>
      </c>
      <c r="U1468" s="21">
        <v>1</v>
      </c>
      <c r="V1468" s="21">
        <v>2</v>
      </c>
      <c r="W1468" s="21">
        <v>0</v>
      </c>
      <c r="X1468" s="21">
        <v>3</v>
      </c>
      <c r="Y1468" s="19">
        <v>0</v>
      </c>
      <c r="Z1468" s="21">
        <v>0</v>
      </c>
      <c r="AA1468" s="21">
        <v>1</v>
      </c>
      <c r="AB1468" s="21">
        <v>0</v>
      </c>
      <c r="AC1468" s="21">
        <v>0</v>
      </c>
      <c r="AD1468" s="21">
        <v>0</v>
      </c>
      <c r="AE1468" s="21">
        <v>0</v>
      </c>
      <c r="AF1468" s="21">
        <v>8</v>
      </c>
      <c r="AG1468" s="21">
        <v>1</v>
      </c>
      <c r="AH1468" s="21">
        <v>3</v>
      </c>
      <c r="AI1468" s="19">
        <v>1</v>
      </c>
      <c r="AJ1468" s="19">
        <v>1</v>
      </c>
      <c r="AK1468" s="19">
        <v>0</v>
      </c>
      <c r="AL1468" s="19">
        <v>1.5</v>
      </c>
      <c r="AM1468" s="21">
        <v>0</v>
      </c>
      <c r="AN1468" s="21">
        <v>0</v>
      </c>
      <c r="AO1468" s="21">
        <v>0</v>
      </c>
      <c r="AP1468" s="21">
        <v>0</v>
      </c>
      <c r="AQ1468" s="21">
        <v>5000</v>
      </c>
      <c r="AR1468" s="21">
        <v>3</v>
      </c>
      <c r="AS1468" s="21">
        <v>0</v>
      </c>
      <c r="AT1468" s="19">
        <v>0</v>
      </c>
      <c r="AU1468" s="21" t="s">
        <v>204</v>
      </c>
      <c r="AV1468" s="21"/>
      <c r="AW1468" s="35" t="s">
        <v>205</v>
      </c>
      <c r="AX1468" s="21" t="s">
        <v>540</v>
      </c>
      <c r="AY1468" s="32">
        <v>10000011</v>
      </c>
      <c r="AZ1468" s="32">
        <v>70204001</v>
      </c>
      <c r="BA1468" s="30" t="s">
        <v>206</v>
      </c>
      <c r="BB1468" s="21" t="s">
        <v>3171</v>
      </c>
      <c r="BC1468" s="31">
        <v>0</v>
      </c>
      <c r="BD1468" s="31">
        <v>0</v>
      </c>
      <c r="BE1468" s="33" t="s">
        <v>3163</v>
      </c>
      <c r="BF1468" s="33" t="s">
        <v>3164</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20.25" customHeight="1">
      <c r="C1469" s="32">
        <v>641000071</v>
      </c>
      <c r="D1469" s="35" t="s">
        <v>2848</v>
      </c>
      <c r="E1469" s="35" t="s">
        <v>2849</v>
      </c>
      <c r="F1469" s="32">
        <v>1</v>
      </c>
      <c r="G1469" s="19">
        <v>0</v>
      </c>
      <c r="H1469" s="32">
        <v>0</v>
      </c>
      <c r="I1469" s="31">
        <v>0</v>
      </c>
      <c r="J1469" s="21">
        <v>0</v>
      </c>
      <c r="K1469" s="32">
        <v>0</v>
      </c>
      <c r="L1469" s="21">
        <v>0</v>
      </c>
      <c r="M1469" s="32">
        <v>0</v>
      </c>
      <c r="N1469" s="32">
        <v>0</v>
      </c>
      <c r="O1469" s="32">
        <v>2</v>
      </c>
      <c r="P1469" s="32">
        <v>3</v>
      </c>
      <c r="Q1469" s="32">
        <v>0.3</v>
      </c>
      <c r="R1469" s="32">
        <v>0</v>
      </c>
      <c r="S1469" s="19">
        <v>1</v>
      </c>
      <c r="T1469" s="31">
        <v>0</v>
      </c>
      <c r="U1469" s="21">
        <v>1</v>
      </c>
      <c r="V1469" s="32">
        <v>1</v>
      </c>
      <c r="W1469" s="32">
        <v>0</v>
      </c>
      <c r="X1469" s="32">
        <v>3</v>
      </c>
      <c r="Y1469" s="19">
        <v>0</v>
      </c>
      <c r="Z1469" s="32">
        <v>0</v>
      </c>
      <c r="AA1469" s="32">
        <v>0</v>
      </c>
      <c r="AB1469" s="32">
        <v>0</v>
      </c>
      <c r="AC1469" s="32">
        <v>0</v>
      </c>
      <c r="AD1469" s="32">
        <v>1</v>
      </c>
      <c r="AE1469" s="32">
        <v>0</v>
      </c>
      <c r="AF1469" s="32">
        <v>15</v>
      </c>
      <c r="AG1469" s="32">
        <v>0</v>
      </c>
      <c r="AH1469" s="32">
        <v>3</v>
      </c>
      <c r="AI1469" s="19">
        <v>7</v>
      </c>
      <c r="AJ1469" s="19">
        <v>0</v>
      </c>
      <c r="AK1469" s="19">
        <v>1</v>
      </c>
      <c r="AL1469" s="19">
        <v>6</v>
      </c>
      <c r="AM1469" s="32">
        <v>0</v>
      </c>
      <c r="AN1469" s="32">
        <v>0</v>
      </c>
      <c r="AO1469" s="32">
        <v>0</v>
      </c>
      <c r="AP1469" s="32">
        <v>0</v>
      </c>
      <c r="AQ1469" s="32">
        <v>3000</v>
      </c>
      <c r="AR1469" s="32">
        <v>0.5</v>
      </c>
      <c r="AS1469" s="32">
        <v>20</v>
      </c>
      <c r="AT1469" s="19">
        <v>0</v>
      </c>
      <c r="AU1469" s="251">
        <v>0</v>
      </c>
      <c r="AV1469" s="252"/>
      <c r="AW1469" s="30" t="s">
        <v>248</v>
      </c>
      <c r="AX1469" s="32" t="s">
        <v>1802</v>
      </c>
      <c r="AY1469" s="32">
        <v>10000011</v>
      </c>
      <c r="AZ1469" s="32">
        <v>70204001</v>
      </c>
      <c r="BA1469" s="35" t="s">
        <v>256</v>
      </c>
      <c r="BB1469" s="35" t="s">
        <v>204</v>
      </c>
      <c r="BC1469" s="31">
        <v>0</v>
      </c>
      <c r="BD1469" s="31">
        <v>0</v>
      </c>
      <c r="BE1469" s="33" t="s">
        <v>3167</v>
      </c>
      <c r="BF1469" s="33" t="s">
        <v>3168</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20.100000000000001" customHeight="1">
      <c r="C1470" s="32">
        <v>64100008</v>
      </c>
      <c r="D1470" s="30" t="s">
        <v>5753</v>
      </c>
      <c r="E1470" s="30" t="s">
        <v>3172</v>
      </c>
      <c r="F1470" s="32">
        <v>1</v>
      </c>
      <c r="G1470" s="21">
        <v>62021501</v>
      </c>
      <c r="H1470" s="21">
        <v>0</v>
      </c>
      <c r="I1470" s="31">
        <v>0</v>
      </c>
      <c r="J1470" s="21">
        <v>0</v>
      </c>
      <c r="K1470" s="21">
        <v>0</v>
      </c>
      <c r="L1470" s="32">
        <v>0</v>
      </c>
      <c r="M1470" s="21">
        <v>0</v>
      </c>
      <c r="N1470" s="21">
        <v>0</v>
      </c>
      <c r="O1470" s="21">
        <v>2</v>
      </c>
      <c r="P1470" s="21">
        <v>1</v>
      </c>
      <c r="Q1470" s="21">
        <v>0.2</v>
      </c>
      <c r="R1470" s="21">
        <v>0</v>
      </c>
      <c r="S1470" s="19">
        <v>0</v>
      </c>
      <c r="T1470" s="21">
        <v>0</v>
      </c>
      <c r="U1470" s="21">
        <v>1</v>
      </c>
      <c r="V1470" s="21">
        <v>2</v>
      </c>
      <c r="W1470" s="21">
        <v>0</v>
      </c>
      <c r="X1470" s="21">
        <v>0</v>
      </c>
      <c r="Y1470" s="19">
        <v>0</v>
      </c>
      <c r="Z1470" s="21">
        <v>0</v>
      </c>
      <c r="AA1470" s="21">
        <v>0</v>
      </c>
      <c r="AB1470" s="21">
        <v>0</v>
      </c>
      <c r="AC1470" s="21">
        <v>0</v>
      </c>
      <c r="AD1470" s="21">
        <v>0</v>
      </c>
      <c r="AE1470" s="21">
        <v>0</v>
      </c>
      <c r="AF1470" s="21">
        <v>30</v>
      </c>
      <c r="AG1470" s="21">
        <v>0</v>
      </c>
      <c r="AH1470" s="21">
        <v>0</v>
      </c>
      <c r="AI1470" s="19">
        <v>2</v>
      </c>
      <c r="AJ1470" s="19">
        <v>2</v>
      </c>
      <c r="AK1470" s="19">
        <v>0</v>
      </c>
      <c r="AL1470" s="19">
        <v>1.5</v>
      </c>
      <c r="AM1470" s="21">
        <v>0</v>
      </c>
      <c r="AN1470" s="21">
        <v>0</v>
      </c>
      <c r="AO1470" s="21">
        <v>0</v>
      </c>
      <c r="AP1470" s="32">
        <v>0</v>
      </c>
      <c r="AQ1470" s="21">
        <v>3000</v>
      </c>
      <c r="AR1470" s="21">
        <v>0</v>
      </c>
      <c r="AS1470" s="21">
        <v>0</v>
      </c>
      <c r="AT1470" s="19">
        <v>0</v>
      </c>
      <c r="AU1470" s="21" t="s">
        <v>204</v>
      </c>
      <c r="AV1470" s="21"/>
      <c r="AW1470" s="30" t="s">
        <v>205</v>
      </c>
      <c r="AX1470" s="21" t="s">
        <v>551</v>
      </c>
      <c r="AY1470" s="32">
        <v>0</v>
      </c>
      <c r="AZ1470" s="32">
        <v>21101051</v>
      </c>
      <c r="BA1470" s="30" t="s">
        <v>1180</v>
      </c>
      <c r="BB1470" s="341" t="s">
        <v>3173</v>
      </c>
      <c r="BC1470" s="31">
        <v>0</v>
      </c>
      <c r="BD1470" s="31">
        <v>0</v>
      </c>
      <c r="BE1470" s="33" t="s">
        <v>3174</v>
      </c>
      <c r="BF1470" s="33" t="s">
        <v>3175</v>
      </c>
      <c r="BG1470" s="21">
        <v>0</v>
      </c>
      <c r="BH1470" s="21">
        <v>0</v>
      </c>
      <c r="BI1470" s="21">
        <v>0</v>
      </c>
      <c r="BJ1470" s="21">
        <v>0</v>
      </c>
      <c r="BK1470" s="21">
        <v>0</v>
      </c>
      <c r="BL1470" s="21">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19.5" customHeight="1">
      <c r="C1471" s="32">
        <v>64100009</v>
      </c>
      <c r="D1471" s="35" t="s">
        <v>1889</v>
      </c>
      <c r="E1471" s="35" t="s">
        <v>1890</v>
      </c>
      <c r="F1471" s="21">
        <v>1</v>
      </c>
      <c r="G1471" s="32">
        <v>62021301</v>
      </c>
      <c r="H1471" s="32">
        <v>0</v>
      </c>
      <c r="I1471" s="31">
        <v>0</v>
      </c>
      <c r="J1471" s="21">
        <v>1</v>
      </c>
      <c r="K1471" s="32">
        <v>0</v>
      </c>
      <c r="L1471" s="21">
        <v>0</v>
      </c>
      <c r="M1471" s="32">
        <v>0</v>
      </c>
      <c r="N1471" s="32">
        <v>0</v>
      </c>
      <c r="O1471" s="32">
        <v>2</v>
      </c>
      <c r="P1471" s="32">
        <v>10</v>
      </c>
      <c r="Q1471" s="32">
        <v>0.8</v>
      </c>
      <c r="R1471" s="32">
        <v>0</v>
      </c>
      <c r="S1471" s="19">
        <v>0</v>
      </c>
      <c r="T1471" s="31">
        <v>0</v>
      </c>
      <c r="U1471" s="21">
        <v>1</v>
      </c>
      <c r="V1471" s="32">
        <v>2</v>
      </c>
      <c r="W1471" s="32">
        <v>0</v>
      </c>
      <c r="X1471" s="32">
        <v>2.5</v>
      </c>
      <c r="Y1471" s="19">
        <v>0</v>
      </c>
      <c r="Z1471" s="32">
        <v>1500</v>
      </c>
      <c r="AA1471" s="32">
        <v>0</v>
      </c>
      <c r="AB1471" s="32">
        <v>0</v>
      </c>
      <c r="AC1471" s="32">
        <v>0</v>
      </c>
      <c r="AD1471" s="32">
        <v>0</v>
      </c>
      <c r="AE1471" s="32">
        <v>0</v>
      </c>
      <c r="AF1471" s="32">
        <v>5</v>
      </c>
      <c r="AG1471" s="32">
        <v>1</v>
      </c>
      <c r="AH1471" s="32">
        <v>2</v>
      </c>
      <c r="AI1471" s="19">
        <v>2</v>
      </c>
      <c r="AJ1471" s="19">
        <v>2</v>
      </c>
      <c r="AK1471" s="19">
        <v>0</v>
      </c>
      <c r="AL1471" s="19">
        <v>4</v>
      </c>
      <c r="AM1471" s="32">
        <v>0</v>
      </c>
      <c r="AN1471" s="32">
        <v>0</v>
      </c>
      <c r="AO1471" s="32">
        <v>0</v>
      </c>
      <c r="AP1471" s="32">
        <v>0</v>
      </c>
      <c r="AQ1471" s="32">
        <v>30000</v>
      </c>
      <c r="AR1471" s="32">
        <v>0.5</v>
      </c>
      <c r="AS1471" s="32">
        <v>10</v>
      </c>
      <c r="AT1471" s="19">
        <v>0</v>
      </c>
      <c r="AU1471" s="32">
        <v>92002001</v>
      </c>
      <c r="AV1471" s="32"/>
      <c r="AW1471" s="35" t="s">
        <v>205</v>
      </c>
      <c r="AX1471" s="32" t="s">
        <v>551</v>
      </c>
      <c r="AY1471" s="32">
        <v>10003002</v>
      </c>
      <c r="AZ1471" s="32">
        <v>70204006</v>
      </c>
      <c r="BA1471" s="35" t="s">
        <v>592</v>
      </c>
      <c r="BB1471" s="35">
        <v>0</v>
      </c>
      <c r="BC1471" s="31">
        <v>0</v>
      </c>
      <c r="BD1471" s="31">
        <v>0</v>
      </c>
      <c r="BE1471" s="185" t="str">
        <f t="shared" ref="BE1471" si="147">"立即对指定前方区域释放冲击波,冲击波对触碰的怪物造成"&amp;X1471*100&amp;"%攻击伤害+"&amp;Z1471&amp;"点固定伤害"</f>
        <v>立即对指定前方区域释放冲击波,冲击波对触碰的怪物造成250%攻击伤害+1500点固定伤害</v>
      </c>
      <c r="BF1471" s="185" t="s">
        <v>1891</v>
      </c>
      <c r="BG1471" s="32">
        <v>0</v>
      </c>
      <c r="BH1471" s="21">
        <v>0</v>
      </c>
      <c r="BI1471" s="32">
        <v>0</v>
      </c>
      <c r="BJ1471" s="32">
        <v>0</v>
      </c>
      <c r="BK1471" s="32">
        <v>0</v>
      </c>
      <c r="BL1471" s="32">
        <v>0</v>
      </c>
      <c r="BM1471" s="25">
        <v>0</v>
      </c>
      <c r="BN1471" s="19">
        <v>0</v>
      </c>
      <c r="BO1471" s="19">
        <v>0</v>
      </c>
      <c r="BP1471" s="19">
        <v>0</v>
      </c>
      <c r="BQ1471" s="19">
        <v>0</v>
      </c>
      <c r="BR1471" s="19">
        <v>0</v>
      </c>
      <c r="BS1471" s="19">
        <v>0</v>
      </c>
      <c r="BT1471" s="19">
        <v>0</v>
      </c>
      <c r="BU1471" s="23">
        <v>0</v>
      </c>
      <c r="BV1471" s="23"/>
      <c r="BW1471" s="23"/>
      <c r="BX1471" s="23"/>
      <c r="BY1471" s="23"/>
      <c r="BZ1471" s="23"/>
    </row>
    <row r="1472" spans="3:78" ht="19.5" customHeight="1">
      <c r="C1472" s="32">
        <v>64100010</v>
      </c>
      <c r="D1472" s="35" t="s">
        <v>1892</v>
      </c>
      <c r="E1472" s="35" t="s">
        <v>1893</v>
      </c>
      <c r="F1472" s="21">
        <v>1</v>
      </c>
      <c r="G1472" s="32">
        <v>62011101</v>
      </c>
      <c r="H1472" s="21">
        <v>0</v>
      </c>
      <c r="I1472" s="31">
        <v>0</v>
      </c>
      <c r="J1472" s="21">
        <v>1</v>
      </c>
      <c r="K1472" s="21">
        <v>0</v>
      </c>
      <c r="L1472" s="21">
        <v>0</v>
      </c>
      <c r="M1472" s="32">
        <v>0</v>
      </c>
      <c r="N1472" s="32">
        <v>0</v>
      </c>
      <c r="O1472" s="32">
        <v>2</v>
      </c>
      <c r="P1472" s="32">
        <v>10</v>
      </c>
      <c r="Q1472" s="32">
        <v>0.8</v>
      </c>
      <c r="R1472" s="32">
        <v>0</v>
      </c>
      <c r="S1472" s="19">
        <v>0</v>
      </c>
      <c r="T1472" s="31">
        <v>0</v>
      </c>
      <c r="U1472" s="21">
        <v>1</v>
      </c>
      <c r="V1472" s="32">
        <v>2</v>
      </c>
      <c r="W1472" s="32">
        <v>0</v>
      </c>
      <c r="X1472" s="32">
        <v>2.5</v>
      </c>
      <c r="Y1472" s="19">
        <v>0</v>
      </c>
      <c r="Z1472" s="32">
        <v>1000</v>
      </c>
      <c r="AA1472" s="32">
        <v>0</v>
      </c>
      <c r="AB1472" s="32">
        <v>0</v>
      </c>
      <c r="AC1472" s="32">
        <v>0</v>
      </c>
      <c r="AD1472" s="32">
        <v>0</v>
      </c>
      <c r="AE1472" s="32">
        <v>0</v>
      </c>
      <c r="AF1472" s="32">
        <v>8</v>
      </c>
      <c r="AG1472" s="32">
        <v>1</v>
      </c>
      <c r="AH1472" s="32">
        <v>3</v>
      </c>
      <c r="AI1472" s="19">
        <v>2</v>
      </c>
      <c r="AJ1472" s="19">
        <v>1</v>
      </c>
      <c r="AK1472" s="19">
        <v>0</v>
      </c>
      <c r="AL1472" s="19">
        <v>6</v>
      </c>
      <c r="AM1472" s="32">
        <v>0</v>
      </c>
      <c r="AN1472" s="32">
        <v>0</v>
      </c>
      <c r="AO1472" s="32">
        <v>0</v>
      </c>
      <c r="AP1472" s="32">
        <v>0.25</v>
      </c>
      <c r="AQ1472" s="32">
        <v>3000</v>
      </c>
      <c r="AR1472" s="32">
        <v>0.5</v>
      </c>
      <c r="AS1472" s="32">
        <v>0</v>
      </c>
      <c r="AT1472" s="19">
        <v>0</v>
      </c>
      <c r="AU1472" s="32">
        <v>0</v>
      </c>
      <c r="AV1472" s="32"/>
      <c r="AW1472" s="35" t="s">
        <v>205</v>
      </c>
      <c r="AX1472" s="32" t="s">
        <v>1802</v>
      </c>
      <c r="AY1472" s="32">
        <v>10000006</v>
      </c>
      <c r="AZ1472" s="32">
        <v>21100010</v>
      </c>
      <c r="BA1472" s="35" t="s">
        <v>206</v>
      </c>
      <c r="BB1472" s="35">
        <v>0</v>
      </c>
      <c r="BC1472" s="31">
        <v>0</v>
      </c>
      <c r="BD1472" s="31">
        <v>0</v>
      </c>
      <c r="BE1472" s="185" t="str">
        <f t="shared" ref="BE1472" si="148">"立即对目标范围内的怪物造成"&amp;X1472*100&amp;"%攻击伤害+"&amp;Z1472&amp;"点固定伤害"</f>
        <v>立即对目标范围内的怪物造成250%攻击伤害+1000点固定伤害</v>
      </c>
      <c r="BF1472" s="185" t="s">
        <v>3176</v>
      </c>
      <c r="BG1472" s="32">
        <v>0</v>
      </c>
      <c r="BH1472" s="21">
        <v>0</v>
      </c>
      <c r="BI1472" s="32">
        <v>0</v>
      </c>
      <c r="BJ1472" s="32">
        <v>0</v>
      </c>
      <c r="BK1472" s="32">
        <v>0</v>
      </c>
      <c r="BL1472" s="32">
        <v>0</v>
      </c>
      <c r="BM1472" s="25">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64100011</v>
      </c>
      <c r="D1473" s="30" t="s">
        <v>2142</v>
      </c>
      <c r="E1473" s="30" t="s">
        <v>2143</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0.5</v>
      </c>
      <c r="AS1473" s="21">
        <v>0</v>
      </c>
      <c r="AT1473" s="19">
        <v>0</v>
      </c>
      <c r="AU1473" s="21" t="s">
        <v>204</v>
      </c>
      <c r="AV1473" s="21"/>
      <c r="AW1473" s="30" t="s">
        <v>205</v>
      </c>
      <c r="AX1473" s="21">
        <v>0</v>
      </c>
      <c r="AY1473" s="32">
        <v>0</v>
      </c>
      <c r="AZ1473" s="32">
        <v>0</v>
      </c>
      <c r="BA1473" s="30" t="s">
        <v>206</v>
      </c>
      <c r="BB1473" s="21" t="s">
        <v>2144</v>
      </c>
      <c r="BC1473" s="31">
        <v>0</v>
      </c>
      <c r="BD1473" s="31">
        <v>0</v>
      </c>
      <c r="BE1473" s="33" t="s">
        <v>2145</v>
      </c>
      <c r="BF1473" s="33" t="s">
        <v>2146</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64100012</v>
      </c>
      <c r="D1474" s="30" t="s">
        <v>2147</v>
      </c>
      <c r="E1474" s="30" t="s">
        <v>2148</v>
      </c>
      <c r="F1474" s="21">
        <v>1</v>
      </c>
      <c r="G1474" s="21">
        <v>60010500</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0.5</v>
      </c>
      <c r="AS1474" s="21">
        <v>0</v>
      </c>
      <c r="AT1474" s="19">
        <v>0</v>
      </c>
      <c r="AU1474" s="21" t="s">
        <v>204</v>
      </c>
      <c r="AV1474" s="21"/>
      <c r="AW1474" s="30" t="s">
        <v>205</v>
      </c>
      <c r="AX1474" s="21">
        <v>0</v>
      </c>
      <c r="AY1474" s="32">
        <v>0</v>
      </c>
      <c r="AZ1474" s="32">
        <v>0</v>
      </c>
      <c r="BA1474" s="30" t="s">
        <v>206</v>
      </c>
      <c r="BB1474" s="21" t="s">
        <v>2149</v>
      </c>
      <c r="BC1474" s="31">
        <v>0</v>
      </c>
      <c r="BD1474" s="31">
        <v>0</v>
      </c>
      <c r="BE1474" s="33" t="s">
        <v>2150</v>
      </c>
      <c r="BF1474" s="33" t="s">
        <v>2151</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2">
        <v>64100013</v>
      </c>
      <c r="D1475" s="30" t="s">
        <v>1895</v>
      </c>
      <c r="E1475" s="30" t="s">
        <v>1896</v>
      </c>
      <c r="F1475" s="21">
        <v>1</v>
      </c>
      <c r="G1475" s="21">
        <v>60010500</v>
      </c>
      <c r="H1475" s="32">
        <v>0</v>
      </c>
      <c r="I1475" s="31">
        <v>0</v>
      </c>
      <c r="J1475" s="32">
        <v>1</v>
      </c>
      <c r="K1475" s="32">
        <v>0</v>
      </c>
      <c r="L1475" s="32">
        <v>0</v>
      </c>
      <c r="M1475" s="21">
        <v>0</v>
      </c>
      <c r="N1475" s="21">
        <v>0</v>
      </c>
      <c r="O1475" s="21">
        <v>5</v>
      </c>
      <c r="P1475" s="21">
        <v>0</v>
      </c>
      <c r="Q1475" s="21">
        <v>0</v>
      </c>
      <c r="R1475" s="21">
        <v>0</v>
      </c>
      <c r="S1475" s="19">
        <v>0</v>
      </c>
      <c r="T1475" s="21">
        <v>0</v>
      </c>
      <c r="U1475" s="21">
        <v>1</v>
      </c>
      <c r="V1475" s="21">
        <v>2</v>
      </c>
      <c r="W1475" s="21">
        <v>0</v>
      </c>
      <c r="X1475" s="21">
        <v>0</v>
      </c>
      <c r="Y1475" s="19">
        <v>0</v>
      </c>
      <c r="Z1475" s="21">
        <v>0</v>
      </c>
      <c r="AA1475" s="21">
        <v>0</v>
      </c>
      <c r="AB1475" s="21">
        <v>0</v>
      </c>
      <c r="AC1475" s="21">
        <v>0</v>
      </c>
      <c r="AD1475" s="21">
        <v>0</v>
      </c>
      <c r="AE1475" s="21">
        <v>0</v>
      </c>
      <c r="AF1475" s="21">
        <v>9</v>
      </c>
      <c r="AG1475" s="21">
        <v>2</v>
      </c>
      <c r="AH1475" s="21" t="s">
        <v>219</v>
      </c>
      <c r="AI1475" s="19">
        <v>2</v>
      </c>
      <c r="AJ1475" s="19">
        <v>2</v>
      </c>
      <c r="AK1475" s="19">
        <v>0</v>
      </c>
      <c r="AL1475" s="19">
        <v>1.5</v>
      </c>
      <c r="AM1475" s="21">
        <v>0</v>
      </c>
      <c r="AN1475" s="21">
        <v>0</v>
      </c>
      <c r="AO1475" s="21">
        <v>0</v>
      </c>
      <c r="AP1475" s="21">
        <v>0</v>
      </c>
      <c r="AQ1475" s="21">
        <v>3000</v>
      </c>
      <c r="AR1475" s="21">
        <v>0</v>
      </c>
      <c r="AS1475" s="21">
        <v>0</v>
      </c>
      <c r="AT1475" s="19">
        <v>0</v>
      </c>
      <c r="AU1475" s="21" t="s">
        <v>204</v>
      </c>
      <c r="AV1475" s="21"/>
      <c r="AW1475" s="30" t="s">
        <v>205</v>
      </c>
      <c r="AX1475" s="21">
        <v>0</v>
      </c>
      <c r="AY1475" s="32">
        <v>0</v>
      </c>
      <c r="AZ1475" s="32">
        <v>0</v>
      </c>
      <c r="BA1475" s="30" t="s">
        <v>206</v>
      </c>
      <c r="BB1475" s="21" t="s">
        <v>3177</v>
      </c>
      <c r="BC1475" s="31">
        <v>0</v>
      </c>
      <c r="BD1475" s="31">
        <v>0</v>
      </c>
      <c r="BE1475" s="33" t="s">
        <v>2041</v>
      </c>
      <c r="BF1475" s="33" t="s">
        <v>2042</v>
      </c>
      <c r="BG1475" s="21"/>
      <c r="BH1475" s="21">
        <v>0</v>
      </c>
      <c r="BI1475" s="21"/>
      <c r="BJ1475" s="21"/>
      <c r="BK1475" s="21"/>
      <c r="BL1475" s="32"/>
      <c r="BM1475" s="21">
        <v>0</v>
      </c>
      <c r="BN1475" s="19">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2">
        <v>64100014</v>
      </c>
      <c r="D1476" s="30" t="s">
        <v>1895</v>
      </c>
      <c r="E1476" s="30" t="s">
        <v>1896</v>
      </c>
      <c r="F1476" s="21">
        <v>1</v>
      </c>
      <c r="G1476" s="21">
        <v>60011301</v>
      </c>
      <c r="H1476" s="32">
        <v>0</v>
      </c>
      <c r="I1476" s="31">
        <v>0</v>
      </c>
      <c r="J1476" s="32">
        <v>1</v>
      </c>
      <c r="K1476" s="32">
        <v>0</v>
      </c>
      <c r="L1476" s="32">
        <v>0</v>
      </c>
      <c r="M1476" s="21">
        <v>0</v>
      </c>
      <c r="N1476" s="21">
        <v>0</v>
      </c>
      <c r="O1476" s="21">
        <v>5</v>
      </c>
      <c r="P1476" s="21">
        <v>0</v>
      </c>
      <c r="Q1476" s="21">
        <v>0</v>
      </c>
      <c r="R1476" s="21">
        <v>0</v>
      </c>
      <c r="S1476" s="19">
        <v>0</v>
      </c>
      <c r="T1476" s="21">
        <v>0</v>
      </c>
      <c r="U1476" s="21">
        <v>1</v>
      </c>
      <c r="V1476" s="21">
        <v>2</v>
      </c>
      <c r="W1476" s="21">
        <v>0</v>
      </c>
      <c r="X1476" s="21">
        <v>0</v>
      </c>
      <c r="Y1476" s="19">
        <v>0</v>
      </c>
      <c r="Z1476" s="21">
        <v>0</v>
      </c>
      <c r="AA1476" s="21">
        <v>0</v>
      </c>
      <c r="AB1476" s="21">
        <v>0</v>
      </c>
      <c r="AC1476" s="21">
        <v>0</v>
      </c>
      <c r="AD1476" s="21">
        <v>0</v>
      </c>
      <c r="AE1476" s="21">
        <v>0</v>
      </c>
      <c r="AF1476" s="21">
        <v>9</v>
      </c>
      <c r="AG1476" s="21">
        <v>2</v>
      </c>
      <c r="AH1476" s="21" t="s">
        <v>219</v>
      </c>
      <c r="AI1476" s="19">
        <v>2</v>
      </c>
      <c r="AJ1476" s="19">
        <v>2</v>
      </c>
      <c r="AK1476" s="19">
        <v>0</v>
      </c>
      <c r="AL1476" s="19">
        <v>1.5</v>
      </c>
      <c r="AM1476" s="21">
        <v>0</v>
      </c>
      <c r="AN1476" s="21">
        <v>0</v>
      </c>
      <c r="AO1476" s="21">
        <v>0</v>
      </c>
      <c r="AP1476" s="21">
        <v>0</v>
      </c>
      <c r="AQ1476" s="21">
        <v>3000</v>
      </c>
      <c r="AR1476" s="21">
        <v>0</v>
      </c>
      <c r="AS1476" s="21">
        <v>0</v>
      </c>
      <c r="AT1476" s="19">
        <v>0</v>
      </c>
      <c r="AU1476" s="21" t="s">
        <v>204</v>
      </c>
      <c r="AV1476" s="21"/>
      <c r="AW1476" s="30" t="s">
        <v>205</v>
      </c>
      <c r="AX1476" s="21">
        <v>0</v>
      </c>
      <c r="AY1476" s="32">
        <v>0</v>
      </c>
      <c r="AZ1476" s="32">
        <v>0</v>
      </c>
      <c r="BA1476" s="30" t="s">
        <v>206</v>
      </c>
      <c r="BB1476" s="21" t="s">
        <v>3178</v>
      </c>
      <c r="BC1476" s="31">
        <v>0</v>
      </c>
      <c r="BD1476" s="31">
        <v>0</v>
      </c>
      <c r="BE1476" s="33" t="s">
        <v>2260</v>
      </c>
      <c r="BF1476" s="33" t="s">
        <v>2261</v>
      </c>
      <c r="BG1476" s="21"/>
      <c r="BH1476" s="21">
        <v>0</v>
      </c>
      <c r="BI1476" s="21"/>
      <c r="BJ1476" s="21"/>
      <c r="BK1476" s="21"/>
      <c r="BL1476" s="32"/>
      <c r="BM1476" s="21">
        <v>0</v>
      </c>
      <c r="BN1476" s="19">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2">
        <v>64100015</v>
      </c>
      <c r="D1477" s="30" t="s">
        <v>5753</v>
      </c>
      <c r="E1477" s="30" t="s">
        <v>5754</v>
      </c>
      <c r="F1477" s="32">
        <v>1</v>
      </c>
      <c r="G1477" s="32">
        <v>60010500</v>
      </c>
      <c r="H1477" s="32">
        <v>0</v>
      </c>
      <c r="I1477" s="31">
        <v>0</v>
      </c>
      <c r="J1477" s="21">
        <v>0</v>
      </c>
      <c r="K1477" s="32">
        <v>0</v>
      </c>
      <c r="L1477" s="32">
        <v>0</v>
      </c>
      <c r="M1477" s="21">
        <v>0</v>
      </c>
      <c r="N1477" s="21">
        <v>0</v>
      </c>
      <c r="O1477" s="21">
        <v>2</v>
      </c>
      <c r="P1477" s="21">
        <v>3</v>
      </c>
      <c r="Q1477" s="21">
        <v>0.2</v>
      </c>
      <c r="R1477" s="21">
        <v>0</v>
      </c>
      <c r="S1477" s="19">
        <v>0</v>
      </c>
      <c r="T1477" s="21">
        <v>0</v>
      </c>
      <c r="U1477" s="21">
        <v>1</v>
      </c>
      <c r="V1477" s="21">
        <v>2</v>
      </c>
      <c r="W1477" s="21">
        <v>0</v>
      </c>
      <c r="X1477" s="21">
        <v>3</v>
      </c>
      <c r="Y1477" s="19">
        <v>0</v>
      </c>
      <c r="Z1477" s="21">
        <v>0</v>
      </c>
      <c r="AA1477" s="21">
        <v>1</v>
      </c>
      <c r="AB1477" s="21">
        <v>0</v>
      </c>
      <c r="AC1477" s="21">
        <v>0</v>
      </c>
      <c r="AD1477" s="21">
        <v>0</v>
      </c>
      <c r="AE1477" s="21">
        <v>0</v>
      </c>
      <c r="AF1477" s="21">
        <v>8</v>
      </c>
      <c r="AG1477" s="21">
        <v>1</v>
      </c>
      <c r="AH1477" s="21">
        <v>3</v>
      </c>
      <c r="AI1477" s="19">
        <v>1</v>
      </c>
      <c r="AJ1477" s="19">
        <v>1</v>
      </c>
      <c r="AK1477" s="19">
        <v>0</v>
      </c>
      <c r="AL1477" s="19">
        <v>1.5</v>
      </c>
      <c r="AM1477" s="21">
        <v>0</v>
      </c>
      <c r="AN1477" s="21">
        <v>0</v>
      </c>
      <c r="AO1477" s="21">
        <v>0</v>
      </c>
      <c r="AP1477" s="21">
        <v>0</v>
      </c>
      <c r="AQ1477" s="21">
        <v>5000</v>
      </c>
      <c r="AR1477" s="21">
        <v>3</v>
      </c>
      <c r="AS1477" s="21">
        <v>0</v>
      </c>
      <c r="AT1477" s="19">
        <v>0</v>
      </c>
      <c r="AU1477" s="21">
        <v>92005005</v>
      </c>
      <c r="AV1477" s="21"/>
      <c r="AW1477" s="35" t="s">
        <v>205</v>
      </c>
      <c r="AX1477" s="32" t="s">
        <v>540</v>
      </c>
      <c r="AY1477" s="32">
        <v>10000009</v>
      </c>
      <c r="AZ1477" s="32">
        <v>21100050</v>
      </c>
      <c r="BA1477" s="35" t="s">
        <v>206</v>
      </c>
      <c r="BB1477" s="35" t="s">
        <v>204</v>
      </c>
      <c r="BC1477" s="31">
        <v>0</v>
      </c>
      <c r="BD1477" s="31">
        <v>0</v>
      </c>
      <c r="BE1477" s="33" t="s">
        <v>3163</v>
      </c>
      <c r="BF1477" s="33" t="s">
        <v>3164</v>
      </c>
      <c r="BG1477" s="21">
        <v>0</v>
      </c>
      <c r="BH1477" s="21">
        <v>0</v>
      </c>
      <c r="BI1477" s="21">
        <v>0</v>
      </c>
      <c r="BJ1477" s="21">
        <v>0</v>
      </c>
      <c r="BK1477" s="21">
        <v>0</v>
      </c>
      <c r="BL1477" s="21">
        <v>0</v>
      </c>
      <c r="BM1477" s="25">
        <v>0</v>
      </c>
      <c r="BN1477" s="19">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65000001</v>
      </c>
      <c r="D1478" s="42" t="s">
        <v>1624</v>
      </c>
      <c r="E1478" s="42" t="s">
        <v>1625</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95000001</v>
      </c>
      <c r="AU1478" s="38" t="s">
        <v>204</v>
      </c>
      <c r="AV1478" s="38"/>
      <c r="AW1478" s="42" t="s">
        <v>205</v>
      </c>
      <c r="AX1478" s="38" t="s">
        <v>3179</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65000002</v>
      </c>
      <c r="D1479" s="42" t="s">
        <v>1624</v>
      </c>
      <c r="E1479" s="42" t="s">
        <v>1625</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95000002</v>
      </c>
      <c r="AU1479" s="38" t="s">
        <v>204</v>
      </c>
      <c r="AV1479" s="38"/>
      <c r="AW1479" s="42" t="s">
        <v>205</v>
      </c>
      <c r="AX1479" s="38" t="s">
        <v>3179</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8">
        <v>65000003</v>
      </c>
      <c r="D1480" s="42" t="s">
        <v>1624</v>
      </c>
      <c r="E1480" s="42" t="s">
        <v>1625</v>
      </c>
      <c r="F1480" s="38">
        <v>1</v>
      </c>
      <c r="G1480" s="38">
        <v>0</v>
      </c>
      <c r="H1480" s="38">
        <v>0</v>
      </c>
      <c r="I1480" s="38">
        <v>0</v>
      </c>
      <c r="J1480" s="38">
        <v>1</v>
      </c>
      <c r="K1480" s="38">
        <v>0</v>
      </c>
      <c r="L1480" s="38">
        <v>0</v>
      </c>
      <c r="M1480" s="38">
        <v>0</v>
      </c>
      <c r="N1480" s="38">
        <v>0</v>
      </c>
      <c r="O1480" s="38">
        <v>2</v>
      </c>
      <c r="P1480" s="38">
        <v>0</v>
      </c>
      <c r="Q1480" s="38">
        <v>0</v>
      </c>
      <c r="R1480" s="38">
        <v>0</v>
      </c>
      <c r="S1480" s="38">
        <v>0</v>
      </c>
      <c r="T1480" s="38">
        <v>0</v>
      </c>
      <c r="U1480" s="38">
        <v>1</v>
      </c>
      <c r="V1480" s="38">
        <v>2</v>
      </c>
      <c r="W1480" s="38">
        <v>0</v>
      </c>
      <c r="X1480" s="38">
        <v>0</v>
      </c>
      <c r="Y1480" s="19">
        <v>0</v>
      </c>
      <c r="Z1480" s="38">
        <v>0</v>
      </c>
      <c r="AA1480" s="38">
        <v>0</v>
      </c>
      <c r="AB1480" s="38">
        <v>0</v>
      </c>
      <c r="AC1480" s="38">
        <v>0</v>
      </c>
      <c r="AD1480" s="38">
        <v>1</v>
      </c>
      <c r="AE1480" s="38">
        <v>0</v>
      </c>
      <c r="AF1480" s="38">
        <v>18</v>
      </c>
      <c r="AG1480" s="38">
        <v>0</v>
      </c>
      <c r="AH1480" s="38">
        <v>0</v>
      </c>
      <c r="AI1480" s="38">
        <v>2</v>
      </c>
      <c r="AJ1480" s="38">
        <v>0</v>
      </c>
      <c r="AK1480" s="38">
        <v>0</v>
      </c>
      <c r="AL1480" s="38">
        <v>0</v>
      </c>
      <c r="AM1480" s="38">
        <v>0</v>
      </c>
      <c r="AN1480" s="38">
        <v>0</v>
      </c>
      <c r="AO1480" s="38">
        <v>0</v>
      </c>
      <c r="AP1480" s="38">
        <v>0</v>
      </c>
      <c r="AQ1480" s="38">
        <v>1000</v>
      </c>
      <c r="AR1480" s="38">
        <v>0</v>
      </c>
      <c r="AS1480" s="38">
        <v>0</v>
      </c>
      <c r="AT1480" s="38">
        <v>95000003</v>
      </c>
      <c r="AU1480" s="38" t="s">
        <v>204</v>
      </c>
      <c r="AV1480" s="38"/>
      <c r="AW1480" s="42" t="s">
        <v>205</v>
      </c>
      <c r="AX1480" s="38" t="s">
        <v>3179</v>
      </c>
      <c r="AY1480" s="38">
        <v>0</v>
      </c>
      <c r="AZ1480" s="38">
        <v>40000003</v>
      </c>
      <c r="BA1480" s="42" t="s">
        <v>206</v>
      </c>
      <c r="BB1480" s="42" t="s">
        <v>204</v>
      </c>
      <c r="BC1480" s="38">
        <v>0</v>
      </c>
      <c r="BD1480" s="38">
        <v>0</v>
      </c>
      <c r="BE1480" s="217"/>
      <c r="BF1480" s="217"/>
      <c r="BG1480" s="38">
        <v>0</v>
      </c>
      <c r="BH1480" s="38">
        <v>0</v>
      </c>
      <c r="BI1480" s="38">
        <v>0</v>
      </c>
      <c r="BJ1480" s="38">
        <v>0</v>
      </c>
      <c r="BK1480" s="38">
        <v>0</v>
      </c>
      <c r="BL1480" s="38">
        <v>0</v>
      </c>
      <c r="BM1480" s="34">
        <v>0</v>
      </c>
      <c r="BN1480" s="38">
        <v>0</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8">
        <v>65000004</v>
      </c>
      <c r="D1481" s="42" t="s">
        <v>1624</v>
      </c>
      <c r="E1481" s="42" t="s">
        <v>1625</v>
      </c>
      <c r="F1481" s="38">
        <v>1</v>
      </c>
      <c r="G1481" s="38">
        <v>0</v>
      </c>
      <c r="H1481" s="38">
        <v>0</v>
      </c>
      <c r="I1481" s="38">
        <v>0</v>
      </c>
      <c r="J1481" s="38">
        <v>1</v>
      </c>
      <c r="K1481" s="38">
        <v>0</v>
      </c>
      <c r="L1481" s="38">
        <v>0</v>
      </c>
      <c r="M1481" s="38">
        <v>0</v>
      </c>
      <c r="N1481" s="38">
        <v>0</v>
      </c>
      <c r="O1481" s="38">
        <v>2</v>
      </c>
      <c r="P1481" s="38">
        <v>0</v>
      </c>
      <c r="Q1481" s="38">
        <v>0</v>
      </c>
      <c r="R1481" s="38">
        <v>0</v>
      </c>
      <c r="S1481" s="38">
        <v>0</v>
      </c>
      <c r="T1481" s="38">
        <v>0</v>
      </c>
      <c r="U1481" s="38">
        <v>1</v>
      </c>
      <c r="V1481" s="38">
        <v>2</v>
      </c>
      <c r="W1481" s="38">
        <v>0</v>
      </c>
      <c r="X1481" s="38">
        <v>0</v>
      </c>
      <c r="Y1481" s="19">
        <v>0</v>
      </c>
      <c r="Z1481" s="38">
        <v>0</v>
      </c>
      <c r="AA1481" s="38">
        <v>0</v>
      </c>
      <c r="AB1481" s="38">
        <v>0</v>
      </c>
      <c r="AC1481" s="38">
        <v>0</v>
      </c>
      <c r="AD1481" s="38">
        <v>1</v>
      </c>
      <c r="AE1481" s="38">
        <v>0</v>
      </c>
      <c r="AF1481" s="38">
        <v>18</v>
      </c>
      <c r="AG1481" s="38">
        <v>0</v>
      </c>
      <c r="AH1481" s="38">
        <v>0</v>
      </c>
      <c r="AI1481" s="38">
        <v>2</v>
      </c>
      <c r="AJ1481" s="38">
        <v>0</v>
      </c>
      <c r="AK1481" s="38">
        <v>0</v>
      </c>
      <c r="AL1481" s="38">
        <v>0</v>
      </c>
      <c r="AM1481" s="38">
        <v>0</v>
      </c>
      <c r="AN1481" s="38">
        <v>0</v>
      </c>
      <c r="AO1481" s="38">
        <v>0</v>
      </c>
      <c r="AP1481" s="38">
        <v>0</v>
      </c>
      <c r="AQ1481" s="38">
        <v>1000</v>
      </c>
      <c r="AR1481" s="38">
        <v>0</v>
      </c>
      <c r="AS1481" s="38">
        <v>0</v>
      </c>
      <c r="AT1481" s="38">
        <v>95000004</v>
      </c>
      <c r="AU1481" s="38" t="s">
        <v>204</v>
      </c>
      <c r="AV1481" s="38"/>
      <c r="AW1481" s="42" t="s">
        <v>205</v>
      </c>
      <c r="AX1481" s="38" t="s">
        <v>3179</v>
      </c>
      <c r="AY1481" s="38">
        <v>0</v>
      </c>
      <c r="AZ1481" s="38">
        <v>40000003</v>
      </c>
      <c r="BA1481" s="42" t="s">
        <v>206</v>
      </c>
      <c r="BB1481" s="42" t="s">
        <v>204</v>
      </c>
      <c r="BC1481" s="38">
        <v>0</v>
      </c>
      <c r="BD1481" s="38">
        <v>0</v>
      </c>
      <c r="BE1481" s="217"/>
      <c r="BF1481" s="217"/>
      <c r="BG1481" s="38">
        <v>0</v>
      </c>
      <c r="BH1481" s="38">
        <v>0</v>
      </c>
      <c r="BI1481" s="38">
        <v>0</v>
      </c>
      <c r="BJ1481" s="38">
        <v>0</v>
      </c>
      <c r="BK1481" s="38">
        <v>0</v>
      </c>
      <c r="BL1481" s="38">
        <v>0</v>
      </c>
      <c r="BM1481" s="34">
        <v>0</v>
      </c>
      <c r="BN1481" s="38">
        <v>0</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8">
        <v>65000005</v>
      </c>
      <c r="D1482" s="42" t="s">
        <v>1624</v>
      </c>
      <c r="E1482" s="42" t="s">
        <v>1625</v>
      </c>
      <c r="F1482" s="38">
        <v>1</v>
      </c>
      <c r="G1482" s="38">
        <v>0</v>
      </c>
      <c r="H1482" s="38">
        <v>0</v>
      </c>
      <c r="I1482" s="38">
        <v>0</v>
      </c>
      <c r="J1482" s="38">
        <v>1</v>
      </c>
      <c r="K1482" s="38">
        <v>0</v>
      </c>
      <c r="L1482" s="38">
        <v>0</v>
      </c>
      <c r="M1482" s="38">
        <v>0</v>
      </c>
      <c r="N1482" s="38">
        <v>0</v>
      </c>
      <c r="O1482" s="38">
        <v>2</v>
      </c>
      <c r="P1482" s="38">
        <v>0</v>
      </c>
      <c r="Q1482" s="38">
        <v>0</v>
      </c>
      <c r="R1482" s="38">
        <v>0</v>
      </c>
      <c r="S1482" s="38">
        <v>0</v>
      </c>
      <c r="T1482" s="38">
        <v>0</v>
      </c>
      <c r="U1482" s="38">
        <v>1</v>
      </c>
      <c r="V1482" s="38">
        <v>2</v>
      </c>
      <c r="W1482" s="38">
        <v>0</v>
      </c>
      <c r="X1482" s="38">
        <v>0</v>
      </c>
      <c r="Y1482" s="19">
        <v>0</v>
      </c>
      <c r="Z1482" s="38">
        <v>0</v>
      </c>
      <c r="AA1482" s="38">
        <v>0</v>
      </c>
      <c r="AB1482" s="38">
        <v>0</v>
      </c>
      <c r="AC1482" s="38">
        <v>0</v>
      </c>
      <c r="AD1482" s="38">
        <v>1</v>
      </c>
      <c r="AE1482" s="38">
        <v>0</v>
      </c>
      <c r="AF1482" s="38">
        <v>18</v>
      </c>
      <c r="AG1482" s="38">
        <v>0</v>
      </c>
      <c r="AH1482" s="38">
        <v>0</v>
      </c>
      <c r="AI1482" s="38">
        <v>2</v>
      </c>
      <c r="AJ1482" s="38">
        <v>0</v>
      </c>
      <c r="AK1482" s="38">
        <v>0</v>
      </c>
      <c r="AL1482" s="38">
        <v>0</v>
      </c>
      <c r="AM1482" s="38">
        <v>0</v>
      </c>
      <c r="AN1482" s="38">
        <v>0</v>
      </c>
      <c r="AO1482" s="38">
        <v>0</v>
      </c>
      <c r="AP1482" s="38">
        <v>0</v>
      </c>
      <c r="AQ1482" s="38">
        <v>1000</v>
      </c>
      <c r="AR1482" s="38">
        <v>0</v>
      </c>
      <c r="AS1482" s="38">
        <v>0</v>
      </c>
      <c r="AT1482" s="38">
        <v>95000005</v>
      </c>
      <c r="AU1482" s="38" t="s">
        <v>204</v>
      </c>
      <c r="AV1482" s="38"/>
      <c r="AW1482" s="42" t="s">
        <v>205</v>
      </c>
      <c r="AX1482" s="38" t="s">
        <v>3179</v>
      </c>
      <c r="AY1482" s="38">
        <v>0</v>
      </c>
      <c r="AZ1482" s="38">
        <v>40000003</v>
      </c>
      <c r="BA1482" s="42" t="s">
        <v>206</v>
      </c>
      <c r="BB1482" s="42" t="s">
        <v>204</v>
      </c>
      <c r="BC1482" s="38">
        <v>0</v>
      </c>
      <c r="BD1482" s="38">
        <v>0</v>
      </c>
      <c r="BE1482" s="217"/>
      <c r="BF1482" s="217"/>
      <c r="BG1482" s="38">
        <v>0</v>
      </c>
      <c r="BH1482" s="38">
        <v>0</v>
      </c>
      <c r="BI1482" s="38">
        <v>0</v>
      </c>
      <c r="BJ1482" s="38">
        <v>0</v>
      </c>
      <c r="BK1482" s="38">
        <v>0</v>
      </c>
      <c r="BL1482" s="38">
        <v>0</v>
      </c>
      <c r="BM1482" s="34">
        <v>0</v>
      </c>
      <c r="BN1482" s="38">
        <v>0</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65001001</v>
      </c>
      <c r="D1483" s="35" t="s">
        <v>3180</v>
      </c>
      <c r="E1483" s="35" t="s">
        <v>3181</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10</v>
      </c>
      <c r="AG1483" s="32">
        <v>0</v>
      </c>
      <c r="AH1483" s="32">
        <v>0</v>
      </c>
      <c r="AI1483" s="19">
        <v>2</v>
      </c>
      <c r="AJ1483" s="19">
        <v>0</v>
      </c>
      <c r="AK1483" s="19">
        <v>0</v>
      </c>
      <c r="AL1483" s="19">
        <v>0</v>
      </c>
      <c r="AM1483" s="32">
        <v>0</v>
      </c>
      <c r="AN1483" s="32">
        <v>0</v>
      </c>
      <c r="AO1483" s="32">
        <v>0</v>
      </c>
      <c r="AP1483" s="32">
        <v>0</v>
      </c>
      <c r="AQ1483" s="32">
        <v>1000</v>
      </c>
      <c r="AR1483" s="32">
        <v>0</v>
      </c>
      <c r="AS1483" s="32">
        <v>0</v>
      </c>
      <c r="AT1483" s="329" t="s">
        <v>3182</v>
      </c>
      <c r="AU1483" s="32" t="s">
        <v>204</v>
      </c>
      <c r="AV1483" s="32"/>
      <c r="AW1483" s="35" t="s">
        <v>205</v>
      </c>
      <c r="AX1483" s="32" t="s">
        <v>3179</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65001002</v>
      </c>
      <c r="D1484" s="35" t="s">
        <v>3183</v>
      </c>
      <c r="E1484" s="35" t="s">
        <v>3184</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95001021</v>
      </c>
      <c r="AU1484" s="32" t="s">
        <v>204</v>
      </c>
      <c r="AV1484" s="32"/>
      <c r="AW1484" s="35" t="s">
        <v>205</v>
      </c>
      <c r="AX1484" s="32" t="s">
        <v>3179</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65001003</v>
      </c>
      <c r="D1485" s="35" t="s">
        <v>3185</v>
      </c>
      <c r="E1485" s="35" t="s">
        <v>3186</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t="s">
        <v>3187</v>
      </c>
      <c r="AU1485" s="32" t="s">
        <v>204</v>
      </c>
      <c r="AV1485" s="32"/>
      <c r="AW1485" s="35" t="s">
        <v>205</v>
      </c>
      <c r="AX1485" s="32" t="s">
        <v>3179</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65001004</v>
      </c>
      <c r="D1486" s="35" t="s">
        <v>3188</v>
      </c>
      <c r="E1486" s="35" t="s">
        <v>3189</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95001041</v>
      </c>
      <c r="AU1486" s="32" t="s">
        <v>204</v>
      </c>
      <c r="AV1486" s="32"/>
      <c r="AW1486" s="35" t="s">
        <v>205</v>
      </c>
      <c r="AX1486" s="32" t="s">
        <v>3179</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65001005</v>
      </c>
      <c r="D1487" s="35" t="s">
        <v>3190</v>
      </c>
      <c r="E1487" s="35" t="s">
        <v>3184</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95001051</v>
      </c>
      <c r="AU1487" s="32" t="s">
        <v>204</v>
      </c>
      <c r="AV1487" s="32"/>
      <c r="AW1487" s="35" t="s">
        <v>205</v>
      </c>
      <c r="AX1487" s="32" t="s">
        <v>3179</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65001006</v>
      </c>
      <c r="D1488" s="35" t="s">
        <v>3191</v>
      </c>
      <c r="E1488" s="35" t="s">
        <v>3192</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t="s">
        <v>3193</v>
      </c>
      <c r="AU1488" s="32" t="s">
        <v>204</v>
      </c>
      <c r="AV1488" s="32"/>
      <c r="AW1488" s="35" t="s">
        <v>205</v>
      </c>
      <c r="AX1488" s="32" t="s">
        <v>3179</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65001101</v>
      </c>
      <c r="D1489" s="35" t="s">
        <v>3194</v>
      </c>
      <c r="E1489" s="35" t="s">
        <v>3195</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95001101</v>
      </c>
      <c r="AU1489" s="32" t="s">
        <v>204</v>
      </c>
      <c r="AV1489" s="32"/>
      <c r="AW1489" s="35" t="s">
        <v>205</v>
      </c>
      <c r="AX1489" s="32" t="s">
        <v>3179</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65001102</v>
      </c>
      <c r="D1490" s="35" t="s">
        <v>3196</v>
      </c>
      <c r="E1490" s="35" t="s">
        <v>3197</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95001102</v>
      </c>
      <c r="AU1490" s="32" t="s">
        <v>204</v>
      </c>
      <c r="AV1490" s="32"/>
      <c r="AW1490" s="35" t="s">
        <v>205</v>
      </c>
      <c r="AX1490" s="32" t="s">
        <v>3179</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65001103</v>
      </c>
      <c r="D1491" s="35" t="s">
        <v>3198</v>
      </c>
      <c r="E1491" s="35" t="s">
        <v>3199</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18</v>
      </c>
      <c r="AG1491" s="32">
        <v>0</v>
      </c>
      <c r="AH1491" s="32">
        <v>0</v>
      </c>
      <c r="AI1491" s="19">
        <v>2</v>
      </c>
      <c r="AJ1491" s="19">
        <v>0</v>
      </c>
      <c r="AK1491" s="19">
        <v>0</v>
      </c>
      <c r="AL1491" s="19">
        <v>0</v>
      </c>
      <c r="AM1491" s="32">
        <v>0</v>
      </c>
      <c r="AN1491" s="32">
        <v>0</v>
      </c>
      <c r="AO1491" s="32">
        <v>0</v>
      </c>
      <c r="AP1491" s="32">
        <v>0</v>
      </c>
      <c r="AQ1491" s="32">
        <v>1000</v>
      </c>
      <c r="AR1491" s="32">
        <v>0</v>
      </c>
      <c r="AS1491" s="32">
        <v>0</v>
      </c>
      <c r="AT1491" s="19">
        <v>95001103</v>
      </c>
      <c r="AU1491" s="32" t="s">
        <v>204</v>
      </c>
      <c r="AV1491" s="32"/>
      <c r="AW1491" s="35" t="s">
        <v>205</v>
      </c>
      <c r="AX1491" s="32" t="s">
        <v>3179</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65001104</v>
      </c>
      <c r="D1492" s="35" t="s">
        <v>3200</v>
      </c>
      <c r="E1492" s="35" t="s">
        <v>3201</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95001104</v>
      </c>
      <c r="AU1492" s="32" t="s">
        <v>204</v>
      </c>
      <c r="AV1492" s="32"/>
      <c r="AW1492" s="35" t="s">
        <v>205</v>
      </c>
      <c r="AX1492" s="32" t="s">
        <v>3179</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65001105</v>
      </c>
      <c r="D1493" s="35" t="s">
        <v>3202</v>
      </c>
      <c r="E1493" s="35" t="s">
        <v>3203</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v>95001105</v>
      </c>
      <c r="AU1493" s="32" t="s">
        <v>204</v>
      </c>
      <c r="AV1493" s="32"/>
      <c r="AW1493" s="35" t="s">
        <v>205</v>
      </c>
      <c r="AX1493" s="32" t="s">
        <v>3179</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65002001</v>
      </c>
      <c r="D1494" s="35" t="s">
        <v>3204</v>
      </c>
      <c r="E1494" s="35" t="s">
        <v>3205</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10</v>
      </c>
      <c r="AG1494" s="32">
        <v>0</v>
      </c>
      <c r="AH1494" s="32">
        <v>0</v>
      </c>
      <c r="AI1494" s="19">
        <v>2</v>
      </c>
      <c r="AJ1494" s="19">
        <v>0</v>
      </c>
      <c r="AK1494" s="19">
        <v>0</v>
      </c>
      <c r="AL1494" s="19">
        <v>0</v>
      </c>
      <c r="AM1494" s="32">
        <v>0</v>
      </c>
      <c r="AN1494" s="32">
        <v>0</v>
      </c>
      <c r="AO1494" s="32">
        <v>0</v>
      </c>
      <c r="AP1494" s="32">
        <v>0</v>
      </c>
      <c r="AQ1494" s="32">
        <v>1000</v>
      </c>
      <c r="AR1494" s="32">
        <v>0</v>
      </c>
      <c r="AS1494" s="32">
        <v>0</v>
      </c>
      <c r="AT1494" s="329" t="s">
        <v>3206</v>
      </c>
      <c r="AU1494" s="32" t="s">
        <v>204</v>
      </c>
      <c r="AV1494" s="32"/>
      <c r="AW1494" s="35" t="s">
        <v>205</v>
      </c>
      <c r="AX1494" s="32" t="s">
        <v>3179</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65002002</v>
      </c>
      <c r="D1495" s="35" t="s">
        <v>3207</v>
      </c>
      <c r="E1495" s="35" t="s">
        <v>3208</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95002021</v>
      </c>
      <c r="AU1495" s="32" t="s">
        <v>204</v>
      </c>
      <c r="AV1495" s="32"/>
      <c r="AW1495" s="35" t="s">
        <v>205</v>
      </c>
      <c r="AX1495" s="32" t="s">
        <v>3179</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65002003</v>
      </c>
      <c r="D1496" s="35" t="s">
        <v>3209</v>
      </c>
      <c r="E1496" s="35" t="s">
        <v>3210</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t="s">
        <v>3211</v>
      </c>
      <c r="AU1496" s="32" t="s">
        <v>204</v>
      </c>
      <c r="AV1496" s="32"/>
      <c r="AW1496" s="35" t="s">
        <v>205</v>
      </c>
      <c r="AX1496" s="32" t="s">
        <v>3179</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65002004</v>
      </c>
      <c r="D1497" s="35" t="s">
        <v>3212</v>
      </c>
      <c r="E1497" s="35" t="s">
        <v>3213</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95002041</v>
      </c>
      <c r="AU1497" s="32" t="s">
        <v>204</v>
      </c>
      <c r="AV1497" s="32"/>
      <c r="AW1497" s="35" t="s">
        <v>205</v>
      </c>
      <c r="AX1497" s="32" t="s">
        <v>3179</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65002005</v>
      </c>
      <c r="D1498" s="35" t="s">
        <v>3214</v>
      </c>
      <c r="E1498" s="35" t="s">
        <v>3215</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95002051</v>
      </c>
      <c r="AU1498" s="32" t="s">
        <v>204</v>
      </c>
      <c r="AV1498" s="32"/>
      <c r="AW1498" s="35" t="s">
        <v>205</v>
      </c>
      <c r="AX1498" s="32" t="s">
        <v>3179</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65002006</v>
      </c>
      <c r="D1499" s="35" t="s">
        <v>3216</v>
      </c>
      <c r="E1499" s="35" t="s">
        <v>3217</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t="s">
        <v>3218</v>
      </c>
      <c r="AU1499" s="32" t="s">
        <v>204</v>
      </c>
      <c r="AV1499" s="32"/>
      <c r="AW1499" s="35" t="s">
        <v>205</v>
      </c>
      <c r="AX1499" s="32" t="s">
        <v>3179</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65002101</v>
      </c>
      <c r="D1500" s="35" t="s">
        <v>3219</v>
      </c>
      <c r="E1500" s="35" t="s">
        <v>3220</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95002101</v>
      </c>
      <c r="AU1500" s="32" t="s">
        <v>204</v>
      </c>
      <c r="AV1500" s="32"/>
      <c r="AW1500" s="35" t="s">
        <v>205</v>
      </c>
      <c r="AX1500" s="32" t="s">
        <v>3179</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65002102</v>
      </c>
      <c r="D1501" s="35" t="s">
        <v>3221</v>
      </c>
      <c r="E1501" s="35" t="s">
        <v>3222</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95002102</v>
      </c>
      <c r="AU1501" s="32" t="s">
        <v>204</v>
      </c>
      <c r="AV1501" s="32"/>
      <c r="AW1501" s="35" t="s">
        <v>205</v>
      </c>
      <c r="AX1501" s="32" t="s">
        <v>3179</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65002103</v>
      </c>
      <c r="D1502" s="35" t="s">
        <v>3223</v>
      </c>
      <c r="E1502" s="35" t="s">
        <v>3224</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18</v>
      </c>
      <c r="AG1502" s="32">
        <v>0</v>
      </c>
      <c r="AH1502" s="32">
        <v>0</v>
      </c>
      <c r="AI1502" s="19">
        <v>2</v>
      </c>
      <c r="AJ1502" s="19">
        <v>0</v>
      </c>
      <c r="AK1502" s="19">
        <v>0</v>
      </c>
      <c r="AL1502" s="19">
        <v>0</v>
      </c>
      <c r="AM1502" s="32">
        <v>0</v>
      </c>
      <c r="AN1502" s="32">
        <v>0</v>
      </c>
      <c r="AO1502" s="32">
        <v>0</v>
      </c>
      <c r="AP1502" s="32">
        <v>0</v>
      </c>
      <c r="AQ1502" s="32">
        <v>1000</v>
      </c>
      <c r="AR1502" s="32">
        <v>0</v>
      </c>
      <c r="AS1502" s="32">
        <v>0</v>
      </c>
      <c r="AT1502" s="19">
        <v>95002103</v>
      </c>
      <c r="AU1502" s="32" t="s">
        <v>204</v>
      </c>
      <c r="AV1502" s="32"/>
      <c r="AW1502" s="35" t="s">
        <v>205</v>
      </c>
      <c r="AX1502" s="32" t="s">
        <v>3179</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65002104</v>
      </c>
      <c r="D1503" s="35" t="s">
        <v>3225</v>
      </c>
      <c r="E1503" s="35" t="s">
        <v>3226</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95002104</v>
      </c>
      <c r="AU1503" s="32" t="s">
        <v>204</v>
      </c>
      <c r="AV1503" s="32"/>
      <c r="AW1503" s="35" t="s">
        <v>205</v>
      </c>
      <c r="AX1503" s="32" t="s">
        <v>3179</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65002105</v>
      </c>
      <c r="D1504" s="35" t="s">
        <v>3227</v>
      </c>
      <c r="E1504" s="35" t="s">
        <v>3228</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v>95002105</v>
      </c>
      <c r="AU1504" s="32" t="s">
        <v>204</v>
      </c>
      <c r="AV1504" s="32"/>
      <c r="AW1504" s="35" t="s">
        <v>205</v>
      </c>
      <c r="AX1504" s="32" t="s">
        <v>3179</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65003001</v>
      </c>
      <c r="D1505" s="35" t="s">
        <v>3229</v>
      </c>
      <c r="E1505" s="35" t="s">
        <v>3230</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10</v>
      </c>
      <c r="AG1505" s="32">
        <v>0</v>
      </c>
      <c r="AH1505" s="32">
        <v>0</v>
      </c>
      <c r="AI1505" s="19">
        <v>2</v>
      </c>
      <c r="AJ1505" s="19">
        <v>0</v>
      </c>
      <c r="AK1505" s="19">
        <v>0</v>
      </c>
      <c r="AL1505" s="19">
        <v>0</v>
      </c>
      <c r="AM1505" s="32">
        <v>0</v>
      </c>
      <c r="AN1505" s="32">
        <v>0</v>
      </c>
      <c r="AO1505" s="32">
        <v>0</v>
      </c>
      <c r="AP1505" s="32">
        <v>0</v>
      </c>
      <c r="AQ1505" s="32">
        <v>1000</v>
      </c>
      <c r="AR1505" s="32">
        <v>0</v>
      </c>
      <c r="AS1505" s="32">
        <v>0</v>
      </c>
      <c r="AT1505" s="329" t="s">
        <v>3231</v>
      </c>
      <c r="AU1505" s="32" t="s">
        <v>204</v>
      </c>
      <c r="AV1505" s="32"/>
      <c r="AW1505" s="35" t="s">
        <v>205</v>
      </c>
      <c r="AX1505" s="32" t="s">
        <v>3179</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65003002</v>
      </c>
      <c r="D1506" s="35" t="s">
        <v>3232</v>
      </c>
      <c r="E1506" s="35" t="s">
        <v>3233</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95003021</v>
      </c>
      <c r="AU1506" s="32" t="s">
        <v>204</v>
      </c>
      <c r="AV1506" s="32"/>
      <c r="AW1506" s="35" t="s">
        <v>205</v>
      </c>
      <c r="AX1506" s="32" t="s">
        <v>3179</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65003003</v>
      </c>
      <c r="D1507" s="35" t="s">
        <v>3234</v>
      </c>
      <c r="E1507" s="35" t="s">
        <v>3235</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t="s">
        <v>3236</v>
      </c>
      <c r="AU1507" s="32" t="s">
        <v>204</v>
      </c>
      <c r="AV1507" s="32"/>
      <c r="AW1507" s="35" t="s">
        <v>205</v>
      </c>
      <c r="AX1507" s="32" t="s">
        <v>3179</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65003004</v>
      </c>
      <c r="D1508" s="35" t="s">
        <v>3237</v>
      </c>
      <c r="E1508" s="35" t="s">
        <v>3238</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95003041</v>
      </c>
      <c r="AU1508" s="32" t="s">
        <v>204</v>
      </c>
      <c r="AV1508" s="32"/>
      <c r="AW1508" s="35" t="s">
        <v>205</v>
      </c>
      <c r="AX1508" s="32" t="s">
        <v>3179</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65003005</v>
      </c>
      <c r="D1509" s="35" t="s">
        <v>3239</v>
      </c>
      <c r="E1509" s="35" t="s">
        <v>3240</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95003051</v>
      </c>
      <c r="AU1509" s="32" t="s">
        <v>204</v>
      </c>
      <c r="AV1509" s="32"/>
      <c r="AW1509" s="35" t="s">
        <v>205</v>
      </c>
      <c r="AX1509" s="32" t="s">
        <v>3179</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65003006</v>
      </c>
      <c r="D1510" s="35" t="s">
        <v>3241</v>
      </c>
      <c r="E1510" s="35" t="s">
        <v>3242</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t="s">
        <v>3243</v>
      </c>
      <c r="AU1510" s="32" t="s">
        <v>204</v>
      </c>
      <c r="AV1510" s="32"/>
      <c r="AW1510" s="35" t="s">
        <v>205</v>
      </c>
      <c r="AX1510" s="32" t="s">
        <v>3179</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65003101</v>
      </c>
      <c r="D1511" s="35" t="s">
        <v>3244</v>
      </c>
      <c r="E1511" s="35" t="s">
        <v>3245</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95003101</v>
      </c>
      <c r="AU1511" s="32" t="s">
        <v>204</v>
      </c>
      <c r="AV1511" s="32"/>
      <c r="AW1511" s="35" t="s">
        <v>205</v>
      </c>
      <c r="AX1511" s="32" t="s">
        <v>3179</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65003102</v>
      </c>
      <c r="D1512" s="35" t="s">
        <v>3246</v>
      </c>
      <c r="E1512" s="35" t="s">
        <v>3247</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95003102</v>
      </c>
      <c r="AU1512" s="32" t="s">
        <v>204</v>
      </c>
      <c r="AV1512" s="32"/>
      <c r="AW1512" s="35" t="s">
        <v>205</v>
      </c>
      <c r="AX1512" s="32" t="s">
        <v>3179</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65003103</v>
      </c>
      <c r="D1513" s="35" t="s">
        <v>3248</v>
      </c>
      <c r="E1513" s="35" t="s">
        <v>3249</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18</v>
      </c>
      <c r="AG1513" s="32">
        <v>0</v>
      </c>
      <c r="AH1513" s="32">
        <v>0</v>
      </c>
      <c r="AI1513" s="19">
        <v>2</v>
      </c>
      <c r="AJ1513" s="19">
        <v>0</v>
      </c>
      <c r="AK1513" s="19">
        <v>0</v>
      </c>
      <c r="AL1513" s="19">
        <v>0</v>
      </c>
      <c r="AM1513" s="32">
        <v>0</v>
      </c>
      <c r="AN1513" s="32">
        <v>0</v>
      </c>
      <c r="AO1513" s="32">
        <v>0</v>
      </c>
      <c r="AP1513" s="32">
        <v>0</v>
      </c>
      <c r="AQ1513" s="32">
        <v>1000</v>
      </c>
      <c r="AR1513" s="32">
        <v>0</v>
      </c>
      <c r="AS1513" s="32">
        <v>0</v>
      </c>
      <c r="AT1513" s="19">
        <v>95003103</v>
      </c>
      <c r="AU1513" s="32" t="s">
        <v>204</v>
      </c>
      <c r="AV1513" s="32"/>
      <c r="AW1513" s="35" t="s">
        <v>205</v>
      </c>
      <c r="AX1513" s="32" t="s">
        <v>3179</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65003104</v>
      </c>
      <c r="D1514" s="35" t="s">
        <v>3250</v>
      </c>
      <c r="E1514" s="35" t="s">
        <v>3251</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95003104</v>
      </c>
      <c r="AU1514" s="32" t="s">
        <v>204</v>
      </c>
      <c r="AV1514" s="32"/>
      <c r="AW1514" s="35" t="s">
        <v>205</v>
      </c>
      <c r="AX1514" s="32" t="s">
        <v>3179</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65003105</v>
      </c>
      <c r="D1515" s="35" t="s">
        <v>3252</v>
      </c>
      <c r="E1515" s="35" t="s">
        <v>3253</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v>95003105</v>
      </c>
      <c r="AU1515" s="32" t="s">
        <v>204</v>
      </c>
      <c r="AV1515" s="32"/>
      <c r="AW1515" s="35" t="s">
        <v>205</v>
      </c>
      <c r="AX1515" s="32" t="s">
        <v>3179</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65004001</v>
      </c>
      <c r="D1516" s="35" t="s">
        <v>3254</v>
      </c>
      <c r="E1516" s="35" t="s">
        <v>3255</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10</v>
      </c>
      <c r="AG1516" s="32">
        <v>0</v>
      </c>
      <c r="AH1516" s="32">
        <v>0</v>
      </c>
      <c r="AI1516" s="19">
        <v>2</v>
      </c>
      <c r="AJ1516" s="19">
        <v>0</v>
      </c>
      <c r="AK1516" s="19">
        <v>0</v>
      </c>
      <c r="AL1516" s="19">
        <v>0</v>
      </c>
      <c r="AM1516" s="32">
        <v>0</v>
      </c>
      <c r="AN1516" s="32">
        <v>0</v>
      </c>
      <c r="AO1516" s="32">
        <v>0</v>
      </c>
      <c r="AP1516" s="32">
        <v>0</v>
      </c>
      <c r="AQ1516" s="32">
        <v>1000</v>
      </c>
      <c r="AR1516" s="32">
        <v>0</v>
      </c>
      <c r="AS1516" s="32">
        <v>0</v>
      </c>
      <c r="AT1516" s="329" t="s">
        <v>3256</v>
      </c>
      <c r="AU1516" s="32" t="s">
        <v>204</v>
      </c>
      <c r="AV1516" s="32"/>
      <c r="AW1516" s="35" t="s">
        <v>205</v>
      </c>
      <c r="AX1516" s="32" t="s">
        <v>3179</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65004002</v>
      </c>
      <c r="D1517" s="35" t="s">
        <v>3257</v>
      </c>
      <c r="E1517" s="35" t="s">
        <v>3258</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95004021</v>
      </c>
      <c r="AU1517" s="32" t="s">
        <v>204</v>
      </c>
      <c r="AV1517" s="32"/>
      <c r="AW1517" s="35" t="s">
        <v>205</v>
      </c>
      <c r="AX1517" s="32" t="s">
        <v>3179</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65004003</v>
      </c>
      <c r="D1518" s="35" t="s">
        <v>3259</v>
      </c>
      <c r="E1518" s="35" t="s">
        <v>3260</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t="s">
        <v>3261</v>
      </c>
      <c r="AU1518" s="32" t="s">
        <v>204</v>
      </c>
      <c r="AV1518" s="32"/>
      <c r="AW1518" s="35" t="s">
        <v>205</v>
      </c>
      <c r="AX1518" s="32" t="s">
        <v>3179</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65004004</v>
      </c>
      <c r="D1519" s="35" t="s">
        <v>3262</v>
      </c>
      <c r="E1519" s="35" t="s">
        <v>3263</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95004041</v>
      </c>
      <c r="AU1519" s="32" t="s">
        <v>204</v>
      </c>
      <c r="AV1519" s="32"/>
      <c r="AW1519" s="35" t="s">
        <v>205</v>
      </c>
      <c r="AX1519" s="32" t="s">
        <v>3179</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65004005</v>
      </c>
      <c r="D1520" s="35" t="s">
        <v>3264</v>
      </c>
      <c r="E1520" s="35" t="s">
        <v>3265</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95004051</v>
      </c>
      <c r="AU1520" s="32" t="s">
        <v>204</v>
      </c>
      <c r="AV1520" s="32"/>
      <c r="AW1520" s="35" t="s">
        <v>205</v>
      </c>
      <c r="AX1520" s="32" t="s">
        <v>3179</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65004006</v>
      </c>
      <c r="D1521" s="35" t="s">
        <v>3266</v>
      </c>
      <c r="E1521" s="35" t="s">
        <v>3267</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t="s">
        <v>3268</v>
      </c>
      <c r="AU1521" s="32" t="s">
        <v>204</v>
      </c>
      <c r="AV1521" s="32"/>
      <c r="AW1521" s="35" t="s">
        <v>205</v>
      </c>
      <c r="AX1521" s="32" t="s">
        <v>3179</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65004101</v>
      </c>
      <c r="D1522" s="35" t="s">
        <v>3269</v>
      </c>
      <c r="E1522" s="35" t="s">
        <v>3270</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95004101</v>
      </c>
      <c r="AU1522" s="32" t="s">
        <v>204</v>
      </c>
      <c r="AV1522" s="32"/>
      <c r="AW1522" s="35" t="s">
        <v>205</v>
      </c>
      <c r="AX1522" s="32" t="s">
        <v>3179</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65004102</v>
      </c>
      <c r="D1523" s="35" t="s">
        <v>3271</v>
      </c>
      <c r="E1523" s="35" t="s">
        <v>3272</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95004102</v>
      </c>
      <c r="AU1523" s="32" t="s">
        <v>204</v>
      </c>
      <c r="AV1523" s="32"/>
      <c r="AW1523" s="35" t="s">
        <v>205</v>
      </c>
      <c r="AX1523" s="32" t="s">
        <v>3179</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65004103</v>
      </c>
      <c r="D1524" s="35" t="s">
        <v>3273</v>
      </c>
      <c r="E1524" s="35" t="s">
        <v>3249</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18</v>
      </c>
      <c r="AG1524" s="32">
        <v>0</v>
      </c>
      <c r="AH1524" s="32">
        <v>0</v>
      </c>
      <c r="AI1524" s="19">
        <v>2</v>
      </c>
      <c r="AJ1524" s="19">
        <v>0</v>
      </c>
      <c r="AK1524" s="19">
        <v>0</v>
      </c>
      <c r="AL1524" s="19">
        <v>0</v>
      </c>
      <c r="AM1524" s="32">
        <v>0</v>
      </c>
      <c r="AN1524" s="32">
        <v>0</v>
      </c>
      <c r="AO1524" s="32">
        <v>0</v>
      </c>
      <c r="AP1524" s="32">
        <v>0</v>
      </c>
      <c r="AQ1524" s="32">
        <v>1000</v>
      </c>
      <c r="AR1524" s="32">
        <v>0</v>
      </c>
      <c r="AS1524" s="32">
        <v>0</v>
      </c>
      <c r="AT1524" s="19">
        <v>95004103</v>
      </c>
      <c r="AU1524" s="32" t="s">
        <v>204</v>
      </c>
      <c r="AV1524" s="32"/>
      <c r="AW1524" s="35" t="s">
        <v>205</v>
      </c>
      <c r="AX1524" s="32" t="s">
        <v>3179</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65004104</v>
      </c>
      <c r="D1525" s="35" t="s">
        <v>3274</v>
      </c>
      <c r="E1525" s="35" t="s">
        <v>3275</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95004104</v>
      </c>
      <c r="AU1525" s="32" t="s">
        <v>204</v>
      </c>
      <c r="AV1525" s="32"/>
      <c r="AW1525" s="35" t="s">
        <v>205</v>
      </c>
      <c r="AX1525" s="32" t="s">
        <v>3179</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65004105</v>
      </c>
      <c r="D1526" s="35" t="s">
        <v>3276</v>
      </c>
      <c r="E1526" s="35" t="s">
        <v>3277</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v>95004105</v>
      </c>
      <c r="AU1526" s="32" t="s">
        <v>204</v>
      </c>
      <c r="AV1526" s="32"/>
      <c r="AW1526" s="35" t="s">
        <v>205</v>
      </c>
      <c r="AX1526" s="32" t="s">
        <v>3179</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65005001</v>
      </c>
      <c r="D1527" s="35" t="s">
        <v>3278</v>
      </c>
      <c r="E1527" s="35" t="s">
        <v>3279</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10</v>
      </c>
      <c r="AG1527" s="32">
        <v>0</v>
      </c>
      <c r="AH1527" s="32">
        <v>0</v>
      </c>
      <c r="AI1527" s="19">
        <v>2</v>
      </c>
      <c r="AJ1527" s="19">
        <v>0</v>
      </c>
      <c r="AK1527" s="19">
        <v>0</v>
      </c>
      <c r="AL1527" s="19">
        <v>0</v>
      </c>
      <c r="AM1527" s="32">
        <v>0</v>
      </c>
      <c r="AN1527" s="32">
        <v>0</v>
      </c>
      <c r="AO1527" s="32">
        <v>0</v>
      </c>
      <c r="AP1527" s="32">
        <v>0</v>
      </c>
      <c r="AQ1527" s="32">
        <v>1000</v>
      </c>
      <c r="AR1527" s="32">
        <v>0</v>
      </c>
      <c r="AS1527" s="32">
        <v>0</v>
      </c>
      <c r="AT1527" s="329" t="s">
        <v>3280</v>
      </c>
      <c r="AU1527" s="32" t="s">
        <v>204</v>
      </c>
      <c r="AV1527" s="32"/>
      <c r="AW1527" s="35" t="s">
        <v>205</v>
      </c>
      <c r="AX1527" s="32" t="s">
        <v>3179</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65005002</v>
      </c>
      <c r="D1528" s="35" t="s">
        <v>3281</v>
      </c>
      <c r="E1528" s="35" t="s">
        <v>3282</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95005021</v>
      </c>
      <c r="AU1528" s="32" t="s">
        <v>204</v>
      </c>
      <c r="AV1528" s="32"/>
      <c r="AW1528" s="35" t="s">
        <v>205</v>
      </c>
      <c r="AX1528" s="32" t="s">
        <v>3179</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65005003</v>
      </c>
      <c r="D1529" s="35" t="s">
        <v>3283</v>
      </c>
      <c r="E1529" s="35" t="s">
        <v>3284</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t="s">
        <v>3285</v>
      </c>
      <c r="AU1529" s="32" t="s">
        <v>204</v>
      </c>
      <c r="AV1529" s="32"/>
      <c r="AW1529" s="35" t="s">
        <v>205</v>
      </c>
      <c r="AX1529" s="32" t="s">
        <v>3179</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65005004</v>
      </c>
      <c r="D1530" s="35" t="s">
        <v>3286</v>
      </c>
      <c r="E1530" s="35" t="s">
        <v>3287</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95005041</v>
      </c>
      <c r="AU1530" s="32" t="s">
        <v>204</v>
      </c>
      <c r="AV1530" s="32"/>
      <c r="AW1530" s="35" t="s">
        <v>205</v>
      </c>
      <c r="AX1530" s="32" t="s">
        <v>3179</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65005005</v>
      </c>
      <c r="D1531" s="35" t="s">
        <v>3288</v>
      </c>
      <c r="E1531" s="35" t="s">
        <v>3289</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95005051</v>
      </c>
      <c r="AU1531" s="32" t="s">
        <v>204</v>
      </c>
      <c r="AV1531" s="32"/>
      <c r="AW1531" s="35" t="s">
        <v>205</v>
      </c>
      <c r="AX1531" s="32" t="s">
        <v>3179</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65005006</v>
      </c>
      <c r="D1532" s="35" t="s">
        <v>3290</v>
      </c>
      <c r="E1532" s="35" t="s">
        <v>3291</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t="s">
        <v>3292</v>
      </c>
      <c r="AU1532" s="32" t="s">
        <v>204</v>
      </c>
      <c r="AV1532" s="32"/>
      <c r="AW1532" s="35" t="s">
        <v>205</v>
      </c>
      <c r="AX1532" s="32" t="s">
        <v>3179</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65005101</v>
      </c>
      <c r="D1533" s="35" t="s">
        <v>3293</v>
      </c>
      <c r="E1533" s="35" t="s">
        <v>3294</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95005101</v>
      </c>
      <c r="AU1533" s="32" t="s">
        <v>204</v>
      </c>
      <c r="AV1533" s="32"/>
      <c r="AW1533" s="35" t="s">
        <v>205</v>
      </c>
      <c r="AX1533" s="32" t="s">
        <v>3179</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65005102</v>
      </c>
      <c r="D1534" s="35" t="s">
        <v>3295</v>
      </c>
      <c r="E1534" s="35" t="s">
        <v>3296</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95005102</v>
      </c>
      <c r="AU1534" s="32" t="s">
        <v>204</v>
      </c>
      <c r="AV1534" s="32"/>
      <c r="AW1534" s="35" t="s">
        <v>205</v>
      </c>
      <c r="AX1534" s="32" t="s">
        <v>3179</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65005103</v>
      </c>
      <c r="D1535" s="35" t="s">
        <v>3297</v>
      </c>
      <c r="E1535" s="35" t="s">
        <v>3298</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18</v>
      </c>
      <c r="AG1535" s="32">
        <v>0</v>
      </c>
      <c r="AH1535" s="32">
        <v>0</v>
      </c>
      <c r="AI1535" s="19">
        <v>2</v>
      </c>
      <c r="AJ1535" s="19">
        <v>0</v>
      </c>
      <c r="AK1535" s="19">
        <v>0</v>
      </c>
      <c r="AL1535" s="19">
        <v>0</v>
      </c>
      <c r="AM1535" s="32">
        <v>0</v>
      </c>
      <c r="AN1535" s="32">
        <v>0</v>
      </c>
      <c r="AO1535" s="32">
        <v>0</v>
      </c>
      <c r="AP1535" s="32">
        <v>0</v>
      </c>
      <c r="AQ1535" s="32">
        <v>1000</v>
      </c>
      <c r="AR1535" s="32">
        <v>0</v>
      </c>
      <c r="AS1535" s="32">
        <v>0</v>
      </c>
      <c r="AT1535" s="19">
        <v>95005103</v>
      </c>
      <c r="AU1535" s="32" t="s">
        <v>204</v>
      </c>
      <c r="AV1535" s="32"/>
      <c r="AW1535" s="35" t="s">
        <v>205</v>
      </c>
      <c r="AX1535" s="32" t="s">
        <v>3179</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65005104</v>
      </c>
      <c r="D1536" s="35" t="s">
        <v>3299</v>
      </c>
      <c r="E1536" s="35" t="s">
        <v>3300</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18</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95005104</v>
      </c>
      <c r="AU1536" s="32" t="s">
        <v>204</v>
      </c>
      <c r="AV1536" s="32"/>
      <c r="AW1536" s="35" t="s">
        <v>205</v>
      </c>
      <c r="AX1536" s="32" t="s">
        <v>3179</v>
      </c>
      <c r="AY1536" s="32">
        <v>0</v>
      </c>
      <c r="AZ1536" s="32">
        <v>40000003</v>
      </c>
      <c r="BA1536" s="35" t="s">
        <v>206</v>
      </c>
      <c r="BB1536" s="35" t="s">
        <v>204</v>
      </c>
      <c r="BC1536" s="31">
        <v>0</v>
      </c>
      <c r="BD1536" s="31">
        <v>0</v>
      </c>
      <c r="BE1536" s="60"/>
      <c r="BF1536" s="60"/>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20.100000000000001" customHeight="1">
      <c r="C1537" s="32">
        <v>65005105</v>
      </c>
      <c r="D1537" s="35" t="s">
        <v>3301</v>
      </c>
      <c r="E1537" s="35" t="s">
        <v>3302</v>
      </c>
      <c r="F1537" s="32">
        <v>1</v>
      </c>
      <c r="G1537" s="32">
        <v>0</v>
      </c>
      <c r="H1537" s="32">
        <v>0</v>
      </c>
      <c r="I1537" s="31">
        <v>0</v>
      </c>
      <c r="J1537" s="32">
        <v>1</v>
      </c>
      <c r="K1537" s="32">
        <v>0</v>
      </c>
      <c r="L1537" s="32">
        <v>0</v>
      </c>
      <c r="M1537" s="32">
        <v>0</v>
      </c>
      <c r="N1537" s="32">
        <v>0</v>
      </c>
      <c r="O1537" s="32">
        <v>1</v>
      </c>
      <c r="P1537" s="32">
        <v>0</v>
      </c>
      <c r="Q1537" s="32">
        <v>0</v>
      </c>
      <c r="R1537" s="32">
        <v>0</v>
      </c>
      <c r="S1537" s="19">
        <v>0</v>
      </c>
      <c r="T1537" s="31">
        <v>0</v>
      </c>
      <c r="U1537" s="21">
        <v>1</v>
      </c>
      <c r="V1537" s="32">
        <v>2</v>
      </c>
      <c r="W1537" s="32">
        <v>0</v>
      </c>
      <c r="X1537" s="32">
        <v>0</v>
      </c>
      <c r="Y1537" s="19">
        <v>0</v>
      </c>
      <c r="Z1537" s="32">
        <v>0</v>
      </c>
      <c r="AA1537" s="32">
        <v>0</v>
      </c>
      <c r="AB1537" s="32">
        <v>0</v>
      </c>
      <c r="AC1537" s="32">
        <v>0</v>
      </c>
      <c r="AD1537" s="32">
        <v>1</v>
      </c>
      <c r="AE1537" s="32">
        <v>0</v>
      </c>
      <c r="AF1537" s="32">
        <v>18</v>
      </c>
      <c r="AG1537" s="32">
        <v>0</v>
      </c>
      <c r="AH1537" s="32">
        <v>0</v>
      </c>
      <c r="AI1537" s="19">
        <v>2</v>
      </c>
      <c r="AJ1537" s="19">
        <v>0</v>
      </c>
      <c r="AK1537" s="19">
        <v>0</v>
      </c>
      <c r="AL1537" s="19">
        <v>0</v>
      </c>
      <c r="AM1537" s="32">
        <v>0</v>
      </c>
      <c r="AN1537" s="32">
        <v>0</v>
      </c>
      <c r="AO1537" s="32">
        <v>0</v>
      </c>
      <c r="AP1537" s="32">
        <v>0</v>
      </c>
      <c r="AQ1537" s="32">
        <v>1000</v>
      </c>
      <c r="AR1537" s="32">
        <v>0</v>
      </c>
      <c r="AS1537" s="32">
        <v>0</v>
      </c>
      <c r="AT1537" s="19">
        <v>95005105</v>
      </c>
      <c r="AU1537" s="32" t="s">
        <v>204</v>
      </c>
      <c r="AV1537" s="32"/>
      <c r="AW1537" s="35" t="s">
        <v>205</v>
      </c>
      <c r="AX1537" s="32" t="s">
        <v>3179</v>
      </c>
      <c r="AY1537" s="32">
        <v>0</v>
      </c>
      <c r="AZ1537" s="32">
        <v>40000003</v>
      </c>
      <c r="BA1537" s="35" t="s">
        <v>206</v>
      </c>
      <c r="BB1537" s="35" t="s">
        <v>204</v>
      </c>
      <c r="BC1537" s="31">
        <v>0</v>
      </c>
      <c r="BD1537" s="31">
        <v>0</v>
      </c>
      <c r="BE1537" s="60"/>
      <c r="BF1537" s="60"/>
      <c r="BG1537" s="32">
        <v>0</v>
      </c>
      <c r="BH1537" s="21">
        <v>0</v>
      </c>
      <c r="BI1537" s="32">
        <v>0</v>
      </c>
      <c r="BJ1537" s="32">
        <v>0</v>
      </c>
      <c r="BK1537" s="32">
        <v>0</v>
      </c>
      <c r="BL1537" s="32">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20.100000000000001" customHeight="1">
      <c r="C1538" s="32">
        <v>65006001</v>
      </c>
      <c r="D1538" s="35" t="s">
        <v>3303</v>
      </c>
      <c r="E1538" s="35" t="s">
        <v>3304</v>
      </c>
      <c r="F1538" s="32">
        <v>1</v>
      </c>
      <c r="G1538" s="32">
        <v>0</v>
      </c>
      <c r="H1538" s="32">
        <v>0</v>
      </c>
      <c r="I1538" s="31">
        <v>0</v>
      </c>
      <c r="J1538" s="32">
        <v>1</v>
      </c>
      <c r="K1538" s="32">
        <v>0</v>
      </c>
      <c r="L1538" s="32">
        <v>0</v>
      </c>
      <c r="M1538" s="32">
        <v>0</v>
      </c>
      <c r="N1538" s="32">
        <v>0</v>
      </c>
      <c r="O1538" s="32">
        <v>1</v>
      </c>
      <c r="P1538" s="32">
        <v>0</v>
      </c>
      <c r="Q1538" s="32">
        <v>0</v>
      </c>
      <c r="R1538" s="32">
        <v>0</v>
      </c>
      <c r="S1538" s="19">
        <v>0</v>
      </c>
      <c r="T1538" s="31">
        <v>0</v>
      </c>
      <c r="U1538" s="21">
        <v>1</v>
      </c>
      <c r="V1538" s="32">
        <v>2</v>
      </c>
      <c r="W1538" s="32">
        <v>0</v>
      </c>
      <c r="X1538" s="32">
        <v>0</v>
      </c>
      <c r="Y1538" s="19">
        <v>0</v>
      </c>
      <c r="Z1538" s="32">
        <v>0</v>
      </c>
      <c r="AA1538" s="32">
        <v>0</v>
      </c>
      <c r="AB1538" s="32">
        <v>0</v>
      </c>
      <c r="AC1538" s="32">
        <v>0</v>
      </c>
      <c r="AD1538" s="32">
        <v>1</v>
      </c>
      <c r="AE1538" s="32">
        <v>0</v>
      </c>
      <c r="AF1538" s="32">
        <v>10</v>
      </c>
      <c r="AG1538" s="32">
        <v>0</v>
      </c>
      <c r="AH1538" s="32">
        <v>0</v>
      </c>
      <c r="AI1538" s="19">
        <v>2</v>
      </c>
      <c r="AJ1538" s="19">
        <v>0</v>
      </c>
      <c r="AK1538" s="19">
        <v>0</v>
      </c>
      <c r="AL1538" s="19">
        <v>0</v>
      </c>
      <c r="AM1538" s="32">
        <v>0</v>
      </c>
      <c r="AN1538" s="32">
        <v>0</v>
      </c>
      <c r="AO1538" s="32">
        <v>0</v>
      </c>
      <c r="AP1538" s="32">
        <v>0</v>
      </c>
      <c r="AQ1538" s="32">
        <v>1000</v>
      </c>
      <c r="AR1538" s="32">
        <v>0</v>
      </c>
      <c r="AS1538" s="32">
        <v>0</v>
      </c>
      <c r="AT1538" s="329" t="s">
        <v>3305</v>
      </c>
      <c r="AU1538" s="32" t="s">
        <v>204</v>
      </c>
      <c r="AV1538" s="32"/>
      <c r="AW1538" s="35" t="s">
        <v>205</v>
      </c>
      <c r="AX1538" s="32" t="s">
        <v>3179</v>
      </c>
      <c r="AY1538" s="32">
        <v>0</v>
      </c>
      <c r="AZ1538" s="32">
        <v>40000003</v>
      </c>
      <c r="BA1538" s="35" t="s">
        <v>206</v>
      </c>
      <c r="BB1538" s="35" t="s">
        <v>204</v>
      </c>
      <c r="BC1538" s="31">
        <v>0</v>
      </c>
      <c r="BD1538" s="31">
        <v>0</v>
      </c>
      <c r="BE1538" s="60"/>
      <c r="BF1538" s="60"/>
      <c r="BG1538" s="32">
        <v>0</v>
      </c>
      <c r="BH1538" s="21">
        <v>0</v>
      </c>
      <c r="BI1538" s="32">
        <v>0</v>
      </c>
      <c r="BJ1538" s="32">
        <v>0</v>
      </c>
      <c r="BK1538" s="32">
        <v>0</v>
      </c>
      <c r="BL1538" s="32">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20.100000000000001" customHeight="1">
      <c r="C1539" s="32">
        <v>65006002</v>
      </c>
      <c r="D1539" s="35" t="s">
        <v>3306</v>
      </c>
      <c r="E1539" s="35" t="s">
        <v>3307</v>
      </c>
      <c r="F1539" s="32">
        <v>1</v>
      </c>
      <c r="G1539" s="32">
        <v>0</v>
      </c>
      <c r="H1539" s="32">
        <v>0</v>
      </c>
      <c r="I1539" s="31">
        <v>0</v>
      </c>
      <c r="J1539" s="32">
        <v>1</v>
      </c>
      <c r="K1539" s="32">
        <v>0</v>
      </c>
      <c r="L1539" s="32">
        <v>0</v>
      </c>
      <c r="M1539" s="32">
        <v>0</v>
      </c>
      <c r="N1539" s="32">
        <v>0</v>
      </c>
      <c r="O1539" s="32">
        <v>1</v>
      </c>
      <c r="P1539" s="32">
        <v>0</v>
      </c>
      <c r="Q1539" s="32">
        <v>0</v>
      </c>
      <c r="R1539" s="32">
        <v>0</v>
      </c>
      <c r="S1539" s="19">
        <v>0</v>
      </c>
      <c r="T1539" s="31">
        <v>0</v>
      </c>
      <c r="U1539" s="21">
        <v>1</v>
      </c>
      <c r="V1539" s="32">
        <v>2</v>
      </c>
      <c r="W1539" s="32">
        <v>0</v>
      </c>
      <c r="X1539" s="32">
        <v>0</v>
      </c>
      <c r="Y1539" s="19">
        <v>0</v>
      </c>
      <c r="Z1539" s="32">
        <v>0</v>
      </c>
      <c r="AA1539" s="32">
        <v>0</v>
      </c>
      <c r="AB1539" s="32">
        <v>0</v>
      </c>
      <c r="AC1539" s="32">
        <v>0</v>
      </c>
      <c r="AD1539" s="32">
        <v>1</v>
      </c>
      <c r="AE1539" s="32">
        <v>0</v>
      </c>
      <c r="AF1539" s="32">
        <v>10</v>
      </c>
      <c r="AG1539" s="32">
        <v>0</v>
      </c>
      <c r="AH1539" s="32">
        <v>0</v>
      </c>
      <c r="AI1539" s="19">
        <v>2</v>
      </c>
      <c r="AJ1539" s="19">
        <v>0</v>
      </c>
      <c r="AK1539" s="19">
        <v>0</v>
      </c>
      <c r="AL1539" s="19">
        <v>0</v>
      </c>
      <c r="AM1539" s="32">
        <v>0</v>
      </c>
      <c r="AN1539" s="32">
        <v>0</v>
      </c>
      <c r="AO1539" s="32">
        <v>0</v>
      </c>
      <c r="AP1539" s="32">
        <v>0</v>
      </c>
      <c r="AQ1539" s="32">
        <v>1000</v>
      </c>
      <c r="AR1539" s="32">
        <v>0</v>
      </c>
      <c r="AS1539" s="32">
        <v>0</v>
      </c>
      <c r="AT1539" s="19">
        <v>95006021</v>
      </c>
      <c r="AU1539" s="32" t="s">
        <v>204</v>
      </c>
      <c r="AV1539" s="32"/>
      <c r="AW1539" s="35" t="s">
        <v>205</v>
      </c>
      <c r="AX1539" s="32" t="s">
        <v>3179</v>
      </c>
      <c r="AY1539" s="32">
        <v>0</v>
      </c>
      <c r="AZ1539" s="32">
        <v>40000003</v>
      </c>
      <c r="BA1539" s="35" t="s">
        <v>206</v>
      </c>
      <c r="BB1539" s="35" t="s">
        <v>204</v>
      </c>
      <c r="BC1539" s="31">
        <v>0</v>
      </c>
      <c r="BD1539" s="31">
        <v>0</v>
      </c>
      <c r="BE1539" s="60" t="s">
        <v>3308</v>
      </c>
      <c r="BF1539" s="60" t="s">
        <v>3309</v>
      </c>
      <c r="BG1539" s="32">
        <v>0</v>
      </c>
      <c r="BH1539" s="21">
        <v>0</v>
      </c>
      <c r="BI1539" s="32">
        <v>0</v>
      </c>
      <c r="BJ1539" s="32">
        <v>0</v>
      </c>
      <c r="BK1539" s="32">
        <v>0</v>
      </c>
      <c r="BL1539" s="32">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19.5" customHeight="1">
      <c r="C1540" s="32">
        <v>65006003</v>
      </c>
      <c r="D1540" s="30" t="s">
        <v>3310</v>
      </c>
      <c r="E1540" s="30" t="s">
        <v>3311</v>
      </c>
      <c r="F1540" s="32">
        <v>1</v>
      </c>
      <c r="G1540" s="21">
        <v>60010100</v>
      </c>
      <c r="H1540" s="32">
        <v>0</v>
      </c>
      <c r="I1540" s="31">
        <v>0</v>
      </c>
      <c r="J1540" s="32">
        <v>1</v>
      </c>
      <c r="K1540" s="32">
        <v>0</v>
      </c>
      <c r="L1540" s="32">
        <v>0</v>
      </c>
      <c r="M1540" s="21">
        <v>0</v>
      </c>
      <c r="N1540" s="21">
        <v>0</v>
      </c>
      <c r="O1540" s="21">
        <v>1</v>
      </c>
      <c r="P1540" s="21">
        <v>0</v>
      </c>
      <c r="Q1540" s="21">
        <v>0</v>
      </c>
      <c r="R1540" s="21">
        <v>0</v>
      </c>
      <c r="S1540" s="19">
        <v>0</v>
      </c>
      <c r="T1540" s="21">
        <v>0</v>
      </c>
      <c r="U1540" s="21">
        <v>1</v>
      </c>
      <c r="V1540" s="21">
        <v>2</v>
      </c>
      <c r="W1540" s="21">
        <v>0</v>
      </c>
      <c r="X1540" s="21">
        <v>2.5</v>
      </c>
      <c r="Y1540" s="19">
        <v>0</v>
      </c>
      <c r="Z1540" s="21">
        <v>0</v>
      </c>
      <c r="AA1540" s="21">
        <v>1</v>
      </c>
      <c r="AB1540" s="21">
        <v>0</v>
      </c>
      <c r="AC1540" s="21">
        <v>0</v>
      </c>
      <c r="AD1540" s="21">
        <v>0</v>
      </c>
      <c r="AE1540" s="21">
        <v>0</v>
      </c>
      <c r="AF1540" s="21">
        <v>10</v>
      </c>
      <c r="AG1540" s="21">
        <v>1</v>
      </c>
      <c r="AH1540" s="21">
        <v>3</v>
      </c>
      <c r="AI1540" s="19">
        <v>2</v>
      </c>
      <c r="AJ1540" s="19">
        <v>1</v>
      </c>
      <c r="AK1540" s="19">
        <v>0</v>
      </c>
      <c r="AL1540" s="19">
        <v>6</v>
      </c>
      <c r="AM1540" s="21">
        <v>0</v>
      </c>
      <c r="AN1540" s="21">
        <v>0</v>
      </c>
      <c r="AO1540" s="21">
        <v>0</v>
      </c>
      <c r="AP1540" s="21">
        <v>0</v>
      </c>
      <c r="AQ1540" s="21">
        <v>1000</v>
      </c>
      <c r="AR1540" s="21">
        <v>0.5</v>
      </c>
      <c r="AS1540" s="21">
        <v>0</v>
      </c>
      <c r="AT1540" s="19">
        <v>0</v>
      </c>
      <c r="AU1540" s="21">
        <v>0</v>
      </c>
      <c r="AV1540" s="21"/>
      <c r="AW1540" s="35" t="s">
        <v>205</v>
      </c>
      <c r="AX1540" s="72" t="s">
        <v>221</v>
      </c>
      <c r="AY1540" s="32">
        <v>10000007</v>
      </c>
      <c r="AZ1540" s="32">
        <v>70203006</v>
      </c>
      <c r="BA1540" s="30" t="s">
        <v>206</v>
      </c>
      <c r="BB1540" s="21">
        <v>0</v>
      </c>
      <c r="BC1540" s="31">
        <v>0</v>
      </c>
      <c r="BD1540" s="31">
        <v>0</v>
      </c>
      <c r="BE1540" s="33" t="s">
        <v>3312</v>
      </c>
      <c r="BF1540" s="33" t="s">
        <v>3313</v>
      </c>
      <c r="BG1540" s="21">
        <v>0</v>
      </c>
      <c r="BH1540" s="21">
        <v>0</v>
      </c>
      <c r="BI1540" s="21">
        <v>0</v>
      </c>
      <c r="BJ1540" s="21">
        <v>0</v>
      </c>
      <c r="BK1540" s="21">
        <v>0</v>
      </c>
      <c r="BL1540" s="21">
        <v>0</v>
      </c>
      <c r="BM1540" s="25">
        <v>0</v>
      </c>
      <c r="BN1540" s="19">
        <v>1</v>
      </c>
      <c r="BO1540" s="19">
        <v>0</v>
      </c>
      <c r="BP1540" s="19">
        <v>0</v>
      </c>
      <c r="BQ1540" s="19">
        <v>0</v>
      </c>
      <c r="BR1540" s="19">
        <v>0</v>
      </c>
      <c r="BS1540" s="19">
        <v>0</v>
      </c>
      <c r="BT1540" s="19">
        <v>0</v>
      </c>
      <c r="BU1540" s="23">
        <v>0</v>
      </c>
      <c r="BV1540" s="23"/>
      <c r="BW1540" s="23"/>
      <c r="BX1540" s="23"/>
      <c r="BY1540" s="23"/>
      <c r="BZ1540" s="23"/>
    </row>
    <row r="1541" spans="3:78" ht="19.5" customHeight="1">
      <c r="C1541" s="32">
        <v>65006004</v>
      </c>
      <c r="D1541" s="30" t="s">
        <v>3314</v>
      </c>
      <c r="E1541" s="30" t="s">
        <v>3315</v>
      </c>
      <c r="F1541" s="32">
        <v>1</v>
      </c>
      <c r="G1541" s="21">
        <v>60010100</v>
      </c>
      <c r="H1541" s="32">
        <v>0</v>
      </c>
      <c r="I1541" s="31">
        <v>0</v>
      </c>
      <c r="J1541" s="32">
        <v>1</v>
      </c>
      <c r="K1541" s="32">
        <v>0</v>
      </c>
      <c r="L1541" s="32">
        <v>0</v>
      </c>
      <c r="M1541" s="21">
        <v>0</v>
      </c>
      <c r="N1541" s="21">
        <v>0</v>
      </c>
      <c r="O1541" s="21">
        <v>1</v>
      </c>
      <c r="P1541" s="21">
        <v>0</v>
      </c>
      <c r="Q1541" s="21">
        <v>0</v>
      </c>
      <c r="R1541" s="21">
        <v>0</v>
      </c>
      <c r="S1541" s="19">
        <v>0</v>
      </c>
      <c r="T1541" s="21">
        <v>0</v>
      </c>
      <c r="U1541" s="21">
        <v>1</v>
      </c>
      <c r="V1541" s="21">
        <v>2</v>
      </c>
      <c r="W1541" s="21">
        <v>0</v>
      </c>
      <c r="X1541" s="21">
        <v>0.8</v>
      </c>
      <c r="Y1541" s="19">
        <v>0</v>
      </c>
      <c r="Z1541" s="21">
        <v>0</v>
      </c>
      <c r="AA1541" s="21">
        <v>1</v>
      </c>
      <c r="AB1541" s="21">
        <v>0</v>
      </c>
      <c r="AC1541" s="21">
        <v>0</v>
      </c>
      <c r="AD1541" s="21">
        <v>0</v>
      </c>
      <c r="AE1541" s="21">
        <v>0</v>
      </c>
      <c r="AF1541" s="21">
        <v>15</v>
      </c>
      <c r="AG1541" s="21">
        <v>1</v>
      </c>
      <c r="AH1541" s="21">
        <v>3</v>
      </c>
      <c r="AI1541" s="19">
        <v>2</v>
      </c>
      <c r="AJ1541" s="19">
        <v>1</v>
      </c>
      <c r="AK1541" s="19">
        <v>0</v>
      </c>
      <c r="AL1541" s="19">
        <v>6</v>
      </c>
      <c r="AM1541" s="21">
        <v>0</v>
      </c>
      <c r="AN1541" s="21">
        <v>0</v>
      </c>
      <c r="AO1541" s="21">
        <v>0</v>
      </c>
      <c r="AP1541" s="21">
        <v>0</v>
      </c>
      <c r="AQ1541" s="21">
        <v>6000</v>
      </c>
      <c r="AR1541" s="21">
        <v>0.5</v>
      </c>
      <c r="AS1541" s="21">
        <v>0</v>
      </c>
      <c r="AT1541" s="19">
        <v>0</v>
      </c>
      <c r="AU1541" s="21">
        <v>95006031</v>
      </c>
      <c r="AV1541" s="21"/>
      <c r="AW1541" s="35" t="s">
        <v>623</v>
      </c>
      <c r="AX1541" s="19" t="s">
        <v>1802</v>
      </c>
      <c r="AY1541" s="32">
        <v>10000007</v>
      </c>
      <c r="AZ1541" s="32">
        <v>70203007</v>
      </c>
      <c r="BA1541" s="35" t="s">
        <v>321</v>
      </c>
      <c r="BB1541" s="35" t="s">
        <v>377</v>
      </c>
      <c r="BC1541" s="31">
        <v>0</v>
      </c>
      <c r="BD1541" s="31">
        <v>0</v>
      </c>
      <c r="BE1541" s="33" t="s">
        <v>3316</v>
      </c>
      <c r="BF1541" s="33" t="s">
        <v>3317</v>
      </c>
      <c r="BG1541" s="21">
        <v>0</v>
      </c>
      <c r="BH1541" s="21">
        <v>0</v>
      </c>
      <c r="BI1541" s="21">
        <v>0</v>
      </c>
      <c r="BJ1541" s="21">
        <v>0</v>
      </c>
      <c r="BK1541" s="21">
        <v>0</v>
      </c>
      <c r="BL1541" s="21">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66001001</v>
      </c>
      <c r="D1542" s="35" t="s">
        <v>387</v>
      </c>
      <c r="E1542" s="35" t="s">
        <v>388</v>
      </c>
      <c r="F1542" s="32">
        <v>1</v>
      </c>
      <c r="G1542" s="32">
        <v>66001001</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t="s">
        <v>3318</v>
      </c>
      <c r="AU1542" s="32" t="s">
        <v>204</v>
      </c>
      <c r="AV1542" s="32"/>
      <c r="AW1542" s="35" t="s">
        <v>205</v>
      </c>
      <c r="AX1542" s="32" t="s">
        <v>3179</v>
      </c>
      <c r="AY1542" s="32">
        <v>0</v>
      </c>
      <c r="AZ1542" s="32">
        <v>66001001</v>
      </c>
      <c r="BA1542" s="35" t="s">
        <v>206</v>
      </c>
      <c r="BB1542" s="35" t="s">
        <v>204</v>
      </c>
      <c r="BC1542" s="31">
        <v>0</v>
      </c>
      <c r="BD1542" s="31">
        <v>0</v>
      </c>
      <c r="BE1542" s="60" t="s">
        <v>3319</v>
      </c>
      <c r="BF1542" s="60" t="s">
        <v>3320</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32">
        <v>66001002</v>
      </c>
      <c r="D1543" s="35" t="s">
        <v>3321</v>
      </c>
      <c r="E1543" s="35" t="s">
        <v>3322</v>
      </c>
      <c r="F1543" s="21">
        <v>1</v>
      </c>
      <c r="G1543" s="32">
        <v>66001002</v>
      </c>
      <c r="H1543" s="32">
        <v>0</v>
      </c>
      <c r="I1543" s="31">
        <v>0</v>
      </c>
      <c r="J1543" s="32">
        <v>1</v>
      </c>
      <c r="K1543" s="32">
        <v>0</v>
      </c>
      <c r="L1543" s="21">
        <v>0</v>
      </c>
      <c r="M1543" s="32">
        <v>0</v>
      </c>
      <c r="N1543" s="32">
        <v>0</v>
      </c>
      <c r="O1543" s="32">
        <v>1</v>
      </c>
      <c r="P1543" s="32">
        <v>0</v>
      </c>
      <c r="Q1543" s="32">
        <v>0</v>
      </c>
      <c r="R1543" s="32">
        <v>0</v>
      </c>
      <c r="S1543" s="19">
        <v>0</v>
      </c>
      <c r="T1543" s="31">
        <v>0</v>
      </c>
      <c r="U1543" s="21">
        <v>1</v>
      </c>
      <c r="V1543" s="32">
        <v>2</v>
      </c>
      <c r="W1543" s="32">
        <v>0</v>
      </c>
      <c r="X1543" s="32">
        <v>0.75</v>
      </c>
      <c r="Y1543" s="19">
        <v>0</v>
      </c>
      <c r="Z1543" s="32">
        <v>0</v>
      </c>
      <c r="AA1543" s="32">
        <v>0</v>
      </c>
      <c r="AB1543" s="32">
        <v>0</v>
      </c>
      <c r="AC1543" s="32">
        <v>0</v>
      </c>
      <c r="AD1543" s="32">
        <v>0</v>
      </c>
      <c r="AE1543" s="32">
        <v>0</v>
      </c>
      <c r="AF1543" s="32">
        <v>24</v>
      </c>
      <c r="AG1543" s="32">
        <v>1</v>
      </c>
      <c r="AH1543" s="32">
        <v>4</v>
      </c>
      <c r="AI1543" s="19">
        <v>2</v>
      </c>
      <c r="AJ1543" s="19">
        <v>1</v>
      </c>
      <c r="AK1543" s="19">
        <v>0</v>
      </c>
      <c r="AL1543" s="19">
        <v>6</v>
      </c>
      <c r="AM1543" s="32">
        <v>0</v>
      </c>
      <c r="AN1543" s="32">
        <v>0</v>
      </c>
      <c r="AO1543" s="32">
        <v>0</v>
      </c>
      <c r="AP1543" s="32">
        <v>0.5</v>
      </c>
      <c r="AQ1543" s="32">
        <v>9000</v>
      </c>
      <c r="AR1543" s="32">
        <v>0.5</v>
      </c>
      <c r="AS1543" s="32">
        <v>0</v>
      </c>
      <c r="AT1543" s="19">
        <v>0</v>
      </c>
      <c r="AU1543" s="32" t="s">
        <v>204</v>
      </c>
      <c r="AV1543" s="32"/>
      <c r="AW1543" s="35" t="s">
        <v>1705</v>
      </c>
      <c r="AX1543" s="32" t="s">
        <v>1415</v>
      </c>
      <c r="AY1543" s="32">
        <v>10002001</v>
      </c>
      <c r="AZ1543" s="32">
        <v>66001002</v>
      </c>
      <c r="BA1543" s="35" t="s">
        <v>321</v>
      </c>
      <c r="BB1543" s="35" t="s">
        <v>377</v>
      </c>
      <c r="BC1543" s="31">
        <v>0</v>
      </c>
      <c r="BD1543" s="31">
        <v>0</v>
      </c>
      <c r="BE1543" s="60" t="s">
        <v>3323</v>
      </c>
      <c r="BF1543" s="60" t="s">
        <v>3324</v>
      </c>
      <c r="BG1543" s="32">
        <v>0</v>
      </c>
      <c r="BH1543" s="21">
        <v>0</v>
      </c>
      <c r="BI1543" s="32">
        <v>0</v>
      </c>
      <c r="BJ1543" s="32">
        <v>0</v>
      </c>
      <c r="BK1543" s="32">
        <v>0</v>
      </c>
      <c r="BL1543" s="32">
        <v>0</v>
      </c>
      <c r="BM1543" s="25">
        <v>0</v>
      </c>
      <c r="BN1543" s="19">
        <v>0</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66001003</v>
      </c>
      <c r="D1544" s="35" t="s">
        <v>3325</v>
      </c>
      <c r="E1544" s="35" t="s">
        <v>3326</v>
      </c>
      <c r="F1544" s="32">
        <v>1</v>
      </c>
      <c r="G1544" s="32">
        <v>66001003</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96001003</v>
      </c>
      <c r="AU1544" s="32" t="s">
        <v>204</v>
      </c>
      <c r="AV1544" s="32"/>
      <c r="AW1544" s="35" t="s">
        <v>205</v>
      </c>
      <c r="AX1544" s="32" t="s">
        <v>3179</v>
      </c>
      <c r="AY1544" s="32">
        <v>0</v>
      </c>
      <c r="AZ1544" s="32">
        <v>66001003</v>
      </c>
      <c r="BA1544" s="35" t="s">
        <v>206</v>
      </c>
      <c r="BB1544" s="35" t="s">
        <v>204</v>
      </c>
      <c r="BC1544" s="31">
        <v>0</v>
      </c>
      <c r="BD1544" s="31">
        <v>0</v>
      </c>
      <c r="BE1544" s="60" t="s">
        <v>3327</v>
      </c>
      <c r="BF1544" s="60" t="s">
        <v>3328</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32">
        <v>66001004</v>
      </c>
      <c r="D1545" s="35" t="s">
        <v>3329</v>
      </c>
      <c r="E1545" s="35" t="s">
        <v>3330</v>
      </c>
      <c r="F1545" s="32">
        <v>1</v>
      </c>
      <c r="G1545" s="32">
        <v>66001004</v>
      </c>
      <c r="H1545" s="32">
        <v>0</v>
      </c>
      <c r="I1545" s="31">
        <v>0</v>
      </c>
      <c r="J1545" s="32">
        <v>1</v>
      </c>
      <c r="K1545" s="32">
        <v>0</v>
      </c>
      <c r="L1545" s="32">
        <v>0</v>
      </c>
      <c r="M1545" s="32">
        <v>0</v>
      </c>
      <c r="N1545" s="32">
        <v>0</v>
      </c>
      <c r="O1545" s="32">
        <v>1</v>
      </c>
      <c r="P1545" s="32">
        <v>0</v>
      </c>
      <c r="Q1545" s="32">
        <v>0</v>
      </c>
      <c r="R1545" s="32">
        <v>0</v>
      </c>
      <c r="S1545" s="19">
        <v>0</v>
      </c>
      <c r="T1545" s="31">
        <v>0</v>
      </c>
      <c r="U1545" s="21">
        <v>1</v>
      </c>
      <c r="V1545" s="32">
        <v>2</v>
      </c>
      <c r="W1545" s="32">
        <v>0</v>
      </c>
      <c r="X1545" s="32">
        <v>0</v>
      </c>
      <c r="Y1545" s="19">
        <v>0</v>
      </c>
      <c r="Z1545" s="32">
        <v>0</v>
      </c>
      <c r="AA1545" s="32">
        <v>0</v>
      </c>
      <c r="AB1545" s="32">
        <v>0</v>
      </c>
      <c r="AC1545" s="32">
        <v>0</v>
      </c>
      <c r="AD1545" s="32">
        <v>0</v>
      </c>
      <c r="AE1545" s="32">
        <v>0</v>
      </c>
      <c r="AF1545" s="32">
        <v>18</v>
      </c>
      <c r="AG1545" s="32">
        <v>0</v>
      </c>
      <c r="AH1545" s="32">
        <v>0</v>
      </c>
      <c r="AI1545" s="19">
        <v>2</v>
      </c>
      <c r="AJ1545" s="19">
        <v>0</v>
      </c>
      <c r="AK1545" s="19">
        <v>0</v>
      </c>
      <c r="AL1545" s="19">
        <v>0</v>
      </c>
      <c r="AM1545" s="32">
        <v>0</v>
      </c>
      <c r="AN1545" s="32">
        <v>0</v>
      </c>
      <c r="AO1545" s="32">
        <v>0</v>
      </c>
      <c r="AP1545" s="32">
        <v>0</v>
      </c>
      <c r="AQ1545" s="32">
        <v>1000</v>
      </c>
      <c r="AR1545" s="32">
        <v>0</v>
      </c>
      <c r="AS1545" s="32">
        <v>0</v>
      </c>
      <c r="AT1545" s="19">
        <v>96001004</v>
      </c>
      <c r="AU1545" s="32" t="s">
        <v>204</v>
      </c>
      <c r="AV1545" s="32"/>
      <c r="AW1545" s="35" t="s">
        <v>205</v>
      </c>
      <c r="AX1545" s="32" t="s">
        <v>3179</v>
      </c>
      <c r="AY1545" s="32">
        <v>0</v>
      </c>
      <c r="AZ1545" s="32">
        <v>66001004</v>
      </c>
      <c r="BA1545" s="35" t="s">
        <v>206</v>
      </c>
      <c r="BB1545" s="35" t="s">
        <v>204</v>
      </c>
      <c r="BC1545" s="31">
        <v>0</v>
      </c>
      <c r="BD1545" s="31">
        <v>0</v>
      </c>
      <c r="BE1545" s="60" t="s">
        <v>3331</v>
      </c>
      <c r="BF1545" s="60" t="s">
        <v>3332</v>
      </c>
      <c r="BG1545" s="32">
        <v>0</v>
      </c>
      <c r="BH1545" s="21">
        <v>0</v>
      </c>
      <c r="BI1545" s="32">
        <v>0</v>
      </c>
      <c r="BJ1545" s="32">
        <v>0</v>
      </c>
      <c r="BK1545" s="32">
        <v>0</v>
      </c>
      <c r="BL1545" s="32">
        <v>0</v>
      </c>
      <c r="BM1545" s="25">
        <v>0</v>
      </c>
      <c r="BN1545" s="19">
        <v>1</v>
      </c>
      <c r="BO1545" s="19">
        <v>0</v>
      </c>
      <c r="BP1545" s="19">
        <v>0</v>
      </c>
      <c r="BQ1545" s="19">
        <v>0</v>
      </c>
      <c r="BR1545" s="19">
        <v>0</v>
      </c>
      <c r="BS1545" s="19">
        <v>0</v>
      </c>
      <c r="BT1545" s="19">
        <v>0</v>
      </c>
      <c r="BU1545" s="23">
        <v>0</v>
      </c>
      <c r="BV1545" s="23"/>
      <c r="BW1545" s="23"/>
      <c r="BX1545" s="23"/>
      <c r="BY1545" s="23"/>
      <c r="BZ1545" s="23"/>
    </row>
    <row r="1546" spans="3:78" ht="20.100000000000001" customHeight="1">
      <c r="C1546" s="19">
        <v>66001005</v>
      </c>
      <c r="D1546" s="20" t="s">
        <v>3333</v>
      </c>
      <c r="E1546" s="20" t="s">
        <v>3334</v>
      </c>
      <c r="F1546" s="19">
        <v>1</v>
      </c>
      <c r="G1546" s="19">
        <v>66001005</v>
      </c>
      <c r="H1546" s="19">
        <v>0</v>
      </c>
      <c r="I1546" s="19">
        <v>0</v>
      </c>
      <c r="J1546" s="32">
        <v>1</v>
      </c>
      <c r="K1546" s="32">
        <v>0</v>
      </c>
      <c r="L1546" s="19">
        <v>0</v>
      </c>
      <c r="M1546" s="19">
        <v>0</v>
      </c>
      <c r="N1546" s="19">
        <v>0</v>
      </c>
      <c r="O1546" s="19">
        <v>1</v>
      </c>
      <c r="P1546" s="19">
        <v>0</v>
      </c>
      <c r="Q1546" s="19">
        <v>0</v>
      </c>
      <c r="R1546" s="19">
        <v>0</v>
      </c>
      <c r="S1546" s="19">
        <v>0</v>
      </c>
      <c r="T1546" s="19">
        <v>0</v>
      </c>
      <c r="U1546" s="21">
        <v>1</v>
      </c>
      <c r="V1546" s="19">
        <v>2</v>
      </c>
      <c r="W1546" s="19">
        <v>0</v>
      </c>
      <c r="X1546" s="19">
        <v>0</v>
      </c>
      <c r="Y1546" s="19">
        <v>0</v>
      </c>
      <c r="Z1546" s="19">
        <v>0</v>
      </c>
      <c r="AA1546" s="19">
        <v>1</v>
      </c>
      <c r="AB1546" s="19">
        <v>0</v>
      </c>
      <c r="AC1546" s="19">
        <v>0</v>
      </c>
      <c r="AD1546" s="32">
        <v>0</v>
      </c>
      <c r="AE1546" s="19">
        <v>0</v>
      </c>
      <c r="AF1546" s="19">
        <v>18</v>
      </c>
      <c r="AG1546" s="19">
        <v>1</v>
      </c>
      <c r="AH1546" s="19">
        <v>3</v>
      </c>
      <c r="AI1546" s="19">
        <v>2</v>
      </c>
      <c r="AJ1546" s="19">
        <v>0</v>
      </c>
      <c r="AK1546" s="19">
        <v>1</v>
      </c>
      <c r="AL1546" s="19">
        <v>1.6</v>
      </c>
      <c r="AM1546" s="19">
        <v>0</v>
      </c>
      <c r="AN1546" s="19">
        <v>0</v>
      </c>
      <c r="AO1546" s="19">
        <v>0</v>
      </c>
      <c r="AP1546" s="19">
        <v>0.25</v>
      </c>
      <c r="AQ1546" s="19">
        <v>3000</v>
      </c>
      <c r="AR1546" s="19">
        <v>0.1</v>
      </c>
      <c r="AS1546" s="19">
        <v>0</v>
      </c>
      <c r="AT1546" s="19">
        <v>0</v>
      </c>
      <c r="AU1546" s="19">
        <v>96001005</v>
      </c>
      <c r="AV1546" s="19"/>
      <c r="AW1546" s="20" t="s">
        <v>262</v>
      </c>
      <c r="AX1546" s="32" t="s">
        <v>3179</v>
      </c>
      <c r="AY1546" s="19" t="s">
        <v>204</v>
      </c>
      <c r="AZ1546" s="19">
        <v>66001005</v>
      </c>
      <c r="BA1546" s="20" t="s">
        <v>206</v>
      </c>
      <c r="BB1546" s="19">
        <v>0</v>
      </c>
      <c r="BC1546" s="19">
        <v>0</v>
      </c>
      <c r="BD1546" s="19">
        <v>0</v>
      </c>
      <c r="BE1546" s="22" t="s">
        <v>3335</v>
      </c>
      <c r="BF1546" s="22" t="s">
        <v>3336</v>
      </c>
      <c r="BG1546" s="19">
        <v>0</v>
      </c>
      <c r="BH1546" s="21">
        <v>0</v>
      </c>
      <c r="BI1546" s="19">
        <v>0</v>
      </c>
      <c r="BJ1546" s="19">
        <v>0</v>
      </c>
      <c r="BK1546" s="19">
        <v>0</v>
      </c>
      <c r="BL1546" s="19">
        <v>0</v>
      </c>
      <c r="BM1546" s="25">
        <v>0</v>
      </c>
      <c r="BN1546" s="19">
        <v>1</v>
      </c>
      <c r="BO1546" s="19">
        <v>0</v>
      </c>
      <c r="BP1546" s="19">
        <v>0</v>
      </c>
      <c r="BQ1546" s="19">
        <v>0</v>
      </c>
      <c r="BR1546" s="19">
        <v>0</v>
      </c>
      <c r="BS1546" s="19">
        <v>0</v>
      </c>
      <c r="BT1546" s="19">
        <v>0</v>
      </c>
      <c r="BU1546" s="23">
        <v>0</v>
      </c>
      <c r="BV1546" s="23"/>
      <c r="BW1546" s="23"/>
      <c r="BX1546" s="23"/>
      <c r="BY1546" s="23"/>
      <c r="BZ1546" s="23"/>
    </row>
    <row r="1547" spans="3:78" ht="20.100000000000001" customHeight="1">
      <c r="C1547" s="32">
        <v>66001006</v>
      </c>
      <c r="D1547" s="35" t="s">
        <v>3337</v>
      </c>
      <c r="E1547" s="35" t="s">
        <v>3338</v>
      </c>
      <c r="F1547" s="32">
        <v>1</v>
      </c>
      <c r="G1547" s="32">
        <v>66001006</v>
      </c>
      <c r="H1547" s="32">
        <v>0</v>
      </c>
      <c r="I1547" s="31">
        <v>0</v>
      </c>
      <c r="J1547" s="32">
        <v>1</v>
      </c>
      <c r="K1547" s="32">
        <v>0</v>
      </c>
      <c r="L1547" s="32">
        <v>0</v>
      </c>
      <c r="M1547" s="32">
        <v>0</v>
      </c>
      <c r="N1547" s="32">
        <v>0</v>
      </c>
      <c r="O1547" s="32">
        <v>1</v>
      </c>
      <c r="P1547" s="32">
        <v>0</v>
      </c>
      <c r="Q1547" s="32">
        <v>0</v>
      </c>
      <c r="R1547" s="32">
        <v>0</v>
      </c>
      <c r="S1547" s="19">
        <v>0</v>
      </c>
      <c r="T1547" s="31">
        <v>0</v>
      </c>
      <c r="U1547" s="21">
        <v>1</v>
      </c>
      <c r="V1547" s="32">
        <v>2</v>
      </c>
      <c r="W1547" s="32">
        <v>0</v>
      </c>
      <c r="X1547" s="32">
        <v>0</v>
      </c>
      <c r="Y1547" s="19">
        <v>0</v>
      </c>
      <c r="Z1547" s="32">
        <v>0</v>
      </c>
      <c r="AA1547" s="32">
        <v>0</v>
      </c>
      <c r="AB1547" s="32">
        <v>0</v>
      </c>
      <c r="AC1547" s="32">
        <v>0</v>
      </c>
      <c r="AD1547" s="32">
        <v>0</v>
      </c>
      <c r="AE1547" s="32">
        <v>0</v>
      </c>
      <c r="AF1547" s="32">
        <v>18</v>
      </c>
      <c r="AG1547" s="32">
        <v>0</v>
      </c>
      <c r="AH1547" s="32">
        <v>0</v>
      </c>
      <c r="AI1547" s="19">
        <v>2</v>
      </c>
      <c r="AJ1547" s="19">
        <v>0</v>
      </c>
      <c r="AK1547" s="19">
        <v>0</v>
      </c>
      <c r="AL1547" s="19">
        <v>0</v>
      </c>
      <c r="AM1547" s="32">
        <v>0</v>
      </c>
      <c r="AN1547" s="32">
        <v>0</v>
      </c>
      <c r="AO1547" s="32">
        <v>0</v>
      </c>
      <c r="AP1547" s="32">
        <v>0</v>
      </c>
      <c r="AQ1547" s="32">
        <v>1000</v>
      </c>
      <c r="AR1547" s="32">
        <v>0</v>
      </c>
      <c r="AS1547" s="32">
        <v>0</v>
      </c>
      <c r="AT1547" s="19">
        <v>96001006</v>
      </c>
      <c r="AU1547" s="32" t="s">
        <v>204</v>
      </c>
      <c r="AV1547" s="32"/>
      <c r="AW1547" s="35" t="s">
        <v>205</v>
      </c>
      <c r="AX1547" s="32" t="s">
        <v>3179</v>
      </c>
      <c r="AY1547" s="32">
        <v>0</v>
      </c>
      <c r="AZ1547" s="32">
        <v>66001006</v>
      </c>
      <c r="BA1547" s="35" t="s">
        <v>206</v>
      </c>
      <c r="BB1547" s="35" t="s">
        <v>204</v>
      </c>
      <c r="BC1547" s="31">
        <v>0</v>
      </c>
      <c r="BD1547" s="31">
        <v>0</v>
      </c>
      <c r="BE1547" s="60" t="s">
        <v>3339</v>
      </c>
      <c r="BF1547" s="60" t="s">
        <v>3340</v>
      </c>
      <c r="BG1547" s="32">
        <v>0</v>
      </c>
      <c r="BH1547" s="21">
        <v>0</v>
      </c>
      <c r="BI1547" s="32">
        <v>0</v>
      </c>
      <c r="BJ1547" s="32">
        <v>0</v>
      </c>
      <c r="BK1547" s="32">
        <v>0</v>
      </c>
      <c r="BL1547" s="32">
        <v>0</v>
      </c>
      <c r="BM1547" s="25">
        <v>0</v>
      </c>
      <c r="BN1547" s="19">
        <v>1</v>
      </c>
      <c r="BO1547" s="19">
        <v>0</v>
      </c>
      <c r="BP1547" s="19">
        <v>0</v>
      </c>
      <c r="BQ1547" s="19">
        <v>0</v>
      </c>
      <c r="BR1547" s="19">
        <v>0</v>
      </c>
      <c r="BS1547" s="19">
        <v>0</v>
      </c>
      <c r="BT1547" s="19">
        <v>0</v>
      </c>
      <c r="BU1547" s="23">
        <v>0</v>
      </c>
      <c r="BV1547" s="23"/>
      <c r="BW1547" s="23"/>
      <c r="BX1547" s="23"/>
      <c r="BY1547" s="23"/>
      <c r="BZ1547" s="23"/>
    </row>
    <row r="1548" spans="3:78" ht="20.100000000000001" customHeight="1">
      <c r="C1548" s="32">
        <v>66001007</v>
      </c>
      <c r="D1548" s="20" t="s">
        <v>3341</v>
      </c>
      <c r="E1548" s="20" t="s">
        <v>3342</v>
      </c>
      <c r="F1548" s="32">
        <v>1</v>
      </c>
      <c r="G1548" s="32">
        <v>66001007</v>
      </c>
      <c r="H1548" s="19">
        <v>0</v>
      </c>
      <c r="I1548" s="19">
        <v>0</v>
      </c>
      <c r="J1548" s="32">
        <v>1</v>
      </c>
      <c r="K1548" s="32">
        <v>0</v>
      </c>
      <c r="L1548" s="19">
        <v>0</v>
      </c>
      <c r="M1548" s="19">
        <v>0</v>
      </c>
      <c r="N1548" s="19">
        <v>0</v>
      </c>
      <c r="O1548" s="19">
        <v>1</v>
      </c>
      <c r="P1548" s="19">
        <v>0</v>
      </c>
      <c r="Q1548" s="19">
        <v>0</v>
      </c>
      <c r="R1548" s="19">
        <v>0</v>
      </c>
      <c r="S1548" s="19">
        <v>0</v>
      </c>
      <c r="T1548" s="19">
        <v>0</v>
      </c>
      <c r="U1548" s="21">
        <v>1</v>
      </c>
      <c r="V1548" s="19">
        <v>2</v>
      </c>
      <c r="W1548" s="19">
        <v>0</v>
      </c>
      <c r="X1548" s="19">
        <v>2.75</v>
      </c>
      <c r="Y1548" s="19">
        <v>0</v>
      </c>
      <c r="Z1548" s="19">
        <v>0</v>
      </c>
      <c r="AA1548" s="19">
        <v>0</v>
      </c>
      <c r="AB1548" s="19">
        <v>0</v>
      </c>
      <c r="AC1548" s="19">
        <v>0</v>
      </c>
      <c r="AD1548" s="32">
        <v>0</v>
      </c>
      <c r="AE1548" s="19">
        <v>0</v>
      </c>
      <c r="AF1548" s="19">
        <v>15</v>
      </c>
      <c r="AG1548" s="19">
        <v>0</v>
      </c>
      <c r="AH1548" s="19">
        <v>0</v>
      </c>
      <c r="AI1548" s="19">
        <v>7</v>
      </c>
      <c r="AJ1548" s="19">
        <v>0</v>
      </c>
      <c r="AK1548" s="19">
        <v>0</v>
      </c>
      <c r="AL1548" s="19">
        <v>6</v>
      </c>
      <c r="AM1548" s="19">
        <v>0</v>
      </c>
      <c r="AN1548" s="19">
        <v>0</v>
      </c>
      <c r="AO1548" s="19">
        <v>0</v>
      </c>
      <c r="AP1548" s="19">
        <v>0.25</v>
      </c>
      <c r="AQ1548" s="19">
        <v>1000</v>
      </c>
      <c r="AR1548" s="19">
        <v>0</v>
      </c>
      <c r="AS1548" s="19">
        <v>0</v>
      </c>
      <c r="AT1548" s="19">
        <v>0</v>
      </c>
      <c r="AU1548" s="19" t="s">
        <v>204</v>
      </c>
      <c r="AV1548" s="19"/>
      <c r="AW1548" s="20" t="s">
        <v>262</v>
      </c>
      <c r="AX1548" s="19" t="s">
        <v>1802</v>
      </c>
      <c r="AY1548" s="19" t="s">
        <v>204</v>
      </c>
      <c r="AZ1548" s="19" t="s">
        <v>2030</v>
      </c>
      <c r="BA1548" s="20" t="s">
        <v>206</v>
      </c>
      <c r="BB1548" s="19">
        <v>0</v>
      </c>
      <c r="BC1548" s="31">
        <v>0</v>
      </c>
      <c r="BD1548" s="31">
        <v>0</v>
      </c>
      <c r="BE1548" s="22" t="s">
        <v>3343</v>
      </c>
      <c r="BF1548" s="22" t="s">
        <v>3344</v>
      </c>
      <c r="BG1548" s="19">
        <v>0</v>
      </c>
      <c r="BH1548" s="21">
        <v>0</v>
      </c>
      <c r="BI1548" s="19">
        <v>0</v>
      </c>
      <c r="BJ1548" s="19">
        <v>0</v>
      </c>
      <c r="BK1548" s="19">
        <v>0</v>
      </c>
      <c r="BL1548" s="19">
        <v>0</v>
      </c>
      <c r="BM1548" s="25">
        <v>0</v>
      </c>
      <c r="BN1548" s="19">
        <v>0</v>
      </c>
      <c r="BO1548" s="19">
        <v>0</v>
      </c>
      <c r="BP1548" s="19">
        <v>0</v>
      </c>
      <c r="BQ1548" s="19">
        <v>0</v>
      </c>
      <c r="BR1548" s="19">
        <v>0</v>
      </c>
      <c r="BS1548" s="19">
        <v>0</v>
      </c>
      <c r="BT1548" s="19">
        <v>0</v>
      </c>
      <c r="BU1548" s="23">
        <v>0</v>
      </c>
      <c r="BV1548" s="23"/>
      <c r="BW1548" s="23"/>
      <c r="BX1548" s="23"/>
      <c r="BY1548" s="23"/>
      <c r="BZ1548" s="23"/>
    </row>
    <row r="1549" spans="3:78" ht="19.5" customHeight="1">
      <c r="C1549" s="32">
        <v>66001008</v>
      </c>
      <c r="D1549" s="35" t="s">
        <v>3345</v>
      </c>
      <c r="E1549" s="35" t="s">
        <v>3346</v>
      </c>
      <c r="F1549" s="21">
        <v>1</v>
      </c>
      <c r="G1549" s="32">
        <v>66001008</v>
      </c>
      <c r="H1549" s="32">
        <v>0</v>
      </c>
      <c r="I1549" s="31">
        <v>0</v>
      </c>
      <c r="J1549" s="32">
        <v>1</v>
      </c>
      <c r="K1549" s="32">
        <v>0</v>
      </c>
      <c r="L1549" s="21">
        <v>0</v>
      </c>
      <c r="M1549" s="32">
        <v>0</v>
      </c>
      <c r="N1549" s="32">
        <v>0</v>
      </c>
      <c r="O1549" s="32">
        <v>1</v>
      </c>
      <c r="P1549" s="32">
        <v>0</v>
      </c>
      <c r="Q1549" s="32">
        <v>0</v>
      </c>
      <c r="R1549" s="32">
        <v>0</v>
      </c>
      <c r="S1549" s="19">
        <v>0</v>
      </c>
      <c r="T1549" s="31">
        <v>0</v>
      </c>
      <c r="U1549" s="21">
        <v>1</v>
      </c>
      <c r="V1549" s="32">
        <v>2</v>
      </c>
      <c r="W1549" s="32">
        <v>0</v>
      </c>
      <c r="X1549" s="32">
        <v>2.5</v>
      </c>
      <c r="Y1549" s="19">
        <v>0</v>
      </c>
      <c r="Z1549" s="32">
        <v>0</v>
      </c>
      <c r="AA1549" s="32">
        <v>0</v>
      </c>
      <c r="AB1549" s="32">
        <v>0</v>
      </c>
      <c r="AC1549" s="32">
        <v>0</v>
      </c>
      <c r="AD1549" s="32">
        <v>0</v>
      </c>
      <c r="AE1549" s="32">
        <v>0</v>
      </c>
      <c r="AF1549" s="32">
        <v>15</v>
      </c>
      <c r="AG1549" s="32">
        <v>1</v>
      </c>
      <c r="AH1549" s="32">
        <v>3</v>
      </c>
      <c r="AI1549" s="19">
        <v>2</v>
      </c>
      <c r="AJ1549" s="19">
        <v>1</v>
      </c>
      <c r="AK1549" s="19">
        <v>0</v>
      </c>
      <c r="AL1549" s="19">
        <v>6</v>
      </c>
      <c r="AM1549" s="32">
        <v>0</v>
      </c>
      <c r="AN1549" s="32">
        <v>0</v>
      </c>
      <c r="AO1549" s="32">
        <v>0</v>
      </c>
      <c r="AP1549" s="32">
        <v>0.75</v>
      </c>
      <c r="AQ1549" s="32">
        <v>3000</v>
      </c>
      <c r="AR1549" s="32">
        <v>0.75</v>
      </c>
      <c r="AS1549" s="32">
        <v>0</v>
      </c>
      <c r="AT1549" s="19">
        <v>0</v>
      </c>
      <c r="AU1549" s="32" t="s">
        <v>204</v>
      </c>
      <c r="AV1549" s="32"/>
      <c r="AW1549" s="35" t="s">
        <v>1700</v>
      </c>
      <c r="AX1549" s="32" t="s">
        <v>1701</v>
      </c>
      <c r="AY1549" s="32">
        <v>10000006</v>
      </c>
      <c r="AZ1549" s="32">
        <v>66001008</v>
      </c>
      <c r="BA1549" s="35" t="s">
        <v>206</v>
      </c>
      <c r="BB1549" s="35">
        <v>0</v>
      </c>
      <c r="BC1549" s="31">
        <v>0</v>
      </c>
      <c r="BD1549" s="31">
        <v>0</v>
      </c>
      <c r="BE1549" s="60" t="s">
        <v>3347</v>
      </c>
      <c r="BF1549" s="60" t="s">
        <v>3348</v>
      </c>
      <c r="BG1549" s="32">
        <v>0</v>
      </c>
      <c r="BH1549" s="21">
        <v>0</v>
      </c>
      <c r="BI1549" s="32">
        <v>0</v>
      </c>
      <c r="BJ1549" s="32">
        <v>0</v>
      </c>
      <c r="BK1549" s="32">
        <v>0</v>
      </c>
      <c r="BL1549" s="32">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19.5" customHeight="1">
      <c r="C1550" s="32">
        <v>66001009</v>
      </c>
      <c r="D1550" s="35" t="s">
        <v>3349</v>
      </c>
      <c r="E1550" s="35" t="s">
        <v>3350</v>
      </c>
      <c r="F1550" s="21">
        <v>1</v>
      </c>
      <c r="G1550" s="32">
        <v>66001009</v>
      </c>
      <c r="H1550" s="32">
        <v>0</v>
      </c>
      <c r="I1550" s="31">
        <v>0</v>
      </c>
      <c r="J1550" s="32">
        <v>1</v>
      </c>
      <c r="K1550" s="32">
        <v>0</v>
      </c>
      <c r="L1550" s="21">
        <v>0</v>
      </c>
      <c r="M1550" s="32">
        <v>0</v>
      </c>
      <c r="N1550" s="32">
        <v>0</v>
      </c>
      <c r="O1550" s="32">
        <v>1</v>
      </c>
      <c r="P1550" s="32">
        <v>0</v>
      </c>
      <c r="Q1550" s="32">
        <v>0</v>
      </c>
      <c r="R1550" s="32">
        <v>0</v>
      </c>
      <c r="S1550" s="19">
        <v>0</v>
      </c>
      <c r="T1550" s="31">
        <v>0</v>
      </c>
      <c r="U1550" s="21">
        <v>1</v>
      </c>
      <c r="V1550" s="32">
        <v>2</v>
      </c>
      <c r="W1550" s="32">
        <v>0</v>
      </c>
      <c r="X1550" s="32">
        <v>2</v>
      </c>
      <c r="Y1550" s="19">
        <v>0</v>
      </c>
      <c r="Z1550" s="32">
        <v>0</v>
      </c>
      <c r="AA1550" s="32">
        <v>0</v>
      </c>
      <c r="AB1550" s="32">
        <v>0</v>
      </c>
      <c r="AC1550" s="32">
        <v>0</v>
      </c>
      <c r="AD1550" s="32">
        <v>0</v>
      </c>
      <c r="AE1550" s="32">
        <v>0</v>
      </c>
      <c r="AF1550" s="32">
        <v>15</v>
      </c>
      <c r="AG1550" s="32">
        <v>1</v>
      </c>
      <c r="AH1550" s="32">
        <v>3</v>
      </c>
      <c r="AI1550" s="19">
        <v>2</v>
      </c>
      <c r="AJ1550" s="19">
        <v>1</v>
      </c>
      <c r="AK1550" s="19">
        <v>0</v>
      </c>
      <c r="AL1550" s="19">
        <v>6</v>
      </c>
      <c r="AM1550" s="32">
        <v>0</v>
      </c>
      <c r="AN1550" s="32">
        <v>0</v>
      </c>
      <c r="AO1550" s="32">
        <v>0</v>
      </c>
      <c r="AP1550" s="32">
        <v>0.75</v>
      </c>
      <c r="AQ1550" s="32">
        <v>3000</v>
      </c>
      <c r="AR1550" s="32">
        <v>0.75</v>
      </c>
      <c r="AS1550" s="32">
        <v>0</v>
      </c>
      <c r="AT1550" s="19">
        <v>0</v>
      </c>
      <c r="AU1550" s="32">
        <v>96001009</v>
      </c>
      <c r="AV1550" s="32"/>
      <c r="AW1550" s="35" t="s">
        <v>1700</v>
      </c>
      <c r="AX1550" s="32" t="s">
        <v>1701</v>
      </c>
      <c r="AY1550" s="32">
        <v>10000006</v>
      </c>
      <c r="AZ1550" s="32">
        <v>66001009</v>
      </c>
      <c r="BA1550" s="35" t="s">
        <v>206</v>
      </c>
      <c r="BB1550" s="35">
        <v>0</v>
      </c>
      <c r="BC1550" s="31">
        <v>0</v>
      </c>
      <c r="BD1550" s="31">
        <v>0</v>
      </c>
      <c r="BE1550" s="60" t="s">
        <v>3351</v>
      </c>
      <c r="BF1550" s="60" t="s">
        <v>3352</v>
      </c>
      <c r="BG1550" s="32">
        <v>0</v>
      </c>
      <c r="BH1550" s="21">
        <v>0</v>
      </c>
      <c r="BI1550" s="32">
        <v>0</v>
      </c>
      <c r="BJ1550" s="32">
        <v>0</v>
      </c>
      <c r="BK1550" s="32">
        <v>0</v>
      </c>
      <c r="BL1550" s="32">
        <v>0</v>
      </c>
      <c r="BM1550" s="25">
        <v>0</v>
      </c>
      <c r="BN1550" s="19">
        <v>0</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32">
        <v>66001010</v>
      </c>
      <c r="D1551" s="35" t="s">
        <v>913</v>
      </c>
      <c r="E1551" s="35" t="s">
        <v>388</v>
      </c>
      <c r="F1551" s="32">
        <v>1</v>
      </c>
      <c r="G1551" s="32">
        <v>66001010</v>
      </c>
      <c r="H1551" s="32">
        <v>0</v>
      </c>
      <c r="I1551" s="31">
        <v>0</v>
      </c>
      <c r="J1551" s="32">
        <v>1</v>
      </c>
      <c r="K1551" s="32">
        <v>0</v>
      </c>
      <c r="L1551" s="32">
        <v>0</v>
      </c>
      <c r="M1551" s="32">
        <v>0</v>
      </c>
      <c r="N1551" s="32">
        <v>0</v>
      </c>
      <c r="O1551" s="32">
        <v>1</v>
      </c>
      <c r="P1551" s="32">
        <v>0</v>
      </c>
      <c r="Q1551" s="32">
        <v>0</v>
      </c>
      <c r="R1551" s="32">
        <v>0</v>
      </c>
      <c r="S1551" s="19">
        <v>0</v>
      </c>
      <c r="T1551" s="31">
        <v>0</v>
      </c>
      <c r="U1551" s="21">
        <v>1</v>
      </c>
      <c r="V1551" s="32">
        <v>2</v>
      </c>
      <c r="W1551" s="32">
        <v>0</v>
      </c>
      <c r="X1551" s="32">
        <v>0</v>
      </c>
      <c r="Y1551" s="19">
        <v>0</v>
      </c>
      <c r="Z1551" s="32">
        <v>0</v>
      </c>
      <c r="AA1551" s="32">
        <v>0</v>
      </c>
      <c r="AB1551" s="32">
        <v>0</v>
      </c>
      <c r="AC1551" s="32">
        <v>0</v>
      </c>
      <c r="AD1551" s="32">
        <v>0</v>
      </c>
      <c r="AE1551" s="32">
        <v>0</v>
      </c>
      <c r="AF1551" s="32">
        <v>18</v>
      </c>
      <c r="AG1551" s="32">
        <v>0</v>
      </c>
      <c r="AH1551" s="32">
        <v>0</v>
      </c>
      <c r="AI1551" s="19">
        <v>2</v>
      </c>
      <c r="AJ1551" s="19">
        <v>0</v>
      </c>
      <c r="AK1551" s="19">
        <v>0</v>
      </c>
      <c r="AL1551" s="19">
        <v>0</v>
      </c>
      <c r="AM1551" s="32">
        <v>0</v>
      </c>
      <c r="AN1551" s="32">
        <v>0</v>
      </c>
      <c r="AO1551" s="32">
        <v>0</v>
      </c>
      <c r="AP1551" s="32">
        <v>0</v>
      </c>
      <c r="AQ1551" s="32">
        <v>1000</v>
      </c>
      <c r="AR1551" s="32">
        <v>0</v>
      </c>
      <c r="AS1551" s="32">
        <v>0</v>
      </c>
      <c r="AT1551" s="19">
        <v>96001010</v>
      </c>
      <c r="AU1551" s="32" t="s">
        <v>204</v>
      </c>
      <c r="AV1551" s="32"/>
      <c r="AW1551" s="35" t="s">
        <v>205</v>
      </c>
      <c r="AX1551" s="32" t="s">
        <v>3179</v>
      </c>
      <c r="AY1551" s="32">
        <v>0</v>
      </c>
      <c r="AZ1551" s="32">
        <v>66001010</v>
      </c>
      <c r="BA1551" s="35" t="s">
        <v>206</v>
      </c>
      <c r="BB1551" s="35" t="s">
        <v>204</v>
      </c>
      <c r="BC1551" s="31">
        <v>0</v>
      </c>
      <c r="BD1551" s="31">
        <v>0</v>
      </c>
      <c r="BE1551" s="60" t="s">
        <v>3353</v>
      </c>
      <c r="BF1551" s="60" t="s">
        <v>3354</v>
      </c>
      <c r="BG1551" s="32">
        <v>0</v>
      </c>
      <c r="BH1551" s="21">
        <v>0</v>
      </c>
      <c r="BI1551" s="32">
        <v>0</v>
      </c>
      <c r="BJ1551" s="32">
        <v>0</v>
      </c>
      <c r="BK1551" s="32">
        <v>0</v>
      </c>
      <c r="BL1551" s="32">
        <v>0</v>
      </c>
      <c r="BM1551" s="25">
        <v>0</v>
      </c>
      <c r="BN1551" s="19">
        <v>1</v>
      </c>
      <c r="BO1551" s="19">
        <v>0</v>
      </c>
      <c r="BP1551" s="19">
        <v>0</v>
      </c>
      <c r="BQ1551" s="19">
        <v>0</v>
      </c>
      <c r="BR1551" s="19">
        <v>0</v>
      </c>
      <c r="BS1551" s="19">
        <v>0</v>
      </c>
      <c r="BT1551" s="19">
        <v>0</v>
      </c>
      <c r="BU1551" s="23">
        <v>0</v>
      </c>
      <c r="BV1551" s="23"/>
      <c r="BW1551" s="23"/>
      <c r="BX1551" s="23"/>
      <c r="BY1551" s="23"/>
      <c r="BZ1551" s="23"/>
    </row>
    <row r="1552" spans="3:78" ht="20.100000000000001" customHeight="1">
      <c r="C1552" s="32">
        <v>66001011</v>
      </c>
      <c r="D1552" s="30" t="s">
        <v>3355</v>
      </c>
      <c r="E1552" s="30" t="s">
        <v>3356</v>
      </c>
      <c r="F1552" s="21">
        <v>1</v>
      </c>
      <c r="G1552" s="32">
        <v>66001011</v>
      </c>
      <c r="H1552" s="21">
        <v>0</v>
      </c>
      <c r="I1552" s="31">
        <v>0</v>
      </c>
      <c r="J1552" s="32">
        <v>1</v>
      </c>
      <c r="K1552" s="32">
        <v>0</v>
      </c>
      <c r="L1552" s="21">
        <v>0</v>
      </c>
      <c r="M1552" s="21">
        <v>0</v>
      </c>
      <c r="N1552" s="21">
        <v>0</v>
      </c>
      <c r="O1552" s="21">
        <v>1</v>
      </c>
      <c r="P1552" s="21">
        <v>0</v>
      </c>
      <c r="Q1552" s="21">
        <v>0</v>
      </c>
      <c r="R1552" s="21">
        <v>0</v>
      </c>
      <c r="S1552" s="19">
        <v>0</v>
      </c>
      <c r="T1552" s="21">
        <v>0</v>
      </c>
      <c r="U1552" s="21">
        <v>1</v>
      </c>
      <c r="V1552" s="21">
        <v>2</v>
      </c>
      <c r="W1552" s="21">
        <v>0</v>
      </c>
      <c r="X1552" s="21">
        <v>3</v>
      </c>
      <c r="Y1552" s="19">
        <v>0</v>
      </c>
      <c r="Z1552" s="21">
        <v>0</v>
      </c>
      <c r="AA1552" s="21">
        <v>0</v>
      </c>
      <c r="AB1552" s="21">
        <v>0</v>
      </c>
      <c r="AC1552" s="21">
        <v>0</v>
      </c>
      <c r="AD1552" s="32">
        <v>0</v>
      </c>
      <c r="AE1552" s="21">
        <v>0</v>
      </c>
      <c r="AF1552" s="21">
        <v>18</v>
      </c>
      <c r="AG1552" s="21">
        <v>2</v>
      </c>
      <c r="AH1552" s="21" t="s">
        <v>1655</v>
      </c>
      <c r="AI1552" s="19">
        <v>2</v>
      </c>
      <c r="AJ1552" s="19">
        <v>2</v>
      </c>
      <c r="AK1552" s="19">
        <v>0</v>
      </c>
      <c r="AL1552" s="19">
        <v>1.5</v>
      </c>
      <c r="AM1552" s="21">
        <v>0</v>
      </c>
      <c r="AN1552" s="21">
        <v>0</v>
      </c>
      <c r="AO1552" s="21">
        <v>0</v>
      </c>
      <c r="AP1552" s="21">
        <v>0.25</v>
      </c>
      <c r="AQ1552" s="21">
        <v>3000</v>
      </c>
      <c r="AR1552" s="21">
        <v>0.25</v>
      </c>
      <c r="AS1552" s="21">
        <v>0</v>
      </c>
      <c r="AT1552" s="19">
        <v>0</v>
      </c>
      <c r="AU1552" s="21" t="s">
        <v>204</v>
      </c>
      <c r="AV1552" s="21"/>
      <c r="AW1552" s="30" t="s">
        <v>293</v>
      </c>
      <c r="AX1552" s="21" t="s">
        <v>1656</v>
      </c>
      <c r="AY1552" s="32">
        <v>10001007</v>
      </c>
      <c r="AZ1552" s="32">
        <v>66001011</v>
      </c>
      <c r="BA1552" s="30" t="s">
        <v>206</v>
      </c>
      <c r="BB1552" s="21">
        <v>0</v>
      </c>
      <c r="BC1552" s="31">
        <v>0</v>
      </c>
      <c r="BD1552" s="31">
        <v>0</v>
      </c>
      <c r="BE1552" s="33" t="s">
        <v>3357</v>
      </c>
      <c r="BF1552" s="33" t="s">
        <v>3358</v>
      </c>
      <c r="BG1552" s="21">
        <v>0</v>
      </c>
      <c r="BH1552" s="21">
        <v>0</v>
      </c>
      <c r="BI1552" s="21">
        <v>0</v>
      </c>
      <c r="BJ1552" s="21">
        <v>0</v>
      </c>
      <c r="BK1552" s="21">
        <v>0</v>
      </c>
      <c r="BL1552" s="21">
        <v>0</v>
      </c>
      <c r="BM1552" s="25">
        <v>0</v>
      </c>
      <c r="BN1552" s="19">
        <v>0</v>
      </c>
      <c r="BO1552" s="19">
        <v>0</v>
      </c>
      <c r="BP1552" s="19">
        <v>0</v>
      </c>
      <c r="BQ1552" s="19">
        <v>0</v>
      </c>
      <c r="BR1552" s="19">
        <v>0</v>
      </c>
      <c r="BS1552" s="19">
        <v>0</v>
      </c>
      <c r="BT1552" s="19">
        <v>0</v>
      </c>
      <c r="BU1552" s="23">
        <v>0</v>
      </c>
      <c r="BV1552" s="23"/>
      <c r="BW1552" s="23"/>
      <c r="BX1552" s="23"/>
      <c r="BY1552" s="23"/>
      <c r="BZ1552" s="23"/>
    </row>
    <row r="1553" spans="3:78" ht="19.5" customHeight="1">
      <c r="C1553" s="74">
        <v>66001012</v>
      </c>
      <c r="D1553" s="88" t="s">
        <v>957</v>
      </c>
      <c r="E1553" s="88" t="s">
        <v>958</v>
      </c>
      <c r="F1553" s="72">
        <v>1</v>
      </c>
      <c r="G1553" s="74">
        <v>66001012</v>
      </c>
      <c r="H1553" s="74">
        <v>0</v>
      </c>
      <c r="I1553" s="75">
        <v>0</v>
      </c>
      <c r="J1553" s="74">
        <v>1</v>
      </c>
      <c r="K1553" s="74">
        <v>0</v>
      </c>
      <c r="L1553" s="72">
        <v>0</v>
      </c>
      <c r="M1553" s="74">
        <v>0</v>
      </c>
      <c r="N1553" s="74">
        <v>0</v>
      </c>
      <c r="O1553" s="74">
        <v>1</v>
      </c>
      <c r="P1553" s="74">
        <v>0</v>
      </c>
      <c r="Q1553" s="74">
        <v>0</v>
      </c>
      <c r="R1553" s="74">
        <v>0</v>
      </c>
      <c r="S1553" s="73">
        <v>0</v>
      </c>
      <c r="T1553" s="75">
        <v>0</v>
      </c>
      <c r="U1553" s="72">
        <v>1</v>
      </c>
      <c r="V1553" s="74">
        <v>2</v>
      </c>
      <c r="W1553" s="74">
        <v>0</v>
      </c>
      <c r="X1553" s="74">
        <v>2.75</v>
      </c>
      <c r="Y1553" s="19">
        <v>0</v>
      </c>
      <c r="Z1553" s="74">
        <v>0</v>
      </c>
      <c r="AA1553" s="74">
        <v>0</v>
      </c>
      <c r="AB1553" s="74">
        <v>0</v>
      </c>
      <c r="AC1553" s="74">
        <v>0</v>
      </c>
      <c r="AD1553" s="74">
        <v>0</v>
      </c>
      <c r="AE1553" s="74">
        <v>0</v>
      </c>
      <c r="AF1553" s="74">
        <v>15</v>
      </c>
      <c r="AG1553" s="74">
        <v>1</v>
      </c>
      <c r="AH1553" s="74">
        <v>3</v>
      </c>
      <c r="AI1553" s="73">
        <v>2</v>
      </c>
      <c r="AJ1553" s="73">
        <v>1</v>
      </c>
      <c r="AK1553" s="19">
        <v>0</v>
      </c>
      <c r="AL1553" s="73">
        <v>6</v>
      </c>
      <c r="AM1553" s="74">
        <v>0</v>
      </c>
      <c r="AN1553" s="74">
        <v>0</v>
      </c>
      <c r="AO1553" s="74">
        <v>0</v>
      </c>
      <c r="AP1553" s="74">
        <v>0.75</v>
      </c>
      <c r="AQ1553" s="74">
        <v>3000</v>
      </c>
      <c r="AR1553" s="74">
        <v>1.5</v>
      </c>
      <c r="AS1553" s="74">
        <v>0</v>
      </c>
      <c r="AT1553" s="73">
        <v>0</v>
      </c>
      <c r="AU1553" s="74" t="s">
        <v>204</v>
      </c>
      <c r="AV1553" s="74"/>
      <c r="AW1553" s="88" t="s">
        <v>1700</v>
      </c>
      <c r="AX1553" s="74" t="s">
        <v>1701</v>
      </c>
      <c r="AY1553" s="74">
        <v>10000006</v>
      </c>
      <c r="AZ1553" s="74">
        <v>70405004</v>
      </c>
      <c r="BA1553" s="88" t="s">
        <v>206</v>
      </c>
      <c r="BB1553" s="88">
        <v>0</v>
      </c>
      <c r="BC1553" s="75">
        <v>0</v>
      </c>
      <c r="BD1553" s="75">
        <v>0</v>
      </c>
      <c r="BE1553" s="89" t="s">
        <v>3359</v>
      </c>
      <c r="BF1553" s="89" t="s">
        <v>3360</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66001013</v>
      </c>
      <c r="D1554" s="88" t="s">
        <v>3361</v>
      </c>
      <c r="E1554" s="88" t="s">
        <v>1070</v>
      </c>
      <c r="F1554" s="72">
        <v>1</v>
      </c>
      <c r="G1554" s="74">
        <v>66001013</v>
      </c>
      <c r="H1554" s="74">
        <v>0</v>
      </c>
      <c r="I1554" s="75">
        <v>0</v>
      </c>
      <c r="J1554" s="74">
        <v>1</v>
      </c>
      <c r="K1554" s="74">
        <v>0</v>
      </c>
      <c r="L1554" s="72">
        <v>0</v>
      </c>
      <c r="M1554" s="74">
        <v>0</v>
      </c>
      <c r="N1554" s="74">
        <v>0</v>
      </c>
      <c r="O1554" s="74">
        <v>1</v>
      </c>
      <c r="P1554" s="74">
        <v>1</v>
      </c>
      <c r="Q1554" s="74">
        <v>0</v>
      </c>
      <c r="R1554" s="74">
        <v>0</v>
      </c>
      <c r="S1554" s="73">
        <v>0</v>
      </c>
      <c r="T1554" s="75">
        <v>0</v>
      </c>
      <c r="U1554" s="72">
        <v>1</v>
      </c>
      <c r="V1554" s="74">
        <v>2</v>
      </c>
      <c r="W1554" s="74">
        <v>0</v>
      </c>
      <c r="X1554" s="74">
        <v>0.5</v>
      </c>
      <c r="Y1554" s="19">
        <v>0</v>
      </c>
      <c r="Z1554" s="74">
        <v>0</v>
      </c>
      <c r="AA1554" s="74">
        <v>0</v>
      </c>
      <c r="AB1554" s="74">
        <v>0</v>
      </c>
      <c r="AC1554" s="74">
        <v>0</v>
      </c>
      <c r="AD1554" s="74">
        <v>0</v>
      </c>
      <c r="AE1554" s="74">
        <v>0</v>
      </c>
      <c r="AF1554" s="74">
        <v>9</v>
      </c>
      <c r="AG1554" s="74">
        <v>1</v>
      </c>
      <c r="AH1554" s="74">
        <v>4</v>
      </c>
      <c r="AI1554" s="73">
        <v>9</v>
      </c>
      <c r="AJ1554" s="73">
        <v>0</v>
      </c>
      <c r="AK1554" s="19">
        <v>0</v>
      </c>
      <c r="AL1554" s="73">
        <v>6</v>
      </c>
      <c r="AM1554" s="74">
        <v>0</v>
      </c>
      <c r="AN1554" s="74">
        <v>0</v>
      </c>
      <c r="AO1554" s="74">
        <v>0</v>
      </c>
      <c r="AP1554" s="74">
        <v>0.5</v>
      </c>
      <c r="AQ1554" s="74">
        <v>30000</v>
      </c>
      <c r="AR1554" s="74">
        <v>0.5</v>
      </c>
      <c r="AS1554" s="74">
        <v>0</v>
      </c>
      <c r="AT1554" s="73">
        <v>0</v>
      </c>
      <c r="AU1554" s="74">
        <v>96001013</v>
      </c>
      <c r="AV1554" s="74"/>
      <c r="AW1554" s="88" t="s">
        <v>205</v>
      </c>
      <c r="AX1554" s="74" t="s">
        <v>1415</v>
      </c>
      <c r="AY1554" s="74">
        <v>10000009</v>
      </c>
      <c r="AZ1554" s="74">
        <v>70405005</v>
      </c>
      <c r="BA1554" s="88" t="s">
        <v>321</v>
      </c>
      <c r="BB1554" s="88" t="s">
        <v>377</v>
      </c>
      <c r="BC1554" s="75">
        <v>0</v>
      </c>
      <c r="BD1554" s="75">
        <v>0</v>
      </c>
      <c r="BE1554" s="208" t="s">
        <v>3362</v>
      </c>
      <c r="BF1554" s="208" t="s">
        <v>3363</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66001014</v>
      </c>
      <c r="D1555" s="88" t="s">
        <v>3364</v>
      </c>
      <c r="E1555" s="88" t="s">
        <v>3365</v>
      </c>
      <c r="F1555" s="72">
        <v>1</v>
      </c>
      <c r="G1555" s="74">
        <v>66001014</v>
      </c>
      <c r="H1555" s="74">
        <v>0</v>
      </c>
      <c r="I1555" s="75">
        <v>0</v>
      </c>
      <c r="J1555" s="74">
        <v>1</v>
      </c>
      <c r="K1555" s="74">
        <v>0</v>
      </c>
      <c r="L1555" s="72">
        <v>0</v>
      </c>
      <c r="M1555" s="74">
        <v>0</v>
      </c>
      <c r="N1555" s="74">
        <v>0</v>
      </c>
      <c r="O1555" s="74">
        <v>1</v>
      </c>
      <c r="P1555" s="74">
        <v>0</v>
      </c>
      <c r="Q1555" s="74">
        <v>0</v>
      </c>
      <c r="R1555" s="74">
        <v>0</v>
      </c>
      <c r="S1555" s="73">
        <v>0</v>
      </c>
      <c r="T1555" s="75">
        <v>0</v>
      </c>
      <c r="U1555" s="72">
        <v>1</v>
      </c>
      <c r="V1555" s="74">
        <v>2</v>
      </c>
      <c r="W1555" s="74">
        <v>0</v>
      </c>
      <c r="X1555" s="74">
        <v>2</v>
      </c>
      <c r="Y1555" s="19">
        <v>0</v>
      </c>
      <c r="Z1555" s="74">
        <v>0</v>
      </c>
      <c r="AA1555" s="74">
        <v>0</v>
      </c>
      <c r="AB1555" s="74">
        <v>0</v>
      </c>
      <c r="AC1555" s="74">
        <v>0</v>
      </c>
      <c r="AD1555" s="74">
        <v>0</v>
      </c>
      <c r="AE1555" s="74">
        <v>0</v>
      </c>
      <c r="AF1555" s="74">
        <v>12</v>
      </c>
      <c r="AG1555" s="74">
        <v>1</v>
      </c>
      <c r="AH1555" s="74">
        <v>3.5</v>
      </c>
      <c r="AI1555" s="73">
        <v>0</v>
      </c>
      <c r="AJ1555" s="73">
        <v>0</v>
      </c>
      <c r="AK1555" s="19">
        <v>0</v>
      </c>
      <c r="AL1555" s="73">
        <v>4</v>
      </c>
      <c r="AM1555" s="74">
        <v>0</v>
      </c>
      <c r="AN1555" s="74">
        <v>0</v>
      </c>
      <c r="AO1555" s="74">
        <v>0</v>
      </c>
      <c r="AP1555" s="74">
        <v>0.5</v>
      </c>
      <c r="AQ1555" s="74">
        <v>3000</v>
      </c>
      <c r="AR1555" s="74">
        <v>0</v>
      </c>
      <c r="AS1555" s="74">
        <v>0</v>
      </c>
      <c r="AT1555" s="73">
        <v>0</v>
      </c>
      <c r="AU1555" s="74">
        <v>92005001</v>
      </c>
      <c r="AV1555" s="74"/>
      <c r="AW1555" s="88" t="s">
        <v>205</v>
      </c>
      <c r="AX1555" s="74" t="s">
        <v>540</v>
      </c>
      <c r="AY1555" s="74">
        <v>10000009</v>
      </c>
      <c r="AZ1555" s="74">
        <v>70405006</v>
      </c>
      <c r="BA1555" s="88" t="s">
        <v>206</v>
      </c>
      <c r="BB1555" s="88">
        <v>0</v>
      </c>
      <c r="BC1555" s="75">
        <v>0</v>
      </c>
      <c r="BD1555" s="75">
        <v>0</v>
      </c>
      <c r="BE1555" s="208" t="s">
        <v>3366</v>
      </c>
      <c r="BF1555" s="208" t="s">
        <v>3367</v>
      </c>
      <c r="BG1555" s="74">
        <v>0</v>
      </c>
      <c r="BH1555" s="72">
        <v>0</v>
      </c>
      <c r="BI1555" s="74">
        <v>0</v>
      </c>
      <c r="BJ1555" s="74">
        <v>0</v>
      </c>
      <c r="BK1555" s="74">
        <v>0</v>
      </c>
      <c r="BL1555" s="74">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66001015</v>
      </c>
      <c r="D1556" s="88" t="s">
        <v>3368</v>
      </c>
      <c r="E1556" s="88" t="s">
        <v>3369</v>
      </c>
      <c r="F1556" s="72">
        <v>1</v>
      </c>
      <c r="G1556" s="74">
        <v>66001015</v>
      </c>
      <c r="H1556" s="74">
        <v>0</v>
      </c>
      <c r="I1556" s="75">
        <v>0</v>
      </c>
      <c r="J1556" s="74">
        <v>1</v>
      </c>
      <c r="K1556" s="74">
        <v>0</v>
      </c>
      <c r="L1556" s="72">
        <v>0</v>
      </c>
      <c r="M1556" s="74">
        <v>0</v>
      </c>
      <c r="N1556" s="74">
        <v>0</v>
      </c>
      <c r="O1556" s="74">
        <v>2</v>
      </c>
      <c r="P1556" s="74">
        <v>1</v>
      </c>
      <c r="Q1556" s="74">
        <v>0.05</v>
      </c>
      <c r="R1556" s="74">
        <v>0</v>
      </c>
      <c r="S1556" s="73">
        <v>0</v>
      </c>
      <c r="T1556" s="75">
        <v>0</v>
      </c>
      <c r="U1556" s="72">
        <v>1</v>
      </c>
      <c r="V1556" s="74">
        <v>2</v>
      </c>
      <c r="W1556" s="74">
        <v>0</v>
      </c>
      <c r="X1556" s="74">
        <v>1.8</v>
      </c>
      <c r="Y1556" s="19">
        <v>0</v>
      </c>
      <c r="Z1556" s="74">
        <v>700</v>
      </c>
      <c r="AA1556" s="74">
        <v>0</v>
      </c>
      <c r="AB1556" s="74">
        <v>0</v>
      </c>
      <c r="AC1556" s="74">
        <v>0</v>
      </c>
      <c r="AD1556" s="74">
        <v>1</v>
      </c>
      <c r="AE1556" s="74">
        <v>0</v>
      </c>
      <c r="AF1556" s="74">
        <v>10</v>
      </c>
      <c r="AG1556" s="74">
        <v>1</v>
      </c>
      <c r="AH1556" s="74">
        <v>1</v>
      </c>
      <c r="AI1556" s="73">
        <v>2</v>
      </c>
      <c r="AJ1556" s="73">
        <v>2</v>
      </c>
      <c r="AK1556" s="19">
        <v>0</v>
      </c>
      <c r="AL1556" s="73">
        <v>4</v>
      </c>
      <c r="AM1556" s="74">
        <v>0</v>
      </c>
      <c r="AN1556" s="74">
        <v>0</v>
      </c>
      <c r="AO1556" s="74">
        <v>0</v>
      </c>
      <c r="AP1556" s="74">
        <v>0.5</v>
      </c>
      <c r="AQ1556" s="74">
        <v>30000</v>
      </c>
      <c r="AR1556" s="74">
        <v>0.5</v>
      </c>
      <c r="AS1556" s="74">
        <v>5</v>
      </c>
      <c r="AT1556" s="73">
        <v>0</v>
      </c>
      <c r="AU1556" s="74">
        <v>92003001</v>
      </c>
      <c r="AV1556" s="74"/>
      <c r="AW1556" s="88" t="s">
        <v>205</v>
      </c>
      <c r="AX1556" s="74" t="s">
        <v>551</v>
      </c>
      <c r="AY1556" s="74">
        <v>10003002</v>
      </c>
      <c r="AZ1556" s="74">
        <v>70405009</v>
      </c>
      <c r="BA1556" s="88" t="s">
        <v>592</v>
      </c>
      <c r="BB1556" s="88">
        <v>0</v>
      </c>
      <c r="BC1556" s="75">
        <v>0</v>
      </c>
      <c r="BD1556" s="75">
        <v>0</v>
      </c>
      <c r="BE1556" s="208" t="s">
        <v>3370</v>
      </c>
      <c r="BF1556" s="208" t="s">
        <v>3371</v>
      </c>
      <c r="BG1556" s="74">
        <v>0</v>
      </c>
      <c r="BH1556" s="72">
        <v>0</v>
      </c>
      <c r="BI1556" s="74">
        <v>0</v>
      </c>
      <c r="BJ1556" s="74">
        <v>0</v>
      </c>
      <c r="BK1556" s="74">
        <v>0</v>
      </c>
      <c r="BL1556" s="74">
        <v>0</v>
      </c>
      <c r="BM1556" s="90">
        <v>0</v>
      </c>
      <c r="BN1556" s="19">
        <v>0</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66001016</v>
      </c>
      <c r="D1557" s="88" t="s">
        <v>3372</v>
      </c>
      <c r="E1557" s="88" t="s">
        <v>3373</v>
      </c>
      <c r="F1557" s="72">
        <v>1</v>
      </c>
      <c r="G1557" s="74">
        <v>66001016</v>
      </c>
      <c r="H1557" s="74">
        <v>0</v>
      </c>
      <c r="I1557" s="75">
        <v>0</v>
      </c>
      <c r="J1557" s="74">
        <v>1</v>
      </c>
      <c r="K1557" s="74">
        <v>0</v>
      </c>
      <c r="L1557" s="72">
        <v>0</v>
      </c>
      <c r="M1557" s="74">
        <v>0</v>
      </c>
      <c r="N1557" s="74">
        <v>0</v>
      </c>
      <c r="O1557" s="74">
        <v>1</v>
      </c>
      <c r="P1557" s="74">
        <v>0</v>
      </c>
      <c r="Q1557" s="74">
        <v>0</v>
      </c>
      <c r="R1557" s="74">
        <v>0</v>
      </c>
      <c r="S1557" s="73">
        <v>0</v>
      </c>
      <c r="T1557" s="75">
        <v>0</v>
      </c>
      <c r="U1557" s="72">
        <v>1</v>
      </c>
      <c r="V1557" s="74">
        <v>2</v>
      </c>
      <c r="W1557" s="74">
        <v>0</v>
      </c>
      <c r="X1557" s="74">
        <v>0.75</v>
      </c>
      <c r="Y1557" s="19">
        <v>0</v>
      </c>
      <c r="Z1557" s="74">
        <v>0</v>
      </c>
      <c r="AA1557" s="74">
        <v>0</v>
      </c>
      <c r="AB1557" s="74">
        <v>0</v>
      </c>
      <c r="AC1557" s="74">
        <v>0</v>
      </c>
      <c r="AD1557" s="74">
        <v>0</v>
      </c>
      <c r="AE1557" s="74">
        <v>0</v>
      </c>
      <c r="AF1557" s="74">
        <v>24</v>
      </c>
      <c r="AG1557" s="74">
        <v>1</v>
      </c>
      <c r="AH1557" s="74">
        <v>4</v>
      </c>
      <c r="AI1557" s="73">
        <v>2</v>
      </c>
      <c r="AJ1557" s="73">
        <v>1</v>
      </c>
      <c r="AK1557" s="19">
        <v>0</v>
      </c>
      <c r="AL1557" s="73">
        <v>6</v>
      </c>
      <c r="AM1557" s="74">
        <v>0</v>
      </c>
      <c r="AN1557" s="74">
        <v>0</v>
      </c>
      <c r="AO1557" s="74">
        <v>0</v>
      </c>
      <c r="AP1557" s="74">
        <v>0.5</v>
      </c>
      <c r="AQ1557" s="74">
        <v>9000</v>
      </c>
      <c r="AR1557" s="74">
        <v>0.5</v>
      </c>
      <c r="AS1557" s="74">
        <v>0</v>
      </c>
      <c r="AT1557" s="73">
        <v>0</v>
      </c>
      <c r="AU1557" s="74">
        <v>92002002</v>
      </c>
      <c r="AV1557" s="74"/>
      <c r="AW1557" s="88" t="s">
        <v>1705</v>
      </c>
      <c r="AX1557" s="74" t="s">
        <v>1415</v>
      </c>
      <c r="AY1557" s="74">
        <v>10002001</v>
      </c>
      <c r="AZ1557" s="74">
        <v>70405008</v>
      </c>
      <c r="BA1557" s="88" t="s">
        <v>321</v>
      </c>
      <c r="BB1557" s="88" t="s">
        <v>377</v>
      </c>
      <c r="BC1557" s="75">
        <v>0</v>
      </c>
      <c r="BD1557" s="75">
        <v>0</v>
      </c>
      <c r="BE1557" s="89" t="s">
        <v>3374</v>
      </c>
      <c r="BF1557" s="89" t="s">
        <v>3375</v>
      </c>
      <c r="BG1557" s="74">
        <v>0</v>
      </c>
      <c r="BH1557" s="72">
        <v>0</v>
      </c>
      <c r="BI1557" s="74">
        <v>0</v>
      </c>
      <c r="BJ1557" s="74">
        <v>0</v>
      </c>
      <c r="BK1557" s="74">
        <v>0</v>
      </c>
      <c r="BL1557" s="74">
        <v>0</v>
      </c>
      <c r="BM1557" s="90">
        <v>0</v>
      </c>
      <c r="BN1557" s="19">
        <v>0</v>
      </c>
      <c r="BO1557" s="19">
        <v>0</v>
      </c>
      <c r="BP1557" s="19">
        <v>0</v>
      </c>
      <c r="BQ1557" s="19">
        <v>0</v>
      </c>
      <c r="BR1557" s="19">
        <v>0</v>
      </c>
      <c r="BS1557" s="19">
        <v>0</v>
      </c>
      <c r="BT1557" s="19">
        <v>0</v>
      </c>
      <c r="BU1557" s="23">
        <v>0</v>
      </c>
      <c r="BV1557" s="23"/>
      <c r="BW1557" s="23"/>
      <c r="BX1557" s="23"/>
      <c r="BY1557" s="23"/>
      <c r="BZ1557" s="23"/>
    </row>
    <row r="1558" spans="3:78" ht="20.100000000000001" customHeight="1">
      <c r="C1558" s="74">
        <v>66001017</v>
      </c>
      <c r="D1558" s="71" t="s">
        <v>3376</v>
      </c>
      <c r="E1558" s="71" t="s">
        <v>3377</v>
      </c>
      <c r="F1558" s="74">
        <v>1</v>
      </c>
      <c r="G1558" s="74">
        <v>66001017</v>
      </c>
      <c r="H1558" s="74">
        <v>0</v>
      </c>
      <c r="I1558" s="75">
        <v>0</v>
      </c>
      <c r="J1558" s="74">
        <v>1</v>
      </c>
      <c r="K1558" s="74">
        <v>0</v>
      </c>
      <c r="L1558" s="74">
        <v>0</v>
      </c>
      <c r="M1558" s="72">
        <v>0</v>
      </c>
      <c r="N1558" s="72">
        <v>0</v>
      </c>
      <c r="O1558" s="72">
        <v>1</v>
      </c>
      <c r="P1558" s="72">
        <v>0</v>
      </c>
      <c r="Q1558" s="72">
        <v>0</v>
      </c>
      <c r="R1558" s="72">
        <v>0</v>
      </c>
      <c r="S1558" s="73">
        <v>0</v>
      </c>
      <c r="T1558" s="72">
        <v>0</v>
      </c>
      <c r="U1558" s="72">
        <v>1</v>
      </c>
      <c r="V1558" s="72">
        <v>2</v>
      </c>
      <c r="W1558" s="72">
        <v>0</v>
      </c>
      <c r="X1558" s="72">
        <v>0</v>
      </c>
      <c r="Y1558" s="19">
        <v>0</v>
      </c>
      <c r="Z1558" s="72">
        <v>0</v>
      </c>
      <c r="AA1558" s="72">
        <v>0</v>
      </c>
      <c r="AB1558" s="72">
        <v>0</v>
      </c>
      <c r="AC1558" s="72">
        <v>0</v>
      </c>
      <c r="AD1558" s="72">
        <v>0</v>
      </c>
      <c r="AE1558" s="72">
        <v>0</v>
      </c>
      <c r="AF1558" s="72">
        <v>15</v>
      </c>
      <c r="AG1558" s="72">
        <v>0</v>
      </c>
      <c r="AH1558" s="72">
        <v>0</v>
      </c>
      <c r="AI1558" s="73">
        <v>0</v>
      </c>
      <c r="AJ1558" s="73">
        <v>0</v>
      </c>
      <c r="AK1558" s="19">
        <v>0</v>
      </c>
      <c r="AL1558" s="73">
        <f>H67+AL7821</f>
        <v>60010602</v>
      </c>
      <c r="AM1558" s="72">
        <v>0</v>
      </c>
      <c r="AN1558" s="72">
        <v>0</v>
      </c>
      <c r="AO1558" s="72">
        <v>0</v>
      </c>
      <c r="AP1558" s="74">
        <v>0.5</v>
      </c>
      <c r="AQ1558" s="72">
        <v>3000</v>
      </c>
      <c r="AR1558" s="72">
        <v>0.5</v>
      </c>
      <c r="AS1558" s="72">
        <v>0</v>
      </c>
      <c r="AT1558" s="73">
        <v>0</v>
      </c>
      <c r="AU1558" s="72" t="s">
        <v>204</v>
      </c>
      <c r="AV1558" s="72"/>
      <c r="AW1558" s="71" t="s">
        <v>205</v>
      </c>
      <c r="AX1558" s="72" t="s">
        <v>551</v>
      </c>
      <c r="AY1558" s="74">
        <v>0</v>
      </c>
      <c r="AZ1558" s="74">
        <v>21101051</v>
      </c>
      <c r="BA1558" s="71" t="s">
        <v>1180</v>
      </c>
      <c r="BB1558" s="354" t="s">
        <v>3378</v>
      </c>
      <c r="BC1558" s="75">
        <v>0</v>
      </c>
      <c r="BD1558" s="75">
        <v>0</v>
      </c>
      <c r="BE1558" s="76" t="s">
        <v>3379</v>
      </c>
      <c r="BF1558" s="76" t="s">
        <v>3380</v>
      </c>
      <c r="BG1558" s="72">
        <v>0</v>
      </c>
      <c r="BH1558" s="72">
        <v>0</v>
      </c>
      <c r="BI1558" s="72">
        <v>0</v>
      </c>
      <c r="BJ1558" s="72">
        <v>0</v>
      </c>
      <c r="BK1558" s="72">
        <v>0</v>
      </c>
      <c r="BL1558" s="72">
        <v>0</v>
      </c>
      <c r="BM1558" s="90">
        <v>0</v>
      </c>
      <c r="BN1558" s="19">
        <v>0</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74">
        <v>66001018</v>
      </c>
      <c r="D1559" s="88" t="s">
        <v>3381</v>
      </c>
      <c r="E1559" s="88" t="s">
        <v>3382</v>
      </c>
      <c r="F1559" s="72">
        <v>1</v>
      </c>
      <c r="G1559" s="74">
        <v>66001018</v>
      </c>
      <c r="H1559" s="74">
        <v>0</v>
      </c>
      <c r="I1559" s="75">
        <v>0</v>
      </c>
      <c r="J1559" s="74">
        <v>1</v>
      </c>
      <c r="K1559" s="74">
        <v>0</v>
      </c>
      <c r="L1559" s="72">
        <v>0</v>
      </c>
      <c r="M1559" s="74">
        <v>0</v>
      </c>
      <c r="N1559" s="74">
        <v>0</v>
      </c>
      <c r="O1559" s="74">
        <v>2</v>
      </c>
      <c r="P1559" s="74">
        <v>3</v>
      </c>
      <c r="Q1559" s="74">
        <v>0.05</v>
      </c>
      <c r="R1559" s="74">
        <v>0</v>
      </c>
      <c r="S1559" s="73">
        <v>0</v>
      </c>
      <c r="T1559" s="75">
        <v>0</v>
      </c>
      <c r="U1559" s="72">
        <v>1</v>
      </c>
      <c r="V1559" s="74">
        <v>2</v>
      </c>
      <c r="W1559" s="74">
        <v>0</v>
      </c>
      <c r="X1559" s="74">
        <v>1.8</v>
      </c>
      <c r="Y1559" s="19">
        <v>0</v>
      </c>
      <c r="Z1559" s="74">
        <v>700</v>
      </c>
      <c r="AA1559" s="74">
        <v>0</v>
      </c>
      <c r="AB1559" s="74">
        <v>0</v>
      </c>
      <c r="AC1559" s="74">
        <v>0</v>
      </c>
      <c r="AD1559" s="74">
        <v>1</v>
      </c>
      <c r="AE1559" s="74">
        <v>0</v>
      </c>
      <c r="AF1559" s="74">
        <v>10</v>
      </c>
      <c r="AG1559" s="74">
        <v>1</v>
      </c>
      <c r="AH1559" s="74">
        <v>1</v>
      </c>
      <c r="AI1559" s="73">
        <v>2</v>
      </c>
      <c r="AJ1559" s="73">
        <v>2</v>
      </c>
      <c r="AK1559" s="19">
        <v>0</v>
      </c>
      <c r="AL1559" s="73">
        <v>4</v>
      </c>
      <c r="AM1559" s="74">
        <v>0</v>
      </c>
      <c r="AN1559" s="74">
        <v>0</v>
      </c>
      <c r="AO1559" s="74">
        <v>0</v>
      </c>
      <c r="AP1559" s="74">
        <v>0.5</v>
      </c>
      <c r="AQ1559" s="74">
        <v>30000</v>
      </c>
      <c r="AR1559" s="74">
        <v>0.5</v>
      </c>
      <c r="AS1559" s="74">
        <v>10</v>
      </c>
      <c r="AT1559" s="73">
        <v>0</v>
      </c>
      <c r="AU1559" s="74">
        <v>93000208</v>
      </c>
      <c r="AV1559" s="74"/>
      <c r="AW1559" s="88" t="s">
        <v>205</v>
      </c>
      <c r="AX1559" s="74" t="s">
        <v>551</v>
      </c>
      <c r="AY1559" s="74">
        <v>10003002</v>
      </c>
      <c r="AZ1559" s="74">
        <v>21100020</v>
      </c>
      <c r="BA1559" s="88" t="s">
        <v>592</v>
      </c>
      <c r="BB1559" s="88">
        <v>0</v>
      </c>
      <c r="BC1559" s="75">
        <v>0</v>
      </c>
      <c r="BD1559" s="75">
        <v>0</v>
      </c>
      <c r="BE1559" s="208" t="s">
        <v>3383</v>
      </c>
      <c r="BF1559" s="208" t="s">
        <v>3384</v>
      </c>
      <c r="BG1559" s="74">
        <v>0</v>
      </c>
      <c r="BH1559" s="72">
        <v>0</v>
      </c>
      <c r="BI1559" s="74">
        <v>0</v>
      </c>
      <c r="BJ1559" s="74">
        <v>0</v>
      </c>
      <c r="BK1559" s="74">
        <v>0</v>
      </c>
      <c r="BL1559" s="74">
        <v>0</v>
      </c>
      <c r="BM1559" s="90">
        <v>0</v>
      </c>
      <c r="BN1559" s="19">
        <v>1</v>
      </c>
      <c r="BO1559" s="19">
        <v>0</v>
      </c>
      <c r="BP1559" s="19">
        <v>0</v>
      </c>
      <c r="BQ1559" s="19">
        <v>0</v>
      </c>
      <c r="BR1559" s="19">
        <v>0</v>
      </c>
      <c r="BS1559" s="19">
        <v>0</v>
      </c>
      <c r="BT1559" s="19">
        <v>0</v>
      </c>
      <c r="BU1559" s="23">
        <v>0</v>
      </c>
      <c r="BV1559" s="23"/>
      <c r="BW1559" s="23"/>
      <c r="BX1559" s="23"/>
      <c r="BY1559" s="23"/>
      <c r="BZ1559" s="23"/>
    </row>
    <row r="1560" spans="3:78" ht="20.100000000000001" customHeight="1">
      <c r="C1560" s="74">
        <v>66001019</v>
      </c>
      <c r="D1560" s="71" t="s">
        <v>3385</v>
      </c>
      <c r="E1560" s="71" t="s">
        <v>3386</v>
      </c>
      <c r="F1560" s="72">
        <v>1</v>
      </c>
      <c r="G1560" s="74">
        <v>66001019</v>
      </c>
      <c r="H1560" s="72">
        <v>0</v>
      </c>
      <c r="I1560" s="75">
        <v>0</v>
      </c>
      <c r="J1560" s="74">
        <v>1</v>
      </c>
      <c r="K1560" s="74">
        <v>0</v>
      </c>
      <c r="L1560" s="72">
        <v>0</v>
      </c>
      <c r="M1560" s="72">
        <v>0</v>
      </c>
      <c r="N1560" s="72">
        <v>0</v>
      </c>
      <c r="O1560" s="72">
        <v>2</v>
      </c>
      <c r="P1560" s="72">
        <v>12</v>
      </c>
      <c r="Q1560" s="72">
        <v>1</v>
      </c>
      <c r="R1560" s="72">
        <v>0</v>
      </c>
      <c r="S1560" s="73">
        <v>0</v>
      </c>
      <c r="T1560" s="72">
        <v>0</v>
      </c>
      <c r="U1560" s="72">
        <v>1</v>
      </c>
      <c r="V1560" s="72">
        <v>2</v>
      </c>
      <c r="W1560" s="72">
        <v>0</v>
      </c>
      <c r="X1560" s="74">
        <v>0</v>
      </c>
      <c r="Y1560" s="19">
        <v>0</v>
      </c>
      <c r="Z1560" s="74">
        <v>0</v>
      </c>
      <c r="AA1560" s="72">
        <v>0</v>
      </c>
      <c r="AB1560" s="72">
        <v>0</v>
      </c>
      <c r="AC1560" s="72">
        <v>0</v>
      </c>
      <c r="AD1560" s="72">
        <v>1</v>
      </c>
      <c r="AE1560" s="72">
        <v>0</v>
      </c>
      <c r="AF1560" s="72">
        <v>60</v>
      </c>
      <c r="AG1560" s="72">
        <v>1</v>
      </c>
      <c r="AH1560" s="72">
        <v>10</v>
      </c>
      <c r="AI1560" s="73">
        <v>0</v>
      </c>
      <c r="AJ1560" s="73">
        <v>0</v>
      </c>
      <c r="AK1560" s="19">
        <v>0</v>
      </c>
      <c r="AL1560" s="73">
        <v>0</v>
      </c>
      <c r="AM1560" s="72">
        <v>0</v>
      </c>
      <c r="AN1560" s="72">
        <v>0</v>
      </c>
      <c r="AO1560" s="72">
        <v>0</v>
      </c>
      <c r="AP1560" s="72">
        <v>1</v>
      </c>
      <c r="AQ1560" s="72">
        <v>50000</v>
      </c>
      <c r="AR1560" s="72">
        <v>0</v>
      </c>
      <c r="AS1560" s="72">
        <v>0</v>
      </c>
      <c r="AT1560" s="73">
        <v>90503002</v>
      </c>
      <c r="AU1560" s="72">
        <v>90503002</v>
      </c>
      <c r="AV1560" s="72"/>
      <c r="AW1560" s="71" t="s">
        <v>204</v>
      </c>
      <c r="AX1560" s="72">
        <v>0</v>
      </c>
      <c r="AY1560" s="74">
        <v>0</v>
      </c>
      <c r="AZ1560" s="74">
        <v>0</v>
      </c>
      <c r="BA1560" s="71" t="s">
        <v>2898</v>
      </c>
      <c r="BB1560" s="72">
        <v>0</v>
      </c>
      <c r="BC1560" s="75">
        <v>0</v>
      </c>
      <c r="BD1560" s="75">
        <v>0</v>
      </c>
      <c r="BE1560" s="76" t="s">
        <v>3387</v>
      </c>
      <c r="BF1560" s="76" t="s">
        <v>3388</v>
      </c>
      <c r="BG1560" s="72">
        <v>0</v>
      </c>
      <c r="BH1560" s="72">
        <v>0</v>
      </c>
      <c r="BI1560" s="72">
        <v>0</v>
      </c>
      <c r="BJ1560" s="72">
        <v>0</v>
      </c>
      <c r="BK1560" s="72">
        <v>0</v>
      </c>
      <c r="BL1560" s="72">
        <v>0</v>
      </c>
      <c r="BM1560" s="90">
        <v>0</v>
      </c>
      <c r="BN1560" s="19">
        <v>1</v>
      </c>
      <c r="BO1560" s="19">
        <v>0</v>
      </c>
      <c r="BP1560" s="19">
        <v>0</v>
      </c>
      <c r="BQ1560" s="19">
        <v>0</v>
      </c>
      <c r="BR1560" s="19">
        <v>0</v>
      </c>
      <c r="BS1560" s="19">
        <v>0</v>
      </c>
      <c r="BT1560" s="19">
        <v>0</v>
      </c>
      <c r="BU1560" s="23">
        <v>0</v>
      </c>
      <c r="BV1560" s="23"/>
      <c r="BW1560" s="23"/>
      <c r="BX1560" s="23"/>
      <c r="BY1560" s="23"/>
      <c r="BZ1560" s="23"/>
    </row>
    <row r="1561" spans="3:78" ht="19.5" customHeight="1">
      <c r="C1561" s="32">
        <v>66001020</v>
      </c>
      <c r="D1561" s="35" t="s">
        <v>3389</v>
      </c>
      <c r="E1561" s="35" t="s">
        <v>3390</v>
      </c>
      <c r="F1561" s="21">
        <v>0</v>
      </c>
      <c r="G1561" s="32">
        <v>62022401</v>
      </c>
      <c r="H1561" s="32">
        <v>0</v>
      </c>
      <c r="I1561" s="31">
        <v>0</v>
      </c>
      <c r="J1561" s="21">
        <v>1</v>
      </c>
      <c r="K1561" s="32">
        <v>0</v>
      </c>
      <c r="L1561" s="21">
        <v>0</v>
      </c>
      <c r="M1561" s="32">
        <v>0</v>
      </c>
      <c r="N1561" s="32">
        <v>0</v>
      </c>
      <c r="O1561" s="32">
        <v>2</v>
      </c>
      <c r="P1561" s="32">
        <v>1</v>
      </c>
      <c r="Q1561" s="32">
        <v>1</v>
      </c>
      <c r="R1561" s="32">
        <v>0</v>
      </c>
      <c r="S1561" s="19">
        <v>0</v>
      </c>
      <c r="T1561" s="31">
        <v>0</v>
      </c>
      <c r="U1561" s="21">
        <v>1</v>
      </c>
      <c r="V1561" s="32">
        <v>2</v>
      </c>
      <c r="W1561" s="32">
        <v>0</v>
      </c>
      <c r="X1561" s="32">
        <v>3</v>
      </c>
      <c r="Y1561" s="19">
        <v>0</v>
      </c>
      <c r="Z1561" s="32">
        <v>0</v>
      </c>
      <c r="AA1561" s="32">
        <v>0</v>
      </c>
      <c r="AB1561" s="32">
        <v>0</v>
      </c>
      <c r="AC1561" s="32">
        <v>0</v>
      </c>
      <c r="AD1561" s="32">
        <v>0</v>
      </c>
      <c r="AE1561" s="32">
        <v>0</v>
      </c>
      <c r="AF1561" s="32">
        <v>1</v>
      </c>
      <c r="AG1561" s="32">
        <v>1</v>
      </c>
      <c r="AH1561" s="32">
        <v>3</v>
      </c>
      <c r="AI1561" s="19">
        <v>2</v>
      </c>
      <c r="AJ1561" s="19">
        <v>1</v>
      </c>
      <c r="AK1561" s="19">
        <v>0</v>
      </c>
      <c r="AL1561" s="19">
        <v>6</v>
      </c>
      <c r="AM1561" s="32">
        <v>0</v>
      </c>
      <c r="AN1561" s="32">
        <v>0</v>
      </c>
      <c r="AO1561" s="32">
        <v>0</v>
      </c>
      <c r="AP1561" s="32">
        <v>0</v>
      </c>
      <c r="AQ1561" s="32">
        <v>30000</v>
      </c>
      <c r="AR1561" s="32">
        <v>0</v>
      </c>
      <c r="AS1561" s="32">
        <v>0</v>
      </c>
      <c r="AT1561" s="19">
        <v>96001014</v>
      </c>
      <c r="AU1561" s="32">
        <v>0</v>
      </c>
      <c r="AV1561" s="32"/>
      <c r="AW1561" s="35" t="s">
        <v>205</v>
      </c>
      <c r="AX1561" s="32" t="s">
        <v>1934</v>
      </c>
      <c r="AY1561" s="32">
        <v>10003002</v>
      </c>
      <c r="AZ1561" s="32">
        <v>21102031</v>
      </c>
      <c r="BA1561" s="35" t="s">
        <v>206</v>
      </c>
      <c r="BB1561" s="35">
        <v>0</v>
      </c>
      <c r="BC1561" s="31">
        <v>0</v>
      </c>
      <c r="BD1561" s="31">
        <v>0</v>
      </c>
      <c r="BE1561" s="185"/>
      <c r="BF1561" s="185"/>
      <c r="BG1561" s="32">
        <v>0</v>
      </c>
      <c r="BH1561" s="21">
        <v>0</v>
      </c>
      <c r="BI1561" s="32">
        <v>0</v>
      </c>
      <c r="BJ1561" s="32">
        <v>0</v>
      </c>
      <c r="BK1561" s="32">
        <v>0</v>
      </c>
      <c r="BL1561" s="32">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68000001</v>
      </c>
      <c r="D1562" s="35" t="s">
        <v>437</v>
      </c>
      <c r="E1562" s="35" t="s">
        <v>3391</v>
      </c>
      <c r="F1562" s="32">
        <v>1</v>
      </c>
      <c r="G1562" s="32">
        <v>68000001</v>
      </c>
      <c r="H1562" s="32">
        <v>0</v>
      </c>
      <c r="I1562" s="31">
        <v>0</v>
      </c>
      <c r="J1562" s="32">
        <v>1</v>
      </c>
      <c r="K1562" s="32">
        <v>0</v>
      </c>
      <c r="L1562" s="32">
        <v>0</v>
      </c>
      <c r="M1562" s="32">
        <v>0</v>
      </c>
      <c r="N1562" s="32">
        <v>0</v>
      </c>
      <c r="O1562" s="32">
        <v>5</v>
      </c>
      <c r="P1562" s="32">
        <v>0</v>
      </c>
      <c r="Q1562" s="32">
        <v>0</v>
      </c>
      <c r="R1562" s="32">
        <v>0</v>
      </c>
      <c r="S1562" s="19">
        <v>0</v>
      </c>
      <c r="T1562" s="31">
        <v>0</v>
      </c>
      <c r="U1562" s="21">
        <v>1</v>
      </c>
      <c r="V1562" s="32">
        <v>2</v>
      </c>
      <c r="W1562" s="32">
        <v>0</v>
      </c>
      <c r="X1562" s="32">
        <v>0</v>
      </c>
      <c r="Y1562" s="19">
        <v>0</v>
      </c>
      <c r="Z1562" s="32">
        <v>0</v>
      </c>
      <c r="AA1562" s="32">
        <v>0</v>
      </c>
      <c r="AB1562" s="32">
        <v>0</v>
      </c>
      <c r="AC1562" s="32">
        <v>0</v>
      </c>
      <c r="AD1562" s="32">
        <v>1</v>
      </c>
      <c r="AE1562" s="32">
        <v>0</v>
      </c>
      <c r="AF1562" s="32">
        <v>0</v>
      </c>
      <c r="AG1562" s="32">
        <v>0</v>
      </c>
      <c r="AH1562" s="32">
        <v>0</v>
      </c>
      <c r="AI1562" s="19">
        <v>2</v>
      </c>
      <c r="AJ1562" s="19">
        <v>0</v>
      </c>
      <c r="AK1562" s="19">
        <v>0</v>
      </c>
      <c r="AL1562" s="19">
        <v>0</v>
      </c>
      <c r="AM1562" s="32">
        <v>0</v>
      </c>
      <c r="AN1562" s="32">
        <v>0</v>
      </c>
      <c r="AO1562" s="32">
        <v>0</v>
      </c>
      <c r="AP1562" s="32">
        <v>0</v>
      </c>
      <c r="AQ1562" s="32">
        <v>1000</v>
      </c>
      <c r="AR1562" s="32">
        <v>0</v>
      </c>
      <c r="AS1562" s="32">
        <v>0</v>
      </c>
      <c r="AT1562" s="19">
        <v>0</v>
      </c>
      <c r="AU1562" s="32" t="s">
        <v>204</v>
      </c>
      <c r="AV1562" s="32"/>
      <c r="AW1562" s="35" t="s">
        <v>205</v>
      </c>
      <c r="AX1562" s="32">
        <v>0</v>
      </c>
      <c r="AY1562" s="32">
        <v>0</v>
      </c>
      <c r="AZ1562" s="32">
        <v>0</v>
      </c>
      <c r="BA1562" s="35" t="s">
        <v>206</v>
      </c>
      <c r="BB1562" s="35" t="s">
        <v>3392</v>
      </c>
      <c r="BC1562" s="31">
        <v>0</v>
      </c>
      <c r="BD1562" s="31">
        <v>0</v>
      </c>
      <c r="BE1562" s="60" t="s">
        <v>3393</v>
      </c>
      <c r="BF1562" s="60" t="s">
        <v>3394</v>
      </c>
      <c r="BG1562" s="32">
        <v>0</v>
      </c>
      <c r="BH1562" s="21">
        <v>0</v>
      </c>
      <c r="BI1562" s="32">
        <v>0</v>
      </c>
      <c r="BJ1562" s="32">
        <v>0</v>
      </c>
      <c r="BK1562" s="32">
        <v>0</v>
      </c>
      <c r="BL1562" s="32">
        <v>0</v>
      </c>
      <c r="BM1562" s="25">
        <v>0</v>
      </c>
      <c r="BN1562" s="19">
        <v>0</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68000002</v>
      </c>
      <c r="D1563" s="35" t="s">
        <v>3395</v>
      </c>
      <c r="E1563" s="35" t="s">
        <v>3396</v>
      </c>
      <c r="F1563" s="32">
        <v>1</v>
      </c>
      <c r="G1563" s="32">
        <v>68000002</v>
      </c>
      <c r="H1563" s="32">
        <v>0</v>
      </c>
      <c r="I1563" s="31">
        <v>0</v>
      </c>
      <c r="J1563" s="32">
        <v>1</v>
      </c>
      <c r="K1563" s="32">
        <v>0</v>
      </c>
      <c r="L1563" s="32">
        <v>0</v>
      </c>
      <c r="M1563" s="32">
        <v>0</v>
      </c>
      <c r="N1563" s="32">
        <v>0</v>
      </c>
      <c r="O1563" s="32">
        <v>2</v>
      </c>
      <c r="P1563" s="32">
        <v>2</v>
      </c>
      <c r="Q1563" s="32">
        <v>0.1</v>
      </c>
      <c r="R1563" s="32">
        <v>0</v>
      </c>
      <c r="S1563" s="19">
        <v>0</v>
      </c>
      <c r="T1563" s="31">
        <v>0</v>
      </c>
      <c r="U1563" s="21">
        <v>1</v>
      </c>
      <c r="V1563" s="32">
        <v>2</v>
      </c>
      <c r="W1563" s="32">
        <v>0</v>
      </c>
      <c r="X1563" s="32">
        <v>0</v>
      </c>
      <c r="Y1563" s="19">
        <v>0</v>
      </c>
      <c r="Z1563" s="32">
        <v>0</v>
      </c>
      <c r="AA1563" s="32">
        <v>0</v>
      </c>
      <c r="AB1563" s="32">
        <v>0</v>
      </c>
      <c r="AC1563" s="32">
        <v>0</v>
      </c>
      <c r="AD1563" s="32">
        <v>1</v>
      </c>
      <c r="AE1563" s="32">
        <v>0</v>
      </c>
      <c r="AF1563" s="32">
        <v>0</v>
      </c>
      <c r="AG1563" s="32">
        <v>0</v>
      </c>
      <c r="AH1563" s="32">
        <v>0</v>
      </c>
      <c r="AI1563" s="19">
        <v>2</v>
      </c>
      <c r="AJ1563" s="19">
        <v>0</v>
      </c>
      <c r="AK1563" s="19">
        <v>0</v>
      </c>
      <c r="AL1563" s="19">
        <v>0</v>
      </c>
      <c r="AM1563" s="32">
        <v>0</v>
      </c>
      <c r="AN1563" s="32">
        <v>0</v>
      </c>
      <c r="AO1563" s="32">
        <v>0</v>
      </c>
      <c r="AP1563" s="32">
        <v>0</v>
      </c>
      <c r="AQ1563" s="32">
        <v>1000</v>
      </c>
      <c r="AR1563" s="32">
        <v>0</v>
      </c>
      <c r="AS1563" s="32">
        <v>0</v>
      </c>
      <c r="AT1563" s="19">
        <v>98000020</v>
      </c>
      <c r="AU1563" s="32" t="s">
        <v>204</v>
      </c>
      <c r="AV1563" s="32"/>
      <c r="AW1563" s="35" t="s">
        <v>205</v>
      </c>
      <c r="AX1563" s="32">
        <v>0</v>
      </c>
      <c r="AY1563" s="32">
        <v>0</v>
      </c>
      <c r="AZ1563" s="32">
        <v>0</v>
      </c>
      <c r="BA1563" s="35" t="s">
        <v>206</v>
      </c>
      <c r="BB1563" s="35" t="s">
        <v>204</v>
      </c>
      <c r="BC1563" s="31">
        <v>0</v>
      </c>
      <c r="BD1563" s="31">
        <v>0</v>
      </c>
      <c r="BE1563" s="60" t="s">
        <v>3397</v>
      </c>
      <c r="BF1563" s="60" t="s">
        <v>3398</v>
      </c>
      <c r="BG1563" s="32">
        <v>0</v>
      </c>
      <c r="BH1563" s="21">
        <v>0</v>
      </c>
      <c r="BI1563" s="32">
        <v>0</v>
      </c>
      <c r="BJ1563" s="32">
        <v>0</v>
      </c>
      <c r="BK1563" s="32">
        <v>0</v>
      </c>
      <c r="BL1563" s="32">
        <v>0</v>
      </c>
      <c r="BM1563" s="25">
        <v>0</v>
      </c>
      <c r="BN1563" s="19">
        <v>1</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68000003</v>
      </c>
      <c r="D1564" s="35" t="s">
        <v>3399</v>
      </c>
      <c r="E1564" s="35" t="s">
        <v>3400</v>
      </c>
      <c r="F1564" s="21">
        <v>1</v>
      </c>
      <c r="G1564" s="32">
        <v>68000003</v>
      </c>
      <c r="H1564" s="21">
        <v>0</v>
      </c>
      <c r="I1564" s="31">
        <v>0</v>
      </c>
      <c r="J1564" s="32">
        <v>1</v>
      </c>
      <c r="K1564" s="32">
        <v>0</v>
      </c>
      <c r="L1564" s="21">
        <v>0</v>
      </c>
      <c r="M1564" s="21">
        <v>0</v>
      </c>
      <c r="N1564" s="21">
        <v>0</v>
      </c>
      <c r="O1564" s="21">
        <v>2</v>
      </c>
      <c r="P1564" s="21">
        <v>1</v>
      </c>
      <c r="Q1564" s="21">
        <v>1</v>
      </c>
      <c r="R1564" s="21">
        <v>0</v>
      </c>
      <c r="S1564" s="19">
        <v>0</v>
      </c>
      <c r="T1564" s="21">
        <v>0</v>
      </c>
      <c r="U1564" s="21">
        <v>0</v>
      </c>
      <c r="V1564" s="21">
        <v>1</v>
      </c>
      <c r="W1564" s="21">
        <v>0</v>
      </c>
      <c r="X1564" s="21">
        <v>0.2</v>
      </c>
      <c r="Y1564" s="19">
        <v>0</v>
      </c>
      <c r="Z1564" s="32">
        <v>0</v>
      </c>
      <c r="AA1564" s="21">
        <v>0</v>
      </c>
      <c r="AB1564" s="21">
        <v>0</v>
      </c>
      <c r="AC1564" s="21">
        <v>0</v>
      </c>
      <c r="AD1564" s="21">
        <v>1</v>
      </c>
      <c r="AE1564" s="21">
        <v>0</v>
      </c>
      <c r="AF1564" s="21">
        <v>0</v>
      </c>
      <c r="AG1564" s="21">
        <v>2</v>
      </c>
      <c r="AH1564" s="21" t="s">
        <v>237</v>
      </c>
      <c r="AI1564" s="19">
        <v>2</v>
      </c>
      <c r="AJ1564" s="19">
        <v>0</v>
      </c>
      <c r="AK1564" s="19">
        <v>0</v>
      </c>
      <c r="AL1564" s="19">
        <v>3</v>
      </c>
      <c r="AM1564" s="21">
        <v>0</v>
      </c>
      <c r="AN1564" s="21">
        <v>0</v>
      </c>
      <c r="AO1564" s="21">
        <v>0</v>
      </c>
      <c r="AP1564" s="21">
        <v>0</v>
      </c>
      <c r="AQ1564" s="21">
        <v>1000</v>
      </c>
      <c r="AR1564" s="21">
        <v>0</v>
      </c>
      <c r="AS1564" s="21">
        <v>0</v>
      </c>
      <c r="AT1564" s="19">
        <v>0</v>
      </c>
      <c r="AU1564" s="21" t="s">
        <v>204</v>
      </c>
      <c r="AV1564" s="21"/>
      <c r="AW1564" s="35" t="s">
        <v>205</v>
      </c>
      <c r="AX1564" s="21">
        <v>0</v>
      </c>
      <c r="AY1564" s="32">
        <v>0</v>
      </c>
      <c r="AZ1564" s="26">
        <v>0</v>
      </c>
      <c r="BA1564" s="30" t="s">
        <v>206</v>
      </c>
      <c r="BB1564" s="21">
        <v>0</v>
      </c>
      <c r="BC1564" s="31">
        <v>0</v>
      </c>
      <c r="BD1564" s="31">
        <v>0</v>
      </c>
      <c r="BE1564" s="60" t="s">
        <v>3401</v>
      </c>
      <c r="BF1564" s="60" t="s">
        <v>3402</v>
      </c>
      <c r="BG1564" s="21">
        <v>0</v>
      </c>
      <c r="BH1564" s="21">
        <v>0</v>
      </c>
      <c r="BI1564" s="21">
        <v>0</v>
      </c>
      <c r="BJ1564" s="21">
        <v>0</v>
      </c>
      <c r="BK1564" s="21">
        <v>0</v>
      </c>
      <c r="BL1564" s="21">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68000004</v>
      </c>
      <c r="D1565" s="35" t="s">
        <v>3403</v>
      </c>
      <c r="E1565" s="35" t="s">
        <v>3404</v>
      </c>
      <c r="F1565" s="32">
        <v>1</v>
      </c>
      <c r="G1565" s="32">
        <v>68000004</v>
      </c>
      <c r="H1565" s="21">
        <v>0</v>
      </c>
      <c r="I1565" s="31">
        <v>0</v>
      </c>
      <c r="J1565" s="32">
        <v>1</v>
      </c>
      <c r="K1565" s="32">
        <v>0</v>
      </c>
      <c r="L1565" s="32">
        <v>0</v>
      </c>
      <c r="M1565" s="21">
        <v>0</v>
      </c>
      <c r="N1565" s="21">
        <v>0</v>
      </c>
      <c r="O1565" s="21">
        <v>1</v>
      </c>
      <c r="P1565" s="21">
        <v>1</v>
      </c>
      <c r="Q1565" s="21">
        <v>0.05</v>
      </c>
      <c r="R1565" s="21">
        <v>0</v>
      </c>
      <c r="S1565" s="19">
        <v>0</v>
      </c>
      <c r="T1565" s="21">
        <v>0</v>
      </c>
      <c r="U1565" s="21">
        <v>1</v>
      </c>
      <c r="V1565" s="21">
        <v>2</v>
      </c>
      <c r="W1565" s="21">
        <v>0</v>
      </c>
      <c r="X1565" s="21">
        <v>0</v>
      </c>
      <c r="Y1565" s="19">
        <v>0</v>
      </c>
      <c r="Z1565" s="21">
        <v>0</v>
      </c>
      <c r="AA1565" s="21">
        <v>0</v>
      </c>
      <c r="AB1565" s="21">
        <v>0</v>
      </c>
      <c r="AC1565" s="21">
        <v>0</v>
      </c>
      <c r="AD1565" s="21">
        <v>1</v>
      </c>
      <c r="AE1565" s="21">
        <v>68000008</v>
      </c>
      <c r="AF1565" s="21">
        <v>30</v>
      </c>
      <c r="AG1565" s="21">
        <v>0</v>
      </c>
      <c r="AH1565" s="21">
        <v>0</v>
      </c>
      <c r="AI1565" s="19">
        <v>2</v>
      </c>
      <c r="AJ1565" s="19">
        <v>2</v>
      </c>
      <c r="AK1565" s="19">
        <v>0</v>
      </c>
      <c r="AL1565" s="19">
        <v>1.5</v>
      </c>
      <c r="AM1565" s="21">
        <v>0</v>
      </c>
      <c r="AN1565" s="21">
        <v>0</v>
      </c>
      <c r="AO1565" s="21">
        <v>0</v>
      </c>
      <c r="AP1565" s="21">
        <v>0.5</v>
      </c>
      <c r="AQ1565" s="21">
        <v>3000</v>
      </c>
      <c r="AR1565" s="21">
        <v>0.5</v>
      </c>
      <c r="AS1565" s="21">
        <v>0</v>
      </c>
      <c r="AT1565" s="19">
        <v>0</v>
      </c>
      <c r="AU1565" s="21" t="s">
        <v>204</v>
      </c>
      <c r="AV1565" s="21"/>
      <c r="AW1565" s="30" t="s">
        <v>205</v>
      </c>
      <c r="AX1565" s="21" t="s">
        <v>551</v>
      </c>
      <c r="AY1565" s="32">
        <v>0</v>
      </c>
      <c r="AZ1565" s="32">
        <v>21101051</v>
      </c>
      <c r="BA1565" s="30" t="s">
        <v>1180</v>
      </c>
      <c r="BB1565" s="341" t="s">
        <v>3405</v>
      </c>
      <c r="BC1565" s="31">
        <v>0</v>
      </c>
      <c r="BD1565" s="31">
        <v>0</v>
      </c>
      <c r="BE1565" s="33" t="s">
        <v>3406</v>
      </c>
      <c r="BF1565" s="33" t="s">
        <v>3407</v>
      </c>
      <c r="BG1565" s="21">
        <v>0</v>
      </c>
      <c r="BH1565" s="21">
        <v>0</v>
      </c>
      <c r="BI1565" s="21">
        <v>0</v>
      </c>
      <c r="BJ1565" s="21">
        <v>0</v>
      </c>
      <c r="BK1565" s="21">
        <v>0</v>
      </c>
      <c r="BL1565" s="21">
        <v>0</v>
      </c>
      <c r="BM1565" s="25">
        <v>0</v>
      </c>
      <c r="BN1565" s="19">
        <v>0</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68000005</v>
      </c>
      <c r="D1566" s="35" t="s">
        <v>3408</v>
      </c>
      <c r="E1566" s="35" t="s">
        <v>3409</v>
      </c>
      <c r="F1566" s="32">
        <v>1</v>
      </c>
      <c r="G1566" s="32">
        <v>68000005</v>
      </c>
      <c r="H1566" s="32">
        <v>0</v>
      </c>
      <c r="I1566" s="31">
        <v>0</v>
      </c>
      <c r="J1566" s="32">
        <v>1</v>
      </c>
      <c r="K1566" s="32">
        <v>0</v>
      </c>
      <c r="L1566" s="32">
        <v>0</v>
      </c>
      <c r="M1566" s="32">
        <v>0</v>
      </c>
      <c r="N1566" s="32">
        <v>0</v>
      </c>
      <c r="O1566" s="32">
        <v>2</v>
      </c>
      <c r="P1566" s="32">
        <v>3</v>
      </c>
      <c r="Q1566" s="32">
        <v>0.05</v>
      </c>
      <c r="R1566" s="32">
        <v>0</v>
      </c>
      <c r="S1566" s="19">
        <v>0</v>
      </c>
      <c r="T1566" s="31">
        <v>0</v>
      </c>
      <c r="U1566" s="21">
        <v>1</v>
      </c>
      <c r="V1566" s="32">
        <v>2</v>
      </c>
      <c r="W1566" s="32">
        <v>0</v>
      </c>
      <c r="X1566" s="32">
        <v>0</v>
      </c>
      <c r="Y1566" s="19">
        <v>0</v>
      </c>
      <c r="Z1566" s="32">
        <v>0</v>
      </c>
      <c r="AA1566" s="32">
        <v>0</v>
      </c>
      <c r="AB1566" s="32">
        <v>0</v>
      </c>
      <c r="AC1566" s="32">
        <v>0</v>
      </c>
      <c r="AD1566" s="32">
        <v>1</v>
      </c>
      <c r="AE1566" s="32">
        <v>0</v>
      </c>
      <c r="AF1566" s="32">
        <v>1</v>
      </c>
      <c r="AG1566" s="32">
        <v>0</v>
      </c>
      <c r="AH1566" s="32">
        <v>0</v>
      </c>
      <c r="AI1566" s="19">
        <v>2</v>
      </c>
      <c r="AJ1566" s="19">
        <v>0</v>
      </c>
      <c r="AK1566" s="19">
        <v>0</v>
      </c>
      <c r="AL1566" s="19">
        <v>0</v>
      </c>
      <c r="AM1566" s="32">
        <v>0</v>
      </c>
      <c r="AN1566" s="32">
        <v>0</v>
      </c>
      <c r="AO1566" s="32">
        <v>0</v>
      </c>
      <c r="AP1566" s="32">
        <v>0</v>
      </c>
      <c r="AQ1566" s="32">
        <v>1000</v>
      </c>
      <c r="AR1566" s="32">
        <v>0</v>
      </c>
      <c r="AS1566" s="32">
        <v>0</v>
      </c>
      <c r="AT1566" s="19">
        <v>98000050</v>
      </c>
      <c r="AU1566" s="32" t="s">
        <v>204</v>
      </c>
      <c r="AV1566" s="32"/>
      <c r="AW1566" s="35" t="s">
        <v>205</v>
      </c>
      <c r="AX1566" s="32">
        <v>0</v>
      </c>
      <c r="AY1566" s="32">
        <v>0</v>
      </c>
      <c r="AZ1566" s="32">
        <v>0</v>
      </c>
      <c r="BA1566" s="35" t="s">
        <v>206</v>
      </c>
      <c r="BB1566" s="35" t="s">
        <v>204</v>
      </c>
      <c r="BC1566" s="31">
        <v>0</v>
      </c>
      <c r="BD1566" s="31">
        <v>0</v>
      </c>
      <c r="BE1566" s="60" t="s">
        <v>3410</v>
      </c>
      <c r="BF1566" s="60" t="s">
        <v>3411</v>
      </c>
      <c r="BG1566" s="32">
        <v>0</v>
      </c>
      <c r="BH1566" s="21">
        <v>0</v>
      </c>
      <c r="BI1566" s="32">
        <v>0</v>
      </c>
      <c r="BJ1566" s="32">
        <v>0</v>
      </c>
      <c r="BK1566" s="32">
        <v>0</v>
      </c>
      <c r="BL1566" s="32">
        <v>0</v>
      </c>
      <c r="BM1566" s="25">
        <v>0</v>
      </c>
      <c r="BN1566" s="19">
        <v>1</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68000006</v>
      </c>
      <c r="D1567" s="35" t="s">
        <v>3412</v>
      </c>
      <c r="E1567" s="35" t="s">
        <v>3413</v>
      </c>
      <c r="F1567" s="32">
        <v>1</v>
      </c>
      <c r="G1567" s="32">
        <v>68000006</v>
      </c>
      <c r="H1567" s="32">
        <v>0</v>
      </c>
      <c r="I1567" s="31">
        <v>0</v>
      </c>
      <c r="J1567" s="32">
        <v>1</v>
      </c>
      <c r="K1567" s="32">
        <v>0</v>
      </c>
      <c r="L1567" s="32">
        <v>0</v>
      </c>
      <c r="M1567" s="32">
        <v>0</v>
      </c>
      <c r="N1567" s="32">
        <v>0</v>
      </c>
      <c r="O1567" s="32">
        <v>2</v>
      </c>
      <c r="P1567" s="32">
        <v>1</v>
      </c>
      <c r="Q1567" s="32">
        <v>0.05</v>
      </c>
      <c r="R1567" s="32">
        <v>0</v>
      </c>
      <c r="S1567" s="19">
        <v>0</v>
      </c>
      <c r="T1567" s="31">
        <v>0</v>
      </c>
      <c r="U1567" s="21">
        <v>1</v>
      </c>
      <c r="V1567" s="32">
        <v>2</v>
      </c>
      <c r="W1567" s="32">
        <v>0</v>
      </c>
      <c r="X1567" s="32">
        <v>0</v>
      </c>
      <c r="Y1567" s="19">
        <v>0</v>
      </c>
      <c r="Z1567" s="32">
        <v>0</v>
      </c>
      <c r="AA1567" s="32">
        <v>0</v>
      </c>
      <c r="AB1567" s="32">
        <v>0</v>
      </c>
      <c r="AC1567" s="32">
        <v>0</v>
      </c>
      <c r="AD1567" s="32">
        <v>1</v>
      </c>
      <c r="AE1567" s="32">
        <v>0</v>
      </c>
      <c r="AF1567" s="32">
        <v>18</v>
      </c>
      <c r="AG1567" s="32">
        <v>0</v>
      </c>
      <c r="AH1567" s="32">
        <v>0</v>
      </c>
      <c r="AI1567" s="19">
        <v>7</v>
      </c>
      <c r="AJ1567" s="19">
        <v>0</v>
      </c>
      <c r="AK1567" s="19">
        <v>0</v>
      </c>
      <c r="AL1567" s="19">
        <v>0</v>
      </c>
      <c r="AM1567" s="32">
        <v>0</v>
      </c>
      <c r="AN1567" s="32">
        <v>0</v>
      </c>
      <c r="AO1567" s="32">
        <v>0</v>
      </c>
      <c r="AP1567" s="32">
        <v>0</v>
      </c>
      <c r="AQ1567" s="32">
        <v>1000</v>
      </c>
      <c r="AR1567" s="32">
        <v>0</v>
      </c>
      <c r="AS1567" s="32">
        <v>0</v>
      </c>
      <c r="AT1567" s="19">
        <v>0</v>
      </c>
      <c r="AU1567" s="19">
        <v>98000060</v>
      </c>
      <c r="AV1567" s="19"/>
      <c r="AW1567" s="35" t="s">
        <v>205</v>
      </c>
      <c r="AX1567" s="32">
        <v>0</v>
      </c>
      <c r="AY1567" s="32">
        <v>0</v>
      </c>
      <c r="AZ1567" s="32">
        <v>0</v>
      </c>
      <c r="BA1567" s="35" t="s">
        <v>206</v>
      </c>
      <c r="BB1567" s="35" t="s">
        <v>204</v>
      </c>
      <c r="BC1567" s="31">
        <v>0</v>
      </c>
      <c r="BD1567" s="31">
        <v>0</v>
      </c>
      <c r="BE1567" s="60" t="s">
        <v>3414</v>
      </c>
      <c r="BF1567" s="60" t="s">
        <v>3415</v>
      </c>
      <c r="BG1567" s="32">
        <v>0</v>
      </c>
      <c r="BH1567" s="21">
        <v>0</v>
      </c>
      <c r="BI1567" s="32">
        <v>0</v>
      </c>
      <c r="BJ1567" s="32">
        <v>0</v>
      </c>
      <c r="BK1567" s="32">
        <v>0</v>
      </c>
      <c r="BL1567" s="32">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68000007</v>
      </c>
      <c r="D1568" s="35" t="s">
        <v>419</v>
      </c>
      <c r="E1568" s="35" t="s">
        <v>3416</v>
      </c>
      <c r="F1568" s="32">
        <v>1</v>
      </c>
      <c r="G1568" s="32">
        <v>68000007</v>
      </c>
      <c r="H1568" s="32">
        <v>0</v>
      </c>
      <c r="I1568" s="31">
        <v>0</v>
      </c>
      <c r="J1568" s="32">
        <v>1</v>
      </c>
      <c r="K1568" s="32">
        <v>0</v>
      </c>
      <c r="L1568" s="32">
        <v>0</v>
      </c>
      <c r="M1568" s="32">
        <v>0</v>
      </c>
      <c r="N1568" s="32">
        <v>0</v>
      </c>
      <c r="O1568" s="32">
        <v>2</v>
      </c>
      <c r="P1568" s="32">
        <v>1</v>
      </c>
      <c r="Q1568" s="32">
        <v>0.05</v>
      </c>
      <c r="R1568" s="32">
        <v>0</v>
      </c>
      <c r="S1568" s="19">
        <v>0</v>
      </c>
      <c r="T1568" s="31">
        <v>0</v>
      </c>
      <c r="U1568" s="21">
        <v>1</v>
      </c>
      <c r="V1568" s="32">
        <v>2</v>
      </c>
      <c r="W1568" s="32">
        <v>0</v>
      </c>
      <c r="X1568" s="32">
        <v>0</v>
      </c>
      <c r="Y1568" s="19">
        <v>0</v>
      </c>
      <c r="Z1568" s="32">
        <v>0</v>
      </c>
      <c r="AA1568" s="32">
        <v>0</v>
      </c>
      <c r="AB1568" s="32">
        <v>0</v>
      </c>
      <c r="AC1568" s="32">
        <v>0</v>
      </c>
      <c r="AD1568" s="32">
        <v>1</v>
      </c>
      <c r="AE1568" s="32">
        <v>0</v>
      </c>
      <c r="AF1568" s="32">
        <v>18</v>
      </c>
      <c r="AG1568" s="32">
        <v>0</v>
      </c>
      <c r="AH1568" s="32">
        <v>0</v>
      </c>
      <c r="AI1568" s="19">
        <v>2</v>
      </c>
      <c r="AJ1568" s="19">
        <v>0</v>
      </c>
      <c r="AK1568" s="19">
        <v>0</v>
      </c>
      <c r="AL1568" s="19">
        <v>0</v>
      </c>
      <c r="AM1568" s="32">
        <v>0</v>
      </c>
      <c r="AN1568" s="32">
        <v>0</v>
      </c>
      <c r="AO1568" s="32">
        <v>0</v>
      </c>
      <c r="AP1568" s="32">
        <v>0</v>
      </c>
      <c r="AQ1568" s="32">
        <v>1000</v>
      </c>
      <c r="AR1568" s="32">
        <v>0</v>
      </c>
      <c r="AS1568" s="32">
        <v>0</v>
      </c>
      <c r="AT1568" s="19">
        <v>98000070</v>
      </c>
      <c r="AU1568" s="32" t="s">
        <v>204</v>
      </c>
      <c r="AV1568" s="32"/>
      <c r="AW1568" s="35" t="s">
        <v>205</v>
      </c>
      <c r="AX1568" s="32">
        <v>0</v>
      </c>
      <c r="AY1568" s="32">
        <v>0</v>
      </c>
      <c r="AZ1568" s="32">
        <v>0</v>
      </c>
      <c r="BA1568" s="35" t="s">
        <v>206</v>
      </c>
      <c r="BB1568" s="35" t="s">
        <v>204</v>
      </c>
      <c r="BC1568" s="31">
        <v>0</v>
      </c>
      <c r="BD1568" s="31">
        <v>0</v>
      </c>
      <c r="BE1568" s="60" t="s">
        <v>3417</v>
      </c>
      <c r="BF1568" s="60" t="s">
        <v>3418</v>
      </c>
      <c r="BG1568" s="32">
        <v>0</v>
      </c>
      <c r="BH1568" s="21">
        <v>0</v>
      </c>
      <c r="BI1568" s="32">
        <v>0</v>
      </c>
      <c r="BJ1568" s="32">
        <v>0</v>
      </c>
      <c r="BK1568" s="32">
        <v>0</v>
      </c>
      <c r="BL1568" s="32">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68000008</v>
      </c>
      <c r="D1569" s="35" t="s">
        <v>3419</v>
      </c>
      <c r="E1569" s="35" t="s">
        <v>3145</v>
      </c>
      <c r="F1569" s="21">
        <v>1</v>
      </c>
      <c r="G1569" s="32">
        <v>68000008</v>
      </c>
      <c r="H1569" s="32">
        <v>0</v>
      </c>
      <c r="I1569" s="31">
        <v>0</v>
      </c>
      <c r="J1569" s="32">
        <v>1</v>
      </c>
      <c r="K1569" s="32">
        <v>0</v>
      </c>
      <c r="L1569" s="32">
        <v>0</v>
      </c>
      <c r="M1569" s="21">
        <v>0</v>
      </c>
      <c r="N1569" s="21">
        <v>0</v>
      </c>
      <c r="O1569" s="21">
        <v>5</v>
      </c>
      <c r="P1569" s="21">
        <v>0</v>
      </c>
      <c r="Q1569" s="21">
        <v>0</v>
      </c>
      <c r="R1569" s="21">
        <v>0</v>
      </c>
      <c r="S1569" s="19">
        <v>0</v>
      </c>
      <c r="T1569" s="21">
        <v>0</v>
      </c>
      <c r="U1569" s="21">
        <v>1</v>
      </c>
      <c r="V1569" s="21">
        <v>2</v>
      </c>
      <c r="W1569" s="21">
        <v>0</v>
      </c>
      <c r="X1569" s="32">
        <v>0</v>
      </c>
      <c r="Y1569" s="19">
        <v>0</v>
      </c>
      <c r="Z1569" s="32">
        <v>0</v>
      </c>
      <c r="AA1569" s="21">
        <v>0</v>
      </c>
      <c r="AB1569" s="21">
        <v>0</v>
      </c>
      <c r="AC1569" s="21">
        <v>0</v>
      </c>
      <c r="AD1569" s="21">
        <v>0</v>
      </c>
      <c r="AE1569" s="21">
        <v>0</v>
      </c>
      <c r="AF1569" s="21">
        <v>9</v>
      </c>
      <c r="AG1569" s="21">
        <v>2</v>
      </c>
      <c r="AH1569" s="21" t="s">
        <v>219</v>
      </c>
      <c r="AI1569" s="19">
        <v>2</v>
      </c>
      <c r="AJ1569" s="19">
        <v>0</v>
      </c>
      <c r="AK1569" s="19">
        <v>0</v>
      </c>
      <c r="AL1569" s="19">
        <v>0</v>
      </c>
      <c r="AM1569" s="21">
        <v>0</v>
      </c>
      <c r="AN1569" s="21">
        <v>0</v>
      </c>
      <c r="AO1569" s="21">
        <v>0</v>
      </c>
      <c r="AP1569" s="21">
        <v>0.5</v>
      </c>
      <c r="AQ1569" s="21">
        <v>3000</v>
      </c>
      <c r="AR1569" s="21">
        <v>0</v>
      </c>
      <c r="AS1569" s="21">
        <v>0</v>
      </c>
      <c r="AT1569" s="19">
        <v>0</v>
      </c>
      <c r="AU1569" s="21" t="s">
        <v>204</v>
      </c>
      <c r="AV1569" s="21"/>
      <c r="AW1569" s="35" t="s">
        <v>205</v>
      </c>
      <c r="AX1569" s="21">
        <v>0</v>
      </c>
      <c r="AY1569" s="32">
        <v>0</v>
      </c>
      <c r="AZ1569" s="32">
        <v>0</v>
      </c>
      <c r="BA1569" s="30" t="s">
        <v>206</v>
      </c>
      <c r="BB1569" s="21" t="s">
        <v>3420</v>
      </c>
      <c r="BC1569" s="31">
        <v>0</v>
      </c>
      <c r="BD1569" s="31">
        <v>0</v>
      </c>
      <c r="BE1569" s="60" t="s">
        <v>3421</v>
      </c>
      <c r="BF1569" s="60" t="s">
        <v>3422</v>
      </c>
      <c r="BG1569" s="21">
        <v>0</v>
      </c>
      <c r="BH1569" s="21">
        <v>0</v>
      </c>
      <c r="BI1569" s="21">
        <v>0</v>
      </c>
      <c r="BJ1569" s="21">
        <v>0</v>
      </c>
      <c r="BK1569" s="21">
        <v>0</v>
      </c>
      <c r="BL1569" s="21">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68000009</v>
      </c>
      <c r="D1570" s="35" t="s">
        <v>3423</v>
      </c>
      <c r="E1570" s="35" t="s">
        <v>3424</v>
      </c>
      <c r="F1570" s="21">
        <v>1</v>
      </c>
      <c r="G1570" s="32">
        <v>68000009</v>
      </c>
      <c r="H1570" s="32">
        <v>0</v>
      </c>
      <c r="I1570" s="31">
        <v>0</v>
      </c>
      <c r="J1570" s="32">
        <v>1</v>
      </c>
      <c r="K1570" s="32">
        <v>0</v>
      </c>
      <c r="L1570" s="32">
        <v>0</v>
      </c>
      <c r="M1570" s="21">
        <v>0</v>
      </c>
      <c r="N1570" s="21">
        <v>0</v>
      </c>
      <c r="O1570" s="21">
        <v>5</v>
      </c>
      <c r="P1570" s="21">
        <v>0</v>
      </c>
      <c r="Q1570" s="21">
        <v>0</v>
      </c>
      <c r="R1570" s="21">
        <v>0</v>
      </c>
      <c r="S1570" s="19">
        <v>0</v>
      </c>
      <c r="T1570" s="21">
        <v>0</v>
      </c>
      <c r="U1570" s="21">
        <v>1</v>
      </c>
      <c r="V1570" s="21">
        <v>2</v>
      </c>
      <c r="W1570" s="21">
        <v>0</v>
      </c>
      <c r="X1570" s="32">
        <v>0</v>
      </c>
      <c r="Y1570" s="19">
        <v>0</v>
      </c>
      <c r="Z1570" s="32">
        <v>0</v>
      </c>
      <c r="AA1570" s="21">
        <v>0</v>
      </c>
      <c r="AB1570" s="21">
        <v>0</v>
      </c>
      <c r="AC1570" s="21">
        <v>0</v>
      </c>
      <c r="AD1570" s="21">
        <v>0</v>
      </c>
      <c r="AE1570" s="21">
        <v>0</v>
      </c>
      <c r="AF1570" s="21">
        <v>9</v>
      </c>
      <c r="AG1570" s="21">
        <v>2</v>
      </c>
      <c r="AH1570" s="21" t="s">
        <v>219</v>
      </c>
      <c r="AI1570" s="19">
        <v>2</v>
      </c>
      <c r="AJ1570" s="19">
        <v>0</v>
      </c>
      <c r="AK1570" s="19">
        <v>0</v>
      </c>
      <c r="AL1570" s="19">
        <v>0</v>
      </c>
      <c r="AM1570" s="21">
        <v>0</v>
      </c>
      <c r="AN1570" s="21">
        <v>0</v>
      </c>
      <c r="AO1570" s="21">
        <v>0</v>
      </c>
      <c r="AP1570" s="21">
        <v>0.5</v>
      </c>
      <c r="AQ1570" s="21">
        <v>3000</v>
      </c>
      <c r="AR1570" s="21">
        <v>0</v>
      </c>
      <c r="AS1570" s="21">
        <v>0</v>
      </c>
      <c r="AT1570" s="19">
        <v>0</v>
      </c>
      <c r="AU1570" s="21" t="s">
        <v>204</v>
      </c>
      <c r="AV1570" s="21"/>
      <c r="AW1570" s="35" t="s">
        <v>205</v>
      </c>
      <c r="AX1570" s="21">
        <v>0</v>
      </c>
      <c r="AY1570" s="32">
        <v>0</v>
      </c>
      <c r="AZ1570" s="32">
        <v>0</v>
      </c>
      <c r="BA1570" s="30" t="s">
        <v>206</v>
      </c>
      <c r="BB1570" s="21"/>
      <c r="BC1570" s="31">
        <v>0</v>
      </c>
      <c r="BD1570" s="31">
        <v>0</v>
      </c>
      <c r="BE1570" s="60" t="s">
        <v>3425</v>
      </c>
      <c r="BF1570" s="60" t="s">
        <v>3426</v>
      </c>
      <c r="BG1570" s="21">
        <v>0</v>
      </c>
      <c r="BH1570" s="21">
        <v>0</v>
      </c>
      <c r="BI1570" s="21">
        <v>0</v>
      </c>
      <c r="BJ1570" s="21">
        <v>0</v>
      </c>
      <c r="BK1570" s="21">
        <v>0</v>
      </c>
      <c r="BL1570" s="21">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68000010</v>
      </c>
      <c r="D1571" s="35" t="s">
        <v>3427</v>
      </c>
      <c r="E1571" s="35" t="s">
        <v>3428</v>
      </c>
      <c r="F1571" s="32">
        <v>1</v>
      </c>
      <c r="G1571" s="32">
        <v>68000010</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v>0</v>
      </c>
      <c r="AU1571" s="32" t="s">
        <v>204</v>
      </c>
      <c r="AV1571" s="32"/>
      <c r="AW1571" s="35" t="s">
        <v>205</v>
      </c>
      <c r="AX1571" s="32">
        <v>0</v>
      </c>
      <c r="AY1571" s="32">
        <v>0</v>
      </c>
      <c r="AZ1571" s="32">
        <v>0</v>
      </c>
      <c r="BA1571" s="35" t="s">
        <v>206</v>
      </c>
      <c r="BB1571" s="35" t="s">
        <v>3429</v>
      </c>
      <c r="BC1571" s="31">
        <v>0</v>
      </c>
      <c r="BD1571" s="31">
        <v>0</v>
      </c>
      <c r="BE1571" s="60" t="s">
        <v>3430</v>
      </c>
      <c r="BF1571" s="60" t="s">
        <v>3431</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68000011</v>
      </c>
      <c r="D1572" s="35" t="s">
        <v>3432</v>
      </c>
      <c r="E1572" s="35" t="s">
        <v>3433</v>
      </c>
      <c r="F1572" s="32">
        <v>1</v>
      </c>
      <c r="G1572" s="32">
        <v>68000011</v>
      </c>
      <c r="H1572" s="32">
        <v>0</v>
      </c>
      <c r="I1572" s="31">
        <v>0</v>
      </c>
      <c r="J1572" s="32">
        <v>1</v>
      </c>
      <c r="K1572" s="32">
        <v>0</v>
      </c>
      <c r="L1572" s="32">
        <v>0</v>
      </c>
      <c r="M1572" s="32">
        <v>0</v>
      </c>
      <c r="N1572" s="32">
        <v>0</v>
      </c>
      <c r="O1572" s="32">
        <v>2</v>
      </c>
      <c r="P1572" s="32">
        <v>1</v>
      </c>
      <c r="Q1572" s="32">
        <v>0.05</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v>98000080</v>
      </c>
      <c r="AU1572" s="32" t="s">
        <v>204</v>
      </c>
      <c r="AV1572" s="32"/>
      <c r="AW1572" s="35" t="s">
        <v>205</v>
      </c>
      <c r="AX1572" s="32">
        <v>0</v>
      </c>
      <c r="AY1572" s="32">
        <v>0</v>
      </c>
      <c r="AZ1572" s="32">
        <v>0</v>
      </c>
      <c r="BA1572" s="35" t="s">
        <v>206</v>
      </c>
      <c r="BB1572" s="35" t="s">
        <v>204</v>
      </c>
      <c r="BC1572" s="31">
        <v>0</v>
      </c>
      <c r="BD1572" s="31">
        <v>0</v>
      </c>
      <c r="BE1572" s="60" t="s">
        <v>3434</v>
      </c>
      <c r="BF1572" s="60" t="s">
        <v>3435</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68000012</v>
      </c>
      <c r="D1573" s="35" t="s">
        <v>3436</v>
      </c>
      <c r="E1573" s="35" t="s">
        <v>301</v>
      </c>
      <c r="F1573" s="32">
        <v>1</v>
      </c>
      <c r="G1573" s="32">
        <v>68000012</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3437</v>
      </c>
      <c r="BC1573" s="31">
        <v>0</v>
      </c>
      <c r="BD1573" s="31">
        <v>0</v>
      </c>
      <c r="BE1573" s="60" t="s">
        <v>3438</v>
      </c>
      <c r="BF1573" s="60" t="s">
        <v>3439</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68000013</v>
      </c>
      <c r="D1574" s="35" t="s">
        <v>3440</v>
      </c>
      <c r="E1574" s="35" t="s">
        <v>3441</v>
      </c>
      <c r="F1574" s="32">
        <v>1</v>
      </c>
      <c r="G1574" s="32">
        <v>68000013</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3442</v>
      </c>
      <c r="BC1574" s="31">
        <v>0</v>
      </c>
      <c r="BD1574" s="31">
        <v>0</v>
      </c>
      <c r="BE1574" s="60" t="s">
        <v>3443</v>
      </c>
      <c r="BF1574" s="60" t="s">
        <v>3444</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68000014</v>
      </c>
      <c r="D1575" s="35" t="s">
        <v>3445</v>
      </c>
      <c r="E1575" s="35" t="s">
        <v>3446</v>
      </c>
      <c r="F1575" s="32">
        <v>1</v>
      </c>
      <c r="G1575" s="32">
        <v>68000014</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3447</v>
      </c>
      <c r="BC1575" s="31">
        <v>0</v>
      </c>
      <c r="BD1575" s="31">
        <v>0</v>
      </c>
      <c r="BE1575" s="60" t="s">
        <v>3448</v>
      </c>
      <c r="BF1575" s="60" t="s">
        <v>3449</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68000015</v>
      </c>
      <c r="D1576" s="35" t="s">
        <v>3450</v>
      </c>
      <c r="E1576" s="35" t="s">
        <v>3451</v>
      </c>
      <c r="F1576" s="32">
        <v>1</v>
      </c>
      <c r="G1576" s="32">
        <v>68000015</v>
      </c>
      <c r="H1576" s="32">
        <v>0</v>
      </c>
      <c r="I1576" s="31">
        <v>0</v>
      </c>
      <c r="J1576" s="32">
        <v>1</v>
      </c>
      <c r="K1576" s="32">
        <v>0</v>
      </c>
      <c r="L1576" s="32">
        <v>0</v>
      </c>
      <c r="M1576" s="32">
        <v>0</v>
      </c>
      <c r="N1576" s="32">
        <v>0</v>
      </c>
      <c r="O1576" s="32">
        <v>5</v>
      </c>
      <c r="P1576" s="32">
        <v>0</v>
      </c>
      <c r="Q1576" s="32">
        <v>0</v>
      </c>
      <c r="R1576" s="32">
        <v>0</v>
      </c>
      <c r="S1576" s="19">
        <v>0</v>
      </c>
      <c r="T1576" s="31">
        <v>0</v>
      </c>
      <c r="U1576" s="21">
        <v>1</v>
      </c>
      <c r="V1576" s="32">
        <v>2</v>
      </c>
      <c r="W1576" s="32">
        <v>0</v>
      </c>
      <c r="X1576" s="32">
        <v>0</v>
      </c>
      <c r="Y1576" s="19">
        <v>0</v>
      </c>
      <c r="Z1576" s="32">
        <v>0</v>
      </c>
      <c r="AA1576" s="32">
        <v>0</v>
      </c>
      <c r="AB1576" s="32">
        <v>0</v>
      </c>
      <c r="AC1576" s="32">
        <v>0</v>
      </c>
      <c r="AD1576" s="32">
        <v>1</v>
      </c>
      <c r="AE1576" s="32">
        <v>0</v>
      </c>
      <c r="AF1576" s="32">
        <v>18</v>
      </c>
      <c r="AG1576" s="32">
        <v>0</v>
      </c>
      <c r="AH1576" s="32">
        <v>0</v>
      </c>
      <c r="AI1576" s="19">
        <v>2</v>
      </c>
      <c r="AJ1576" s="19">
        <v>0</v>
      </c>
      <c r="AK1576" s="19">
        <v>0</v>
      </c>
      <c r="AL1576" s="19">
        <v>0</v>
      </c>
      <c r="AM1576" s="32">
        <v>0</v>
      </c>
      <c r="AN1576" s="32">
        <v>0</v>
      </c>
      <c r="AO1576" s="32">
        <v>0</v>
      </c>
      <c r="AP1576" s="32">
        <v>0</v>
      </c>
      <c r="AQ1576" s="32">
        <v>1000</v>
      </c>
      <c r="AR1576" s="32">
        <v>0</v>
      </c>
      <c r="AS1576" s="32">
        <v>0</v>
      </c>
      <c r="AT1576" s="19"/>
      <c r="AU1576" s="32" t="s">
        <v>204</v>
      </c>
      <c r="AV1576" s="32"/>
      <c r="AW1576" s="35" t="s">
        <v>205</v>
      </c>
      <c r="AX1576" s="32">
        <v>0</v>
      </c>
      <c r="AY1576" s="32">
        <v>0</v>
      </c>
      <c r="AZ1576" s="32">
        <v>0</v>
      </c>
      <c r="BA1576" s="35" t="s">
        <v>206</v>
      </c>
      <c r="BB1576" s="35" t="s">
        <v>3452</v>
      </c>
      <c r="BC1576" s="31">
        <v>0</v>
      </c>
      <c r="BD1576" s="31">
        <v>0</v>
      </c>
      <c r="BE1576" s="60" t="s">
        <v>3453</v>
      </c>
      <c r="BF1576" s="60" t="s">
        <v>3454</v>
      </c>
      <c r="BG1576" s="32">
        <v>0</v>
      </c>
      <c r="BH1576" s="21">
        <v>0</v>
      </c>
      <c r="BI1576" s="32">
        <v>0</v>
      </c>
      <c r="BJ1576" s="32">
        <v>0</v>
      </c>
      <c r="BK1576" s="32">
        <v>0</v>
      </c>
      <c r="BL1576" s="32">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68000016</v>
      </c>
      <c r="D1577" s="35" t="s">
        <v>3455</v>
      </c>
      <c r="E1577" s="35" t="s">
        <v>3456</v>
      </c>
      <c r="F1577" s="32">
        <v>1</v>
      </c>
      <c r="G1577" s="32">
        <v>68000016</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1597</v>
      </c>
      <c r="BC1577" s="31">
        <v>0</v>
      </c>
      <c r="BD1577" s="31">
        <v>0</v>
      </c>
      <c r="BE1577" s="60" t="s">
        <v>3457</v>
      </c>
      <c r="BF1577" s="60" t="s">
        <v>3458</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68000017</v>
      </c>
      <c r="D1578" s="35" t="s">
        <v>3459</v>
      </c>
      <c r="E1578" s="35" t="s">
        <v>3460</v>
      </c>
      <c r="F1578" s="32">
        <v>1</v>
      </c>
      <c r="G1578" s="32">
        <v>68000017</v>
      </c>
      <c r="H1578" s="32">
        <v>0</v>
      </c>
      <c r="I1578" s="31">
        <v>0</v>
      </c>
      <c r="J1578" s="32">
        <v>1</v>
      </c>
      <c r="K1578" s="32">
        <v>0</v>
      </c>
      <c r="L1578" s="32">
        <v>0</v>
      </c>
      <c r="M1578" s="32">
        <v>0</v>
      </c>
      <c r="N1578" s="32">
        <v>0</v>
      </c>
      <c r="O1578" s="32">
        <v>5</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204</v>
      </c>
      <c r="AV1578" s="32"/>
      <c r="AW1578" s="35" t="s">
        <v>205</v>
      </c>
      <c r="AX1578" s="32">
        <v>0</v>
      </c>
      <c r="AY1578" s="32">
        <v>0</v>
      </c>
      <c r="AZ1578" s="32">
        <v>0</v>
      </c>
      <c r="BA1578" s="35" t="s">
        <v>206</v>
      </c>
      <c r="BB1578" s="35" t="s">
        <v>3461</v>
      </c>
      <c r="BC1578" s="31">
        <v>0</v>
      </c>
      <c r="BD1578" s="31">
        <v>0</v>
      </c>
      <c r="BE1578" s="60" t="s">
        <v>3462</v>
      </c>
      <c r="BF1578" s="60" t="s">
        <v>3463</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68000018</v>
      </c>
      <c r="D1579" s="35" t="s">
        <v>3464</v>
      </c>
      <c r="E1579" s="35" t="s">
        <v>3465</v>
      </c>
      <c r="F1579" s="32">
        <v>1</v>
      </c>
      <c r="G1579" s="32">
        <v>68000004</v>
      </c>
      <c r="H1579" s="21">
        <v>0</v>
      </c>
      <c r="I1579" s="31">
        <v>0</v>
      </c>
      <c r="J1579" s="32">
        <v>1</v>
      </c>
      <c r="K1579" s="32">
        <v>0</v>
      </c>
      <c r="L1579" s="32">
        <v>0</v>
      </c>
      <c r="M1579" s="21">
        <v>0</v>
      </c>
      <c r="N1579" s="21">
        <v>0</v>
      </c>
      <c r="O1579" s="21">
        <v>2</v>
      </c>
      <c r="P1579" s="21">
        <v>1</v>
      </c>
      <c r="Q1579" s="21">
        <v>7.4999999999999997E-2</v>
      </c>
      <c r="R1579" s="21">
        <v>0</v>
      </c>
      <c r="S1579" s="19">
        <v>0</v>
      </c>
      <c r="T1579" s="21">
        <v>0</v>
      </c>
      <c r="U1579" s="21">
        <v>1</v>
      </c>
      <c r="V1579" s="21">
        <v>2</v>
      </c>
      <c r="W1579" s="21">
        <v>0</v>
      </c>
      <c r="X1579" s="21">
        <v>0</v>
      </c>
      <c r="Y1579" s="19">
        <v>0</v>
      </c>
      <c r="Z1579" s="21">
        <v>0</v>
      </c>
      <c r="AA1579" s="21">
        <v>0</v>
      </c>
      <c r="AB1579" s="21">
        <v>0</v>
      </c>
      <c r="AC1579" s="21">
        <v>0</v>
      </c>
      <c r="AD1579" s="21">
        <v>1</v>
      </c>
      <c r="AE1579" s="21">
        <v>0</v>
      </c>
      <c r="AF1579" s="21">
        <v>20</v>
      </c>
      <c r="AG1579" s="21">
        <v>0</v>
      </c>
      <c r="AH1579" s="21">
        <v>0</v>
      </c>
      <c r="AI1579" s="19">
        <v>2</v>
      </c>
      <c r="AJ1579" s="19">
        <v>2</v>
      </c>
      <c r="AK1579" s="19">
        <v>0</v>
      </c>
      <c r="AL1579" s="19">
        <v>1.5</v>
      </c>
      <c r="AM1579" s="21">
        <v>0</v>
      </c>
      <c r="AN1579" s="21">
        <v>0</v>
      </c>
      <c r="AO1579" s="21">
        <v>0</v>
      </c>
      <c r="AP1579" s="21">
        <v>0</v>
      </c>
      <c r="AQ1579" s="21">
        <v>3000</v>
      </c>
      <c r="AR1579" s="21">
        <v>0</v>
      </c>
      <c r="AS1579" s="21">
        <v>0</v>
      </c>
      <c r="AT1579" s="19">
        <v>0</v>
      </c>
      <c r="AU1579" s="21" t="s">
        <v>204</v>
      </c>
      <c r="AV1579" s="21"/>
      <c r="AW1579" s="30" t="s">
        <v>205</v>
      </c>
      <c r="AX1579" s="21" t="s">
        <v>551</v>
      </c>
      <c r="AY1579" s="32">
        <v>0</v>
      </c>
      <c r="AZ1579" s="32">
        <v>21101051</v>
      </c>
      <c r="BA1579" s="30" t="s">
        <v>534</v>
      </c>
      <c r="BB1579" s="21" t="s">
        <v>3466</v>
      </c>
      <c r="BC1579" s="31">
        <v>0</v>
      </c>
      <c r="BD1579" s="31">
        <v>0</v>
      </c>
      <c r="BE1579" s="33" t="s">
        <v>3467</v>
      </c>
      <c r="BF1579" s="33" t="s">
        <v>3468</v>
      </c>
      <c r="BG1579" s="21">
        <v>0</v>
      </c>
      <c r="BH1579" s="21">
        <v>0</v>
      </c>
      <c r="BI1579" s="21">
        <v>0</v>
      </c>
      <c r="BJ1579" s="21">
        <v>0</v>
      </c>
      <c r="BK1579" s="21">
        <v>0</v>
      </c>
      <c r="BL1579" s="21">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68000101</v>
      </c>
      <c r="D1580" s="35" t="s">
        <v>3469</v>
      </c>
      <c r="E1580" s="35" t="s">
        <v>3470</v>
      </c>
      <c r="F1580" s="32">
        <v>1</v>
      </c>
      <c r="G1580" s="32">
        <v>68000101</v>
      </c>
      <c r="H1580" s="32">
        <v>0</v>
      </c>
      <c r="I1580" s="31">
        <v>0</v>
      </c>
      <c r="J1580" s="32">
        <v>1</v>
      </c>
      <c r="K1580" s="32">
        <v>0</v>
      </c>
      <c r="L1580" s="32">
        <v>0</v>
      </c>
      <c r="M1580" s="32">
        <v>0</v>
      </c>
      <c r="N1580" s="32">
        <v>0</v>
      </c>
      <c r="O1580" s="32">
        <v>5</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3471</v>
      </c>
      <c r="BC1580" s="31">
        <v>0</v>
      </c>
      <c r="BD1580" s="31">
        <v>0</v>
      </c>
      <c r="BE1580" s="60" t="s">
        <v>3472</v>
      </c>
      <c r="BF1580" s="60" t="s">
        <v>3473</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68000102</v>
      </c>
      <c r="D1581" s="35" t="s">
        <v>3474</v>
      </c>
      <c r="E1581" s="35" t="s">
        <v>3475</v>
      </c>
      <c r="F1581" s="32">
        <v>1</v>
      </c>
      <c r="G1581" s="32">
        <v>68000102</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3476</v>
      </c>
      <c r="BF1581" s="60" t="s">
        <v>3477</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68000103</v>
      </c>
      <c r="D1582" s="35" t="s">
        <v>3478</v>
      </c>
      <c r="E1582" s="35" t="s">
        <v>3479</v>
      </c>
      <c r="F1582" s="32">
        <v>1</v>
      </c>
      <c r="G1582" s="32">
        <v>68000103</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3480</v>
      </c>
      <c r="BF1582" s="60" t="s">
        <v>3481</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68000104</v>
      </c>
      <c r="D1583" s="35" t="s">
        <v>3482</v>
      </c>
      <c r="E1583" s="35" t="s">
        <v>3483</v>
      </c>
      <c r="F1583" s="32">
        <v>1</v>
      </c>
      <c r="G1583" s="32">
        <v>68000104</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3484</v>
      </c>
      <c r="BF1583" s="60" t="s">
        <v>3485</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68000105</v>
      </c>
      <c r="D1584" s="35" t="s">
        <v>3486</v>
      </c>
      <c r="E1584" s="35" t="s">
        <v>3487</v>
      </c>
      <c r="F1584" s="32">
        <v>1</v>
      </c>
      <c r="G1584" s="32">
        <v>68000105</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3488</v>
      </c>
      <c r="BF1584" s="60" t="s">
        <v>3489</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68000106</v>
      </c>
      <c r="D1585" s="35" t="s">
        <v>3490</v>
      </c>
      <c r="E1585" s="35" t="s">
        <v>3491</v>
      </c>
      <c r="F1585" s="32">
        <v>1</v>
      </c>
      <c r="G1585" s="32">
        <v>68000106</v>
      </c>
      <c r="H1585" s="32">
        <v>0</v>
      </c>
      <c r="I1585" s="31">
        <v>0</v>
      </c>
      <c r="J1585" s="32">
        <v>1</v>
      </c>
      <c r="K1585" s="32">
        <v>0</v>
      </c>
      <c r="L1585" s="32">
        <v>0</v>
      </c>
      <c r="M1585" s="32">
        <v>0</v>
      </c>
      <c r="N1585" s="32">
        <v>0</v>
      </c>
      <c r="O1585" s="32">
        <v>2</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204</v>
      </c>
      <c r="BC1585" s="31">
        <v>0</v>
      </c>
      <c r="BD1585" s="31">
        <v>0</v>
      </c>
      <c r="BE1585" s="60" t="s">
        <v>3492</v>
      </c>
      <c r="BF1585" s="60" t="s">
        <v>3493</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68000107</v>
      </c>
      <c r="D1586" s="35" t="s">
        <v>3494</v>
      </c>
      <c r="E1586" s="35" t="s">
        <v>3495</v>
      </c>
      <c r="F1586" s="32">
        <v>1</v>
      </c>
      <c r="G1586" s="32">
        <v>68000107</v>
      </c>
      <c r="H1586" s="32">
        <v>0</v>
      </c>
      <c r="I1586" s="31">
        <v>0</v>
      </c>
      <c r="J1586" s="32">
        <v>1</v>
      </c>
      <c r="K1586" s="32">
        <v>0</v>
      </c>
      <c r="L1586" s="32">
        <v>0</v>
      </c>
      <c r="M1586" s="32">
        <v>0</v>
      </c>
      <c r="N1586" s="32">
        <v>0</v>
      </c>
      <c r="O1586" s="32">
        <v>2</v>
      </c>
      <c r="P1586" s="32">
        <v>0</v>
      </c>
      <c r="Q1586" s="32">
        <v>0</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19"/>
      <c r="AU1586" s="32" t="s">
        <v>204</v>
      </c>
      <c r="AV1586" s="32"/>
      <c r="AW1586" s="35" t="s">
        <v>205</v>
      </c>
      <c r="AX1586" s="32">
        <v>0</v>
      </c>
      <c r="AY1586" s="32">
        <v>0</v>
      </c>
      <c r="AZ1586" s="32">
        <v>0</v>
      </c>
      <c r="BA1586" s="35" t="s">
        <v>206</v>
      </c>
      <c r="BB1586" s="35" t="s">
        <v>204</v>
      </c>
      <c r="BC1586" s="31">
        <v>0</v>
      </c>
      <c r="BD1586" s="31">
        <v>0</v>
      </c>
      <c r="BE1586" s="60" t="s">
        <v>3496</v>
      </c>
      <c r="BF1586" s="60" t="s">
        <v>3497</v>
      </c>
      <c r="BG1586" s="32">
        <v>0</v>
      </c>
      <c r="BH1586" s="21">
        <v>0</v>
      </c>
      <c r="BI1586" s="32">
        <v>0</v>
      </c>
      <c r="BJ1586" s="32">
        <v>0</v>
      </c>
      <c r="BK1586" s="32">
        <v>0</v>
      </c>
      <c r="BL1586" s="32">
        <v>0</v>
      </c>
      <c r="BM1586" s="25">
        <v>0</v>
      </c>
      <c r="BN1586" s="19">
        <v>0</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68000108</v>
      </c>
      <c r="D1587" s="35" t="s">
        <v>3498</v>
      </c>
      <c r="E1587" s="35" t="s">
        <v>3499</v>
      </c>
      <c r="F1587" s="32">
        <v>1</v>
      </c>
      <c r="G1587" s="32">
        <v>68000108</v>
      </c>
      <c r="H1587" s="32">
        <v>0</v>
      </c>
      <c r="I1587" s="31">
        <v>0</v>
      </c>
      <c r="J1587" s="32">
        <v>1</v>
      </c>
      <c r="K1587" s="32">
        <v>0</v>
      </c>
      <c r="L1587" s="32">
        <v>0</v>
      </c>
      <c r="M1587" s="32">
        <v>0</v>
      </c>
      <c r="N1587" s="32">
        <v>0</v>
      </c>
      <c r="O1587" s="32">
        <v>2</v>
      </c>
      <c r="P1587" s="32">
        <v>0</v>
      </c>
      <c r="Q1587" s="32">
        <v>0</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19"/>
      <c r="AU1587" s="32" t="s">
        <v>204</v>
      </c>
      <c r="AV1587" s="32"/>
      <c r="AW1587" s="35" t="s">
        <v>205</v>
      </c>
      <c r="AX1587" s="32">
        <v>0</v>
      </c>
      <c r="AY1587" s="32">
        <v>0</v>
      </c>
      <c r="AZ1587" s="32">
        <v>0</v>
      </c>
      <c r="BA1587" s="35" t="s">
        <v>206</v>
      </c>
      <c r="BB1587" s="35" t="s">
        <v>204</v>
      </c>
      <c r="BC1587" s="31">
        <v>0</v>
      </c>
      <c r="BD1587" s="31">
        <v>0</v>
      </c>
      <c r="BE1587" s="60" t="s">
        <v>3500</v>
      </c>
      <c r="BF1587" s="60" t="s">
        <v>3501</v>
      </c>
      <c r="BG1587" s="32">
        <v>0</v>
      </c>
      <c r="BH1587" s="21">
        <v>0</v>
      </c>
      <c r="BI1587" s="32">
        <v>0</v>
      </c>
      <c r="BJ1587" s="32">
        <v>0</v>
      </c>
      <c r="BK1587" s="32">
        <v>0</v>
      </c>
      <c r="BL1587" s="32">
        <v>0</v>
      </c>
      <c r="BM1587" s="25">
        <v>0</v>
      </c>
      <c r="BN1587" s="19">
        <v>0</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68000109</v>
      </c>
      <c r="D1588" s="35" t="s">
        <v>3502</v>
      </c>
      <c r="E1588" s="35" t="s">
        <v>3503</v>
      </c>
      <c r="F1588" s="32">
        <v>1</v>
      </c>
      <c r="G1588" s="32">
        <v>68000109</v>
      </c>
      <c r="H1588" s="32">
        <v>0</v>
      </c>
      <c r="I1588" s="31">
        <v>0</v>
      </c>
      <c r="J1588" s="32">
        <v>1</v>
      </c>
      <c r="K1588" s="32">
        <v>0</v>
      </c>
      <c r="L1588" s="32">
        <v>0</v>
      </c>
      <c r="M1588" s="32">
        <v>0</v>
      </c>
      <c r="N1588" s="32">
        <v>0</v>
      </c>
      <c r="O1588" s="32">
        <v>5</v>
      </c>
      <c r="P1588" s="32">
        <v>0</v>
      </c>
      <c r="Q1588" s="32">
        <v>0</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18</v>
      </c>
      <c r="AG1588" s="32">
        <v>0</v>
      </c>
      <c r="AH1588" s="32">
        <v>0</v>
      </c>
      <c r="AI1588" s="19">
        <v>2</v>
      </c>
      <c r="AJ1588" s="19">
        <v>0</v>
      </c>
      <c r="AK1588" s="19">
        <v>0</v>
      </c>
      <c r="AL1588" s="19">
        <v>0</v>
      </c>
      <c r="AM1588" s="32">
        <v>0</v>
      </c>
      <c r="AN1588" s="32">
        <v>0</v>
      </c>
      <c r="AO1588" s="32">
        <v>0</v>
      </c>
      <c r="AP1588" s="32">
        <v>0</v>
      </c>
      <c r="AQ1588" s="32">
        <v>1000</v>
      </c>
      <c r="AR1588" s="32">
        <v>0</v>
      </c>
      <c r="AS1588" s="32">
        <v>0</v>
      </c>
      <c r="AT1588" s="19"/>
      <c r="AU1588" s="32" t="s">
        <v>204</v>
      </c>
      <c r="AV1588" s="32"/>
      <c r="AW1588" s="35" t="s">
        <v>205</v>
      </c>
      <c r="AX1588" s="32">
        <v>0</v>
      </c>
      <c r="AY1588" s="32">
        <v>0</v>
      </c>
      <c r="AZ1588" s="32">
        <v>0</v>
      </c>
      <c r="BA1588" s="35" t="s">
        <v>206</v>
      </c>
      <c r="BB1588" s="35" t="s">
        <v>3504</v>
      </c>
      <c r="BC1588" s="31">
        <v>0</v>
      </c>
      <c r="BD1588" s="31">
        <v>0</v>
      </c>
      <c r="BE1588" s="60" t="s">
        <v>3505</v>
      </c>
      <c r="BF1588" s="60" t="s">
        <v>3506</v>
      </c>
      <c r="BG1588" s="32">
        <v>0</v>
      </c>
      <c r="BH1588" s="21">
        <v>0</v>
      </c>
      <c r="BI1588" s="32">
        <v>0</v>
      </c>
      <c r="BJ1588" s="32">
        <v>0</v>
      </c>
      <c r="BK1588" s="32">
        <v>0</v>
      </c>
      <c r="BL1588" s="32">
        <v>0</v>
      </c>
      <c r="BM1588" s="25">
        <v>0</v>
      </c>
      <c r="BN1588" s="19">
        <v>0</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68000110</v>
      </c>
      <c r="D1589" s="35" t="s">
        <v>3507</v>
      </c>
      <c r="E1589" s="35" t="s">
        <v>3508</v>
      </c>
      <c r="F1589" s="32">
        <v>1</v>
      </c>
      <c r="G1589" s="32">
        <v>68000110</v>
      </c>
      <c r="H1589" s="32">
        <v>0</v>
      </c>
      <c r="I1589" s="31">
        <v>0</v>
      </c>
      <c r="J1589" s="32">
        <v>1</v>
      </c>
      <c r="K1589" s="32">
        <v>0</v>
      </c>
      <c r="L1589" s="32">
        <v>0</v>
      </c>
      <c r="M1589" s="32">
        <v>0</v>
      </c>
      <c r="N1589" s="32">
        <v>0</v>
      </c>
      <c r="O1589" s="32">
        <v>2</v>
      </c>
      <c r="P1589" s="32">
        <v>1</v>
      </c>
      <c r="Q1589" s="32">
        <v>0.05</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18</v>
      </c>
      <c r="AG1589" s="32">
        <v>0</v>
      </c>
      <c r="AH1589" s="32">
        <v>0</v>
      </c>
      <c r="AI1589" s="19">
        <v>2</v>
      </c>
      <c r="AJ1589" s="19">
        <v>0</v>
      </c>
      <c r="AK1589" s="19">
        <v>0</v>
      </c>
      <c r="AL1589" s="19">
        <v>0</v>
      </c>
      <c r="AM1589" s="32">
        <v>0</v>
      </c>
      <c r="AN1589" s="32">
        <v>0</v>
      </c>
      <c r="AO1589" s="32">
        <v>0</v>
      </c>
      <c r="AP1589" s="32">
        <v>0</v>
      </c>
      <c r="AQ1589" s="32">
        <v>1000</v>
      </c>
      <c r="AR1589" s="32">
        <v>0</v>
      </c>
      <c r="AS1589" s="32">
        <v>0</v>
      </c>
      <c r="AT1589" s="357" t="s">
        <v>3509</v>
      </c>
      <c r="AU1589" s="32" t="s">
        <v>204</v>
      </c>
      <c r="AV1589" s="32"/>
      <c r="AW1589" s="35" t="s">
        <v>205</v>
      </c>
      <c r="AX1589" s="32">
        <v>0</v>
      </c>
      <c r="AY1589" s="32">
        <v>0</v>
      </c>
      <c r="AZ1589" s="32">
        <v>0</v>
      </c>
      <c r="BA1589" s="35" t="s">
        <v>206</v>
      </c>
      <c r="BB1589" s="35" t="s">
        <v>204</v>
      </c>
      <c r="BC1589" s="31">
        <v>0</v>
      </c>
      <c r="BD1589" s="31">
        <v>0</v>
      </c>
      <c r="BE1589" s="60" t="s">
        <v>3510</v>
      </c>
      <c r="BF1589" s="60" t="s">
        <v>3511</v>
      </c>
      <c r="BG1589" s="32">
        <v>0</v>
      </c>
      <c r="BH1589" s="21">
        <v>0</v>
      </c>
      <c r="BI1589" s="32">
        <v>0</v>
      </c>
      <c r="BJ1589" s="32">
        <v>0</v>
      </c>
      <c r="BK1589" s="32">
        <v>0</v>
      </c>
      <c r="BL1589" s="32">
        <v>0</v>
      </c>
      <c r="BM1589" s="25">
        <v>0</v>
      </c>
      <c r="BN1589" s="19">
        <v>1</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68000111</v>
      </c>
      <c r="D1590" s="35" t="s">
        <v>3512</v>
      </c>
      <c r="E1590" s="35" t="s">
        <v>3513</v>
      </c>
      <c r="F1590" s="32">
        <v>1</v>
      </c>
      <c r="G1590" s="32">
        <v>68000111</v>
      </c>
      <c r="H1590" s="32">
        <v>0</v>
      </c>
      <c r="I1590" s="31">
        <v>0</v>
      </c>
      <c r="J1590" s="32">
        <v>1</v>
      </c>
      <c r="K1590" s="32">
        <v>0</v>
      </c>
      <c r="L1590" s="32">
        <v>0</v>
      </c>
      <c r="M1590" s="32">
        <v>0</v>
      </c>
      <c r="N1590" s="32">
        <v>0</v>
      </c>
      <c r="O1590" s="32">
        <v>2</v>
      </c>
      <c r="P1590" s="32">
        <v>3</v>
      </c>
      <c r="Q1590" s="32">
        <v>0.05</v>
      </c>
      <c r="R1590" s="32">
        <v>0</v>
      </c>
      <c r="S1590" s="19">
        <v>0</v>
      </c>
      <c r="T1590" s="31">
        <v>0</v>
      </c>
      <c r="U1590" s="21">
        <v>1</v>
      </c>
      <c r="V1590" s="32">
        <v>2</v>
      </c>
      <c r="W1590" s="32">
        <v>0</v>
      </c>
      <c r="X1590" s="32">
        <v>0</v>
      </c>
      <c r="Y1590" s="19">
        <v>0</v>
      </c>
      <c r="Z1590" s="32">
        <v>0</v>
      </c>
      <c r="AA1590" s="32">
        <v>0</v>
      </c>
      <c r="AB1590" s="32">
        <v>0</v>
      </c>
      <c r="AC1590" s="32">
        <v>0</v>
      </c>
      <c r="AD1590" s="32">
        <v>1</v>
      </c>
      <c r="AE1590" s="32">
        <v>0</v>
      </c>
      <c r="AF1590" s="32">
        <v>18</v>
      </c>
      <c r="AG1590" s="32">
        <v>0</v>
      </c>
      <c r="AH1590" s="32">
        <v>0</v>
      </c>
      <c r="AI1590" s="19">
        <v>2</v>
      </c>
      <c r="AJ1590" s="19">
        <v>0</v>
      </c>
      <c r="AK1590" s="19">
        <v>0</v>
      </c>
      <c r="AL1590" s="19">
        <v>0</v>
      </c>
      <c r="AM1590" s="32">
        <v>0</v>
      </c>
      <c r="AN1590" s="32">
        <v>0</v>
      </c>
      <c r="AO1590" s="32">
        <v>0</v>
      </c>
      <c r="AP1590" s="32">
        <v>0</v>
      </c>
      <c r="AQ1590" s="32">
        <v>1000</v>
      </c>
      <c r="AR1590" s="32">
        <v>0</v>
      </c>
      <c r="AS1590" s="32">
        <v>0</v>
      </c>
      <c r="AT1590" s="357" t="s">
        <v>3509</v>
      </c>
      <c r="AU1590" s="32" t="s">
        <v>204</v>
      </c>
      <c r="AV1590" s="32"/>
      <c r="AW1590" s="35" t="s">
        <v>205</v>
      </c>
      <c r="AX1590" s="32">
        <v>0</v>
      </c>
      <c r="AY1590" s="32">
        <v>0</v>
      </c>
      <c r="AZ1590" s="32">
        <v>0</v>
      </c>
      <c r="BA1590" s="35" t="s">
        <v>206</v>
      </c>
      <c r="BB1590" s="35" t="s">
        <v>204</v>
      </c>
      <c r="BC1590" s="31">
        <v>0</v>
      </c>
      <c r="BD1590" s="31">
        <v>0</v>
      </c>
      <c r="BE1590" s="60" t="s">
        <v>3514</v>
      </c>
      <c r="BF1590" s="60" t="s">
        <v>3515</v>
      </c>
      <c r="BG1590" s="32">
        <v>0</v>
      </c>
      <c r="BH1590" s="21">
        <v>0</v>
      </c>
      <c r="BI1590" s="32">
        <v>0</v>
      </c>
      <c r="BJ1590" s="32">
        <v>0</v>
      </c>
      <c r="BK1590" s="32">
        <v>0</v>
      </c>
      <c r="BL1590" s="32">
        <v>0</v>
      </c>
      <c r="BM1590" s="25">
        <v>0</v>
      </c>
      <c r="BN1590" s="19">
        <v>1</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68000112</v>
      </c>
      <c r="D1591" s="35" t="s">
        <v>3516</v>
      </c>
      <c r="E1591" s="35" t="s">
        <v>3517</v>
      </c>
      <c r="F1591" s="32">
        <v>1</v>
      </c>
      <c r="G1591" s="32">
        <v>68000112</v>
      </c>
      <c r="H1591" s="32">
        <v>0</v>
      </c>
      <c r="I1591" s="31">
        <v>0</v>
      </c>
      <c r="J1591" s="32">
        <v>1</v>
      </c>
      <c r="K1591" s="32">
        <v>0</v>
      </c>
      <c r="L1591" s="32">
        <v>0</v>
      </c>
      <c r="M1591" s="32">
        <v>0</v>
      </c>
      <c r="N1591" s="32">
        <v>0</v>
      </c>
      <c r="O1591" s="32">
        <v>2</v>
      </c>
      <c r="P1591" s="32">
        <v>2</v>
      </c>
      <c r="Q1591" s="32">
        <v>0.5</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30</v>
      </c>
      <c r="AG1591" s="32">
        <v>0</v>
      </c>
      <c r="AH1591" s="32">
        <v>0</v>
      </c>
      <c r="AI1591" s="19">
        <v>2</v>
      </c>
      <c r="AJ1591" s="19">
        <v>0</v>
      </c>
      <c r="AK1591" s="19">
        <v>0</v>
      </c>
      <c r="AL1591" s="19">
        <v>0</v>
      </c>
      <c r="AM1591" s="32">
        <v>0</v>
      </c>
      <c r="AN1591" s="32">
        <v>0</v>
      </c>
      <c r="AO1591" s="32">
        <v>0</v>
      </c>
      <c r="AP1591" s="32">
        <v>0</v>
      </c>
      <c r="AQ1591" s="32">
        <v>1000</v>
      </c>
      <c r="AR1591" s="32">
        <v>0</v>
      </c>
      <c r="AS1591" s="32">
        <v>0</v>
      </c>
      <c r="AT1591" s="357" t="s">
        <v>3509</v>
      </c>
      <c r="AU1591" s="32" t="s">
        <v>204</v>
      </c>
      <c r="AV1591" s="32"/>
      <c r="AW1591" s="35" t="s">
        <v>205</v>
      </c>
      <c r="AX1591" s="32">
        <v>0</v>
      </c>
      <c r="AY1591" s="32">
        <v>0</v>
      </c>
      <c r="AZ1591" s="32">
        <v>0</v>
      </c>
      <c r="BA1591" s="35" t="s">
        <v>206</v>
      </c>
      <c r="BB1591" s="35" t="s">
        <v>204</v>
      </c>
      <c r="BC1591" s="31">
        <v>0</v>
      </c>
      <c r="BD1591" s="31">
        <v>0</v>
      </c>
      <c r="BE1591" s="60" t="s">
        <v>3518</v>
      </c>
      <c r="BF1591" s="60" t="s">
        <v>3519</v>
      </c>
      <c r="BG1591" s="32">
        <v>0</v>
      </c>
      <c r="BH1591" s="21">
        <v>0</v>
      </c>
      <c r="BI1591" s="32">
        <v>0</v>
      </c>
      <c r="BJ1591" s="32">
        <v>0</v>
      </c>
      <c r="BK1591" s="32">
        <v>0</v>
      </c>
      <c r="BL1591" s="32">
        <v>0</v>
      </c>
      <c r="BM1591" s="25">
        <v>0</v>
      </c>
      <c r="BN1591" s="19">
        <v>1</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68000113</v>
      </c>
      <c r="D1592" s="35" t="s">
        <v>3114</v>
      </c>
      <c r="E1592" s="35" t="s">
        <v>3520</v>
      </c>
      <c r="F1592" s="32">
        <v>1</v>
      </c>
      <c r="G1592" s="32">
        <v>68000113</v>
      </c>
      <c r="H1592" s="32">
        <v>0</v>
      </c>
      <c r="I1592" s="31">
        <v>0</v>
      </c>
      <c r="J1592" s="32">
        <v>1</v>
      </c>
      <c r="K1592" s="32">
        <v>0</v>
      </c>
      <c r="L1592" s="32">
        <v>0</v>
      </c>
      <c r="M1592" s="32">
        <v>0</v>
      </c>
      <c r="N1592" s="32">
        <v>0</v>
      </c>
      <c r="O1592" s="32">
        <v>2</v>
      </c>
      <c r="P1592" s="32">
        <v>20</v>
      </c>
      <c r="Q1592" s="32">
        <v>1</v>
      </c>
      <c r="R1592" s="32">
        <v>0</v>
      </c>
      <c r="S1592" s="19">
        <v>0</v>
      </c>
      <c r="T1592" s="31">
        <v>0</v>
      </c>
      <c r="U1592" s="21">
        <v>1</v>
      </c>
      <c r="V1592" s="32">
        <v>2</v>
      </c>
      <c r="W1592" s="32">
        <v>0</v>
      </c>
      <c r="X1592" s="32">
        <v>0</v>
      </c>
      <c r="Y1592" s="19">
        <v>0</v>
      </c>
      <c r="Z1592" s="32">
        <v>0</v>
      </c>
      <c r="AA1592" s="32">
        <v>0</v>
      </c>
      <c r="AB1592" s="32">
        <v>0</v>
      </c>
      <c r="AC1592" s="32">
        <v>0</v>
      </c>
      <c r="AD1592" s="32">
        <v>1</v>
      </c>
      <c r="AE1592" s="32">
        <v>0</v>
      </c>
      <c r="AF1592" s="32">
        <v>6</v>
      </c>
      <c r="AG1592" s="32">
        <v>0</v>
      </c>
      <c r="AH1592" s="32">
        <v>0</v>
      </c>
      <c r="AI1592" s="19">
        <v>2</v>
      </c>
      <c r="AJ1592" s="19">
        <v>0</v>
      </c>
      <c r="AK1592" s="19">
        <v>0</v>
      </c>
      <c r="AL1592" s="19">
        <v>0</v>
      </c>
      <c r="AM1592" s="32">
        <v>0</v>
      </c>
      <c r="AN1592" s="32">
        <v>0</v>
      </c>
      <c r="AO1592" s="32">
        <v>0</v>
      </c>
      <c r="AP1592" s="32">
        <v>0</v>
      </c>
      <c r="AQ1592" s="32">
        <v>1000</v>
      </c>
      <c r="AR1592" s="32">
        <v>0</v>
      </c>
      <c r="AS1592" s="32">
        <v>0</v>
      </c>
      <c r="AT1592" s="19">
        <v>98001104</v>
      </c>
      <c r="AU1592" s="32" t="s">
        <v>204</v>
      </c>
      <c r="AV1592" s="32"/>
      <c r="AW1592" s="35" t="s">
        <v>205</v>
      </c>
      <c r="AX1592" s="32">
        <v>0</v>
      </c>
      <c r="AY1592" s="32">
        <v>0</v>
      </c>
      <c r="AZ1592" s="32">
        <v>0</v>
      </c>
      <c r="BA1592" s="35" t="s">
        <v>206</v>
      </c>
      <c r="BB1592" s="35" t="s">
        <v>204</v>
      </c>
      <c r="BC1592" s="31">
        <v>0</v>
      </c>
      <c r="BD1592" s="31">
        <v>0</v>
      </c>
      <c r="BE1592" s="60" t="s">
        <v>3521</v>
      </c>
      <c r="BF1592" s="60" t="s">
        <v>3522</v>
      </c>
      <c r="BG1592" s="32">
        <v>0</v>
      </c>
      <c r="BH1592" s="21">
        <v>0</v>
      </c>
      <c r="BI1592" s="32">
        <v>0</v>
      </c>
      <c r="BJ1592" s="32">
        <v>0</v>
      </c>
      <c r="BK1592" s="32">
        <v>0</v>
      </c>
      <c r="BL1592" s="32">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69000001</v>
      </c>
      <c r="D1593" s="94" t="s">
        <v>3523</v>
      </c>
      <c r="E1593" s="94" t="s">
        <v>3524</v>
      </c>
      <c r="F1593" s="25">
        <v>1</v>
      </c>
      <c r="G1593" s="32">
        <v>60090002</v>
      </c>
      <c r="H1593" s="25">
        <v>0</v>
      </c>
      <c r="I1593" s="26">
        <v>0</v>
      </c>
      <c r="J1593" s="25">
        <v>1</v>
      </c>
      <c r="K1593" s="25">
        <v>0</v>
      </c>
      <c r="L1593" s="26">
        <v>0</v>
      </c>
      <c r="M1593" s="26">
        <v>0</v>
      </c>
      <c r="N1593" s="25" t="s">
        <v>3525</v>
      </c>
      <c r="O1593" s="25">
        <v>3</v>
      </c>
      <c r="P1593" s="25">
        <v>0</v>
      </c>
      <c r="Q1593" s="25">
        <v>0</v>
      </c>
      <c r="R1593" s="25">
        <v>0</v>
      </c>
      <c r="S1593" s="19">
        <v>0</v>
      </c>
      <c r="T1593" s="25">
        <v>0</v>
      </c>
      <c r="U1593" s="21">
        <v>1</v>
      </c>
      <c r="V1593" s="25">
        <v>0</v>
      </c>
      <c r="W1593" s="26">
        <v>0</v>
      </c>
      <c r="X1593" s="25">
        <v>0</v>
      </c>
      <c r="Y1593" s="19">
        <v>0</v>
      </c>
      <c r="Z1593" s="25">
        <v>0</v>
      </c>
      <c r="AA1593" s="25">
        <v>0</v>
      </c>
      <c r="AB1593" s="25">
        <v>0</v>
      </c>
      <c r="AC1593" s="26">
        <v>0</v>
      </c>
      <c r="AD1593" s="25">
        <v>0</v>
      </c>
      <c r="AE1593" s="25">
        <v>0</v>
      </c>
      <c r="AF1593" s="25">
        <v>0</v>
      </c>
      <c r="AG1593" s="25">
        <v>0</v>
      </c>
      <c r="AH1593" s="25">
        <v>0</v>
      </c>
      <c r="AI1593" s="26">
        <v>0</v>
      </c>
      <c r="AJ1593" s="56">
        <v>0</v>
      </c>
      <c r="AK1593" s="19">
        <v>0</v>
      </c>
      <c r="AL1593" s="25">
        <v>0</v>
      </c>
      <c r="AM1593" s="27">
        <v>0</v>
      </c>
      <c r="AN1593" s="25">
        <v>0</v>
      </c>
      <c r="AO1593" s="25">
        <v>0</v>
      </c>
      <c r="AP1593" s="25">
        <v>0</v>
      </c>
      <c r="AQ1593" s="25">
        <v>0</v>
      </c>
      <c r="AR1593" s="25">
        <v>0</v>
      </c>
      <c r="AS1593" s="25">
        <v>0</v>
      </c>
      <c r="AT1593" s="19">
        <v>0</v>
      </c>
      <c r="AU1593" s="28">
        <v>0</v>
      </c>
      <c r="AV1593" s="28"/>
      <c r="AW1593" s="25">
        <v>0</v>
      </c>
      <c r="AX1593" s="26">
        <v>0</v>
      </c>
      <c r="AY1593" s="26">
        <v>0</v>
      </c>
      <c r="AZ1593" s="26">
        <v>0</v>
      </c>
      <c r="BA1593" s="35" t="s">
        <v>206</v>
      </c>
      <c r="BB1593" s="62">
        <v>0</v>
      </c>
      <c r="BC1593" s="31">
        <v>0</v>
      </c>
      <c r="BD1593" s="31">
        <v>1</v>
      </c>
      <c r="BE1593" s="254" t="s">
        <v>3526</v>
      </c>
      <c r="BF1593" s="254" t="s">
        <v>3527</v>
      </c>
      <c r="BG1593" s="25">
        <v>0</v>
      </c>
      <c r="BH1593" s="25">
        <v>0</v>
      </c>
      <c r="BI1593" s="32">
        <v>0</v>
      </c>
      <c r="BJ1593" s="25">
        <v>0</v>
      </c>
      <c r="BK1593" s="25">
        <v>0</v>
      </c>
      <c r="BL1593" s="27">
        <v>0</v>
      </c>
      <c r="BM1593" s="25">
        <v>0</v>
      </c>
      <c r="BN1593" s="19">
        <v>0</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69000002</v>
      </c>
      <c r="D1594" s="35" t="s">
        <v>3528</v>
      </c>
      <c r="E1594" s="35" t="s">
        <v>3529</v>
      </c>
      <c r="F1594" s="32">
        <v>1</v>
      </c>
      <c r="G1594" s="32">
        <v>68000110</v>
      </c>
      <c r="H1594" s="32">
        <v>0</v>
      </c>
      <c r="I1594" s="31">
        <v>0</v>
      </c>
      <c r="J1594" s="25">
        <v>1</v>
      </c>
      <c r="K1594" s="32">
        <v>0</v>
      </c>
      <c r="L1594" s="32">
        <v>0</v>
      </c>
      <c r="M1594" s="32">
        <v>0</v>
      </c>
      <c r="N1594" s="32">
        <v>0</v>
      </c>
      <c r="O1594" s="32">
        <v>2</v>
      </c>
      <c r="P1594" s="32">
        <v>1</v>
      </c>
      <c r="Q1594" s="32">
        <v>0.05</v>
      </c>
      <c r="R1594" s="32">
        <v>0</v>
      </c>
      <c r="S1594" s="19">
        <v>0</v>
      </c>
      <c r="T1594" s="31">
        <v>0</v>
      </c>
      <c r="U1594" s="21">
        <v>1</v>
      </c>
      <c r="V1594" s="32">
        <v>2</v>
      </c>
      <c r="W1594" s="32">
        <v>0</v>
      </c>
      <c r="X1594" s="32">
        <v>0</v>
      </c>
      <c r="Y1594" s="19">
        <v>0</v>
      </c>
      <c r="Z1594" s="32">
        <v>0</v>
      </c>
      <c r="AA1594" s="32">
        <v>0</v>
      </c>
      <c r="AB1594" s="32">
        <v>0</v>
      </c>
      <c r="AC1594" s="32">
        <v>0</v>
      </c>
      <c r="AD1594" s="32">
        <v>1</v>
      </c>
      <c r="AE1594" s="32">
        <v>0</v>
      </c>
      <c r="AF1594" s="32">
        <v>18</v>
      </c>
      <c r="AG1594" s="32">
        <v>0</v>
      </c>
      <c r="AH1594" s="32">
        <v>0</v>
      </c>
      <c r="AI1594" s="19">
        <v>2</v>
      </c>
      <c r="AJ1594" s="19">
        <v>0</v>
      </c>
      <c r="AK1594" s="19">
        <v>0</v>
      </c>
      <c r="AL1594" s="19">
        <v>0</v>
      </c>
      <c r="AM1594" s="32">
        <v>0</v>
      </c>
      <c r="AN1594" s="32">
        <v>0</v>
      </c>
      <c r="AO1594" s="32">
        <v>0</v>
      </c>
      <c r="AP1594" s="32">
        <v>0</v>
      </c>
      <c r="AQ1594" s="32">
        <v>1000</v>
      </c>
      <c r="AR1594" s="32">
        <v>0</v>
      </c>
      <c r="AS1594" s="32">
        <v>0</v>
      </c>
      <c r="AT1594" s="253">
        <v>69000021</v>
      </c>
      <c r="AU1594" s="32" t="s">
        <v>204</v>
      </c>
      <c r="AV1594" s="32"/>
      <c r="AW1594" s="35" t="s">
        <v>205</v>
      </c>
      <c r="AX1594" s="32">
        <v>0</v>
      </c>
      <c r="AY1594" s="32">
        <v>0</v>
      </c>
      <c r="AZ1594" s="32">
        <v>0</v>
      </c>
      <c r="BA1594" s="35" t="s">
        <v>206</v>
      </c>
      <c r="BB1594" s="35" t="s">
        <v>204</v>
      </c>
      <c r="BC1594" s="31">
        <v>0</v>
      </c>
      <c r="BD1594" s="31">
        <v>1</v>
      </c>
      <c r="BE1594" s="60" t="s">
        <v>3530</v>
      </c>
      <c r="BF1594" s="60" t="s">
        <v>3531</v>
      </c>
      <c r="BG1594" s="32">
        <v>0</v>
      </c>
      <c r="BH1594" s="21">
        <v>0</v>
      </c>
      <c r="BI1594" s="32">
        <v>0</v>
      </c>
      <c r="BJ1594" s="32">
        <v>0</v>
      </c>
      <c r="BK1594" s="32">
        <v>0</v>
      </c>
      <c r="BL1594" s="32">
        <v>0</v>
      </c>
      <c r="BM1594" s="25">
        <v>0</v>
      </c>
      <c r="BN1594" s="19">
        <v>1</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69000003</v>
      </c>
      <c r="D1595" s="94" t="s">
        <v>3532</v>
      </c>
      <c r="E1595" s="94" t="s">
        <v>3533</v>
      </c>
      <c r="F1595" s="25">
        <v>1</v>
      </c>
      <c r="G1595" s="32">
        <v>60090002</v>
      </c>
      <c r="H1595" s="25">
        <v>0</v>
      </c>
      <c r="I1595" s="26">
        <v>0</v>
      </c>
      <c r="J1595" s="25">
        <v>1</v>
      </c>
      <c r="K1595" s="25">
        <v>0</v>
      </c>
      <c r="L1595" s="26">
        <v>0</v>
      </c>
      <c r="M1595" s="26">
        <v>0</v>
      </c>
      <c r="N1595" s="25" t="s">
        <v>3534</v>
      </c>
      <c r="O1595" s="25">
        <v>3</v>
      </c>
      <c r="P1595" s="25">
        <v>0</v>
      </c>
      <c r="Q1595" s="25">
        <v>0</v>
      </c>
      <c r="R1595" s="25">
        <v>0</v>
      </c>
      <c r="S1595" s="19">
        <v>0</v>
      </c>
      <c r="T1595" s="25">
        <v>0</v>
      </c>
      <c r="U1595" s="21">
        <v>1</v>
      </c>
      <c r="V1595" s="25">
        <v>0</v>
      </c>
      <c r="W1595" s="26">
        <v>0</v>
      </c>
      <c r="X1595" s="25">
        <v>0</v>
      </c>
      <c r="Y1595" s="19">
        <v>0</v>
      </c>
      <c r="Z1595" s="25">
        <v>0</v>
      </c>
      <c r="AA1595" s="25">
        <v>0</v>
      </c>
      <c r="AB1595" s="25">
        <v>0</v>
      </c>
      <c r="AC1595" s="26">
        <v>0</v>
      </c>
      <c r="AD1595" s="25">
        <v>0</v>
      </c>
      <c r="AE1595" s="25">
        <v>0</v>
      </c>
      <c r="AF1595" s="25">
        <v>0</v>
      </c>
      <c r="AG1595" s="25">
        <v>0</v>
      </c>
      <c r="AH1595" s="25">
        <v>0</v>
      </c>
      <c r="AI1595" s="26">
        <v>0</v>
      </c>
      <c r="AJ1595" s="56">
        <v>0</v>
      </c>
      <c r="AK1595" s="19">
        <v>0</v>
      </c>
      <c r="AL1595" s="25">
        <v>0</v>
      </c>
      <c r="AM1595" s="27">
        <v>0</v>
      </c>
      <c r="AN1595" s="25">
        <v>0</v>
      </c>
      <c r="AO1595" s="25">
        <v>0</v>
      </c>
      <c r="AP1595" s="25">
        <v>0</v>
      </c>
      <c r="AQ1595" s="25">
        <v>0</v>
      </c>
      <c r="AR1595" s="25">
        <v>0</v>
      </c>
      <c r="AS1595" s="25">
        <v>0</v>
      </c>
      <c r="AT1595" s="19">
        <v>0</v>
      </c>
      <c r="AU1595" s="28">
        <v>0</v>
      </c>
      <c r="AV1595" s="28"/>
      <c r="AW1595" s="25">
        <v>0</v>
      </c>
      <c r="AX1595" s="26">
        <v>0</v>
      </c>
      <c r="AY1595" s="26">
        <v>0</v>
      </c>
      <c r="AZ1595" s="26">
        <v>0</v>
      </c>
      <c r="BA1595" s="35" t="s">
        <v>206</v>
      </c>
      <c r="BB1595" s="62">
        <v>0</v>
      </c>
      <c r="BC1595" s="31">
        <v>0</v>
      </c>
      <c r="BD1595" s="31">
        <v>1</v>
      </c>
      <c r="BE1595" s="254" t="s">
        <v>3526</v>
      </c>
      <c r="BF1595" s="254" t="s">
        <v>3527</v>
      </c>
      <c r="BG1595" s="25">
        <v>0</v>
      </c>
      <c r="BH1595" s="25">
        <v>0</v>
      </c>
      <c r="BI1595" s="32">
        <v>0</v>
      </c>
      <c r="BJ1595" s="25">
        <v>0</v>
      </c>
      <c r="BK1595" s="25">
        <v>0</v>
      </c>
      <c r="BL1595" s="27">
        <v>0</v>
      </c>
      <c r="BM1595" s="25">
        <v>0</v>
      </c>
      <c r="BN1595" s="19">
        <v>0</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69000004</v>
      </c>
      <c r="D1596" s="35" t="s">
        <v>3535</v>
      </c>
      <c r="E1596" s="35" t="s">
        <v>3536</v>
      </c>
      <c r="F1596" s="32">
        <v>1</v>
      </c>
      <c r="G1596" s="32">
        <v>68000110</v>
      </c>
      <c r="H1596" s="32">
        <v>0</v>
      </c>
      <c r="I1596" s="31">
        <v>0</v>
      </c>
      <c r="J1596" s="25">
        <v>1</v>
      </c>
      <c r="K1596" s="32">
        <v>0</v>
      </c>
      <c r="L1596" s="32">
        <v>0</v>
      </c>
      <c r="M1596" s="32">
        <v>0</v>
      </c>
      <c r="N1596" s="32">
        <v>0</v>
      </c>
      <c r="O1596" s="32">
        <v>2</v>
      </c>
      <c r="P1596" s="32">
        <v>3</v>
      </c>
      <c r="Q1596" s="32">
        <v>0.2</v>
      </c>
      <c r="R1596" s="32">
        <v>0</v>
      </c>
      <c r="S1596" s="19">
        <v>0</v>
      </c>
      <c r="T1596" s="31">
        <v>0</v>
      </c>
      <c r="U1596" s="21">
        <v>1</v>
      </c>
      <c r="V1596" s="32">
        <v>2</v>
      </c>
      <c r="W1596" s="32">
        <v>0</v>
      </c>
      <c r="X1596" s="32">
        <v>0</v>
      </c>
      <c r="Y1596" s="19">
        <v>0</v>
      </c>
      <c r="Z1596" s="32">
        <v>0</v>
      </c>
      <c r="AA1596" s="32">
        <v>0</v>
      </c>
      <c r="AB1596" s="32">
        <v>0</v>
      </c>
      <c r="AC1596" s="32">
        <v>0</v>
      </c>
      <c r="AD1596" s="32">
        <v>1</v>
      </c>
      <c r="AE1596" s="32">
        <v>0</v>
      </c>
      <c r="AF1596" s="32">
        <v>18</v>
      </c>
      <c r="AG1596" s="32">
        <v>0</v>
      </c>
      <c r="AH1596" s="32">
        <v>0</v>
      </c>
      <c r="AI1596" s="19">
        <v>2</v>
      </c>
      <c r="AJ1596" s="19">
        <v>0</v>
      </c>
      <c r="AK1596" s="19">
        <v>0</v>
      </c>
      <c r="AL1596" s="19">
        <v>0</v>
      </c>
      <c r="AM1596" s="32">
        <v>0</v>
      </c>
      <c r="AN1596" s="32">
        <v>0</v>
      </c>
      <c r="AO1596" s="32">
        <v>0</v>
      </c>
      <c r="AP1596" s="32">
        <v>0</v>
      </c>
      <c r="AQ1596" s="32">
        <v>1000</v>
      </c>
      <c r="AR1596" s="32">
        <v>0</v>
      </c>
      <c r="AS1596" s="32">
        <v>0</v>
      </c>
      <c r="AT1596" s="253">
        <v>69000041</v>
      </c>
      <c r="AU1596" s="32" t="s">
        <v>204</v>
      </c>
      <c r="AV1596" s="32"/>
      <c r="AW1596" s="35" t="s">
        <v>205</v>
      </c>
      <c r="AX1596" s="32">
        <v>0</v>
      </c>
      <c r="AY1596" s="32">
        <v>0</v>
      </c>
      <c r="AZ1596" s="32">
        <v>0</v>
      </c>
      <c r="BA1596" s="35" t="s">
        <v>206</v>
      </c>
      <c r="BB1596" s="35" t="s">
        <v>204</v>
      </c>
      <c r="BC1596" s="31">
        <v>0</v>
      </c>
      <c r="BD1596" s="31">
        <v>1</v>
      </c>
      <c r="BE1596" s="22" t="s">
        <v>3537</v>
      </c>
      <c r="BF1596" s="22" t="s">
        <v>3538</v>
      </c>
      <c r="BG1596" s="32">
        <v>0</v>
      </c>
      <c r="BH1596" s="21">
        <v>0</v>
      </c>
      <c r="BI1596" s="32">
        <v>0</v>
      </c>
      <c r="BJ1596" s="32">
        <v>0</v>
      </c>
      <c r="BK1596" s="32">
        <v>0</v>
      </c>
      <c r="BL1596" s="32">
        <v>0</v>
      </c>
      <c r="BM1596" s="25">
        <v>0</v>
      </c>
      <c r="BN1596" s="19">
        <v>1</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69000005</v>
      </c>
      <c r="D1597" s="94" t="s">
        <v>3539</v>
      </c>
      <c r="E1597" s="94" t="s">
        <v>3540</v>
      </c>
      <c r="F1597" s="25">
        <v>1</v>
      </c>
      <c r="G1597" s="32">
        <v>60090002</v>
      </c>
      <c r="H1597" s="25">
        <v>0</v>
      </c>
      <c r="I1597" s="26">
        <v>0</v>
      </c>
      <c r="J1597" s="25">
        <v>1</v>
      </c>
      <c r="K1597" s="25">
        <v>0</v>
      </c>
      <c r="L1597" s="26">
        <v>0</v>
      </c>
      <c r="M1597" s="26">
        <v>0</v>
      </c>
      <c r="N1597" s="25" t="s">
        <v>3541</v>
      </c>
      <c r="O1597" s="25">
        <v>3</v>
      </c>
      <c r="P1597" s="25">
        <v>0</v>
      </c>
      <c r="Q1597" s="25">
        <v>0</v>
      </c>
      <c r="R1597" s="25">
        <v>0</v>
      </c>
      <c r="S1597" s="19">
        <v>0</v>
      </c>
      <c r="T1597" s="25">
        <v>0</v>
      </c>
      <c r="U1597" s="21">
        <v>1</v>
      </c>
      <c r="V1597" s="25">
        <v>0</v>
      </c>
      <c r="W1597" s="26">
        <v>0</v>
      </c>
      <c r="X1597" s="25">
        <v>0</v>
      </c>
      <c r="Y1597" s="19">
        <v>0</v>
      </c>
      <c r="Z1597" s="25">
        <v>0</v>
      </c>
      <c r="AA1597" s="25">
        <v>0</v>
      </c>
      <c r="AB1597" s="25">
        <v>0</v>
      </c>
      <c r="AC1597" s="26">
        <v>0</v>
      </c>
      <c r="AD1597" s="25">
        <v>0</v>
      </c>
      <c r="AE1597" s="25">
        <v>0</v>
      </c>
      <c r="AF1597" s="25">
        <v>0</v>
      </c>
      <c r="AG1597" s="25">
        <v>0</v>
      </c>
      <c r="AH1597" s="25">
        <v>0</v>
      </c>
      <c r="AI1597" s="26">
        <v>0</v>
      </c>
      <c r="AJ1597" s="56">
        <v>0</v>
      </c>
      <c r="AK1597" s="19">
        <v>0</v>
      </c>
      <c r="AL1597" s="25">
        <v>0</v>
      </c>
      <c r="AM1597" s="27">
        <v>0</v>
      </c>
      <c r="AN1597" s="25">
        <v>0</v>
      </c>
      <c r="AO1597" s="25">
        <v>0</v>
      </c>
      <c r="AP1597" s="25">
        <v>0</v>
      </c>
      <c r="AQ1597" s="25">
        <v>0</v>
      </c>
      <c r="AR1597" s="25">
        <v>0</v>
      </c>
      <c r="AS1597" s="25">
        <v>0</v>
      </c>
      <c r="AT1597" s="19">
        <v>0</v>
      </c>
      <c r="AU1597" s="28">
        <v>0</v>
      </c>
      <c r="AV1597" s="28"/>
      <c r="AW1597" s="25">
        <v>0</v>
      </c>
      <c r="AX1597" s="26">
        <v>0</v>
      </c>
      <c r="AY1597" s="26">
        <v>0</v>
      </c>
      <c r="AZ1597" s="26">
        <v>0</v>
      </c>
      <c r="BA1597" s="35" t="s">
        <v>206</v>
      </c>
      <c r="BB1597" s="62">
        <v>0</v>
      </c>
      <c r="BC1597" s="31">
        <v>0</v>
      </c>
      <c r="BD1597" s="31">
        <v>1</v>
      </c>
      <c r="BE1597" s="254" t="s">
        <v>3526</v>
      </c>
      <c r="BF1597" s="254" t="s">
        <v>3527</v>
      </c>
      <c r="BG1597" s="25">
        <v>0</v>
      </c>
      <c r="BH1597" s="25">
        <v>0</v>
      </c>
      <c r="BI1597" s="32">
        <v>0</v>
      </c>
      <c r="BJ1597" s="25">
        <v>0</v>
      </c>
      <c r="BK1597" s="25">
        <v>0</v>
      </c>
      <c r="BL1597" s="27">
        <v>0</v>
      </c>
      <c r="BM1597" s="25">
        <v>0</v>
      </c>
      <c r="BN1597" s="19">
        <v>0</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69000006</v>
      </c>
      <c r="D1598" s="20" t="s">
        <v>3542</v>
      </c>
      <c r="E1598" s="20" t="s">
        <v>3543</v>
      </c>
      <c r="F1598" s="32">
        <v>1</v>
      </c>
      <c r="G1598" s="32">
        <v>66001007</v>
      </c>
      <c r="H1598" s="19">
        <v>0</v>
      </c>
      <c r="I1598" s="19">
        <v>0</v>
      </c>
      <c r="J1598" s="25">
        <v>1</v>
      </c>
      <c r="K1598" s="32">
        <v>0</v>
      </c>
      <c r="L1598" s="19">
        <v>0</v>
      </c>
      <c r="M1598" s="19">
        <v>0</v>
      </c>
      <c r="N1598" s="19">
        <v>0</v>
      </c>
      <c r="O1598" s="19">
        <v>2</v>
      </c>
      <c r="P1598" s="19">
        <v>3</v>
      </c>
      <c r="Q1598" s="19">
        <v>0.05</v>
      </c>
      <c r="R1598" s="19">
        <v>0</v>
      </c>
      <c r="S1598" s="19">
        <v>0</v>
      </c>
      <c r="T1598" s="19">
        <v>0</v>
      </c>
      <c r="U1598" s="21">
        <v>1</v>
      </c>
      <c r="V1598" s="19">
        <v>2</v>
      </c>
      <c r="W1598" s="19">
        <v>1000</v>
      </c>
      <c r="X1598" s="19">
        <v>0</v>
      </c>
      <c r="Y1598" s="19">
        <v>0</v>
      </c>
      <c r="Z1598" s="19">
        <v>0</v>
      </c>
      <c r="AA1598" s="19">
        <v>0</v>
      </c>
      <c r="AB1598" s="19">
        <v>0</v>
      </c>
      <c r="AC1598" s="19">
        <v>0</v>
      </c>
      <c r="AD1598" s="32">
        <v>0</v>
      </c>
      <c r="AE1598" s="19">
        <v>0</v>
      </c>
      <c r="AF1598" s="19">
        <v>15</v>
      </c>
      <c r="AG1598" s="19">
        <v>0</v>
      </c>
      <c r="AH1598" s="19">
        <v>0</v>
      </c>
      <c r="AI1598" s="19">
        <v>7</v>
      </c>
      <c r="AJ1598" s="19">
        <v>0</v>
      </c>
      <c r="AK1598" s="19">
        <v>0</v>
      </c>
      <c r="AL1598" s="19">
        <v>6</v>
      </c>
      <c r="AM1598" s="19">
        <v>0</v>
      </c>
      <c r="AN1598" s="19">
        <v>0</v>
      </c>
      <c r="AO1598" s="19">
        <v>0</v>
      </c>
      <c r="AP1598" s="19">
        <v>0.5</v>
      </c>
      <c r="AQ1598" s="19">
        <v>1000</v>
      </c>
      <c r="AR1598" s="19">
        <v>0</v>
      </c>
      <c r="AS1598" s="19">
        <v>0</v>
      </c>
      <c r="AT1598" s="19">
        <v>0</v>
      </c>
      <c r="AU1598" s="19" t="s">
        <v>204</v>
      </c>
      <c r="AV1598" s="19"/>
      <c r="AW1598" s="20" t="s">
        <v>262</v>
      </c>
      <c r="AX1598" s="19" t="s">
        <v>1802</v>
      </c>
      <c r="AY1598" s="19" t="s">
        <v>204</v>
      </c>
      <c r="AZ1598" s="19" t="s">
        <v>2030</v>
      </c>
      <c r="BA1598" s="20" t="s">
        <v>206</v>
      </c>
      <c r="BB1598" s="19">
        <v>0</v>
      </c>
      <c r="BC1598" s="31">
        <v>0</v>
      </c>
      <c r="BD1598" s="31">
        <v>1</v>
      </c>
      <c r="BE1598" s="22" t="s">
        <v>3544</v>
      </c>
      <c r="BF1598" s="22" t="s">
        <v>3545</v>
      </c>
      <c r="BG1598" s="19">
        <v>0</v>
      </c>
      <c r="BH1598" s="21">
        <v>0</v>
      </c>
      <c r="BI1598" s="19">
        <v>0</v>
      </c>
      <c r="BJ1598" s="19">
        <v>0</v>
      </c>
      <c r="BK1598" s="19">
        <v>0</v>
      </c>
      <c r="BL1598" s="19">
        <v>0</v>
      </c>
      <c r="BM1598" s="25">
        <v>0</v>
      </c>
      <c r="BN1598" s="19">
        <v>1</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69000007</v>
      </c>
      <c r="D1599" s="20" t="s">
        <v>3546</v>
      </c>
      <c r="E1599" s="20" t="s">
        <v>3547</v>
      </c>
      <c r="F1599" s="32">
        <v>1</v>
      </c>
      <c r="G1599" s="32">
        <v>68000110</v>
      </c>
      <c r="H1599" s="32">
        <v>0</v>
      </c>
      <c r="I1599" s="31">
        <v>0</v>
      </c>
      <c r="J1599" s="25">
        <v>1</v>
      </c>
      <c r="K1599" s="32">
        <v>0</v>
      </c>
      <c r="L1599" s="32">
        <v>0</v>
      </c>
      <c r="M1599" s="32">
        <v>0</v>
      </c>
      <c r="N1599" s="32">
        <v>0</v>
      </c>
      <c r="O1599" s="32">
        <v>2</v>
      </c>
      <c r="P1599" s="32">
        <v>1</v>
      </c>
      <c r="Q1599" s="32">
        <v>0.05</v>
      </c>
      <c r="R1599" s="32">
        <v>0</v>
      </c>
      <c r="S1599" s="19">
        <v>0</v>
      </c>
      <c r="T1599" s="31">
        <v>0</v>
      </c>
      <c r="U1599" s="21">
        <v>1</v>
      </c>
      <c r="V1599" s="32">
        <v>2</v>
      </c>
      <c r="W1599" s="32">
        <v>0</v>
      </c>
      <c r="X1599" s="32">
        <v>0</v>
      </c>
      <c r="Y1599" s="19">
        <v>0</v>
      </c>
      <c r="Z1599" s="32">
        <v>0</v>
      </c>
      <c r="AA1599" s="32">
        <v>0</v>
      </c>
      <c r="AB1599" s="32">
        <v>0</v>
      </c>
      <c r="AC1599" s="32">
        <v>0</v>
      </c>
      <c r="AD1599" s="32">
        <v>1</v>
      </c>
      <c r="AE1599" s="32">
        <v>0</v>
      </c>
      <c r="AF1599" s="32">
        <v>18</v>
      </c>
      <c r="AG1599" s="32">
        <v>0</v>
      </c>
      <c r="AH1599" s="32">
        <v>0</v>
      </c>
      <c r="AI1599" s="19">
        <v>2</v>
      </c>
      <c r="AJ1599" s="19">
        <v>0</v>
      </c>
      <c r="AK1599" s="19">
        <v>0</v>
      </c>
      <c r="AL1599" s="19">
        <v>0</v>
      </c>
      <c r="AM1599" s="32">
        <v>0</v>
      </c>
      <c r="AN1599" s="32">
        <v>0</v>
      </c>
      <c r="AO1599" s="32">
        <v>0</v>
      </c>
      <c r="AP1599" s="32">
        <v>0</v>
      </c>
      <c r="AQ1599" s="32">
        <v>1000</v>
      </c>
      <c r="AR1599" s="32">
        <v>0</v>
      </c>
      <c r="AS1599" s="32">
        <v>0</v>
      </c>
      <c r="AT1599" s="253">
        <v>69000071</v>
      </c>
      <c r="AU1599" s="32" t="s">
        <v>204</v>
      </c>
      <c r="AV1599" s="32"/>
      <c r="AW1599" s="35" t="s">
        <v>205</v>
      </c>
      <c r="AX1599" s="32">
        <v>0</v>
      </c>
      <c r="AY1599" s="32">
        <v>0</v>
      </c>
      <c r="AZ1599" s="32">
        <v>0</v>
      </c>
      <c r="BA1599" s="35" t="s">
        <v>206</v>
      </c>
      <c r="BB1599" s="35" t="s">
        <v>204</v>
      </c>
      <c r="BC1599" s="31">
        <v>0</v>
      </c>
      <c r="BD1599" s="31">
        <v>1</v>
      </c>
      <c r="BE1599" s="22" t="s">
        <v>3548</v>
      </c>
      <c r="BF1599" s="22" t="s">
        <v>3549</v>
      </c>
      <c r="BG1599" s="32">
        <v>0</v>
      </c>
      <c r="BH1599" s="21">
        <v>0</v>
      </c>
      <c r="BI1599" s="32">
        <v>0</v>
      </c>
      <c r="BJ1599" s="32">
        <v>0</v>
      </c>
      <c r="BK1599" s="32">
        <v>0</v>
      </c>
      <c r="BL1599" s="32">
        <v>0</v>
      </c>
      <c r="BM1599" s="25">
        <v>0</v>
      </c>
      <c r="BN1599" s="19">
        <v>1</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69000008</v>
      </c>
      <c r="D1600" s="94" t="s">
        <v>3550</v>
      </c>
      <c r="E1600" s="94" t="s">
        <v>3551</v>
      </c>
      <c r="F1600" s="25">
        <v>1</v>
      </c>
      <c r="G1600" s="32">
        <v>60090002</v>
      </c>
      <c r="H1600" s="25">
        <v>0</v>
      </c>
      <c r="I1600" s="26">
        <v>0</v>
      </c>
      <c r="J1600" s="25">
        <v>1</v>
      </c>
      <c r="K1600" s="25">
        <v>0</v>
      </c>
      <c r="L1600" s="26">
        <v>0</v>
      </c>
      <c r="M1600" s="26">
        <v>0</v>
      </c>
      <c r="N1600" s="25" t="s">
        <v>3552</v>
      </c>
      <c r="O1600" s="25">
        <v>3</v>
      </c>
      <c r="P1600" s="25">
        <v>0</v>
      </c>
      <c r="Q1600" s="25">
        <v>0</v>
      </c>
      <c r="R1600" s="25">
        <v>0</v>
      </c>
      <c r="S1600" s="19">
        <v>0</v>
      </c>
      <c r="T1600" s="25">
        <v>0</v>
      </c>
      <c r="U1600" s="21">
        <v>1</v>
      </c>
      <c r="V1600" s="25">
        <v>0</v>
      </c>
      <c r="W1600" s="26">
        <v>0</v>
      </c>
      <c r="X1600" s="25">
        <v>0</v>
      </c>
      <c r="Y1600" s="19">
        <v>0</v>
      </c>
      <c r="Z1600" s="25">
        <v>0</v>
      </c>
      <c r="AA1600" s="25">
        <v>0</v>
      </c>
      <c r="AB1600" s="25">
        <v>0</v>
      </c>
      <c r="AC1600" s="26">
        <v>0</v>
      </c>
      <c r="AD1600" s="25">
        <v>0</v>
      </c>
      <c r="AE1600" s="25">
        <v>0</v>
      </c>
      <c r="AF1600" s="25">
        <v>0</v>
      </c>
      <c r="AG1600" s="25">
        <v>0</v>
      </c>
      <c r="AH1600" s="25">
        <v>0</v>
      </c>
      <c r="AI1600" s="26">
        <v>0</v>
      </c>
      <c r="AJ1600" s="56">
        <v>0</v>
      </c>
      <c r="AK1600" s="19">
        <v>0</v>
      </c>
      <c r="AL1600" s="25">
        <v>0</v>
      </c>
      <c r="AM1600" s="27">
        <v>0</v>
      </c>
      <c r="AN1600" s="25">
        <v>0</v>
      </c>
      <c r="AO1600" s="25">
        <v>0</v>
      </c>
      <c r="AP1600" s="25">
        <v>0</v>
      </c>
      <c r="AQ1600" s="25">
        <v>0</v>
      </c>
      <c r="AR1600" s="25">
        <v>0</v>
      </c>
      <c r="AS1600" s="25">
        <v>0</v>
      </c>
      <c r="AT1600" s="19">
        <v>0</v>
      </c>
      <c r="AU1600" s="28">
        <v>0</v>
      </c>
      <c r="AV1600" s="28"/>
      <c r="AW1600" s="25">
        <v>0</v>
      </c>
      <c r="AX1600" s="26">
        <v>0</v>
      </c>
      <c r="AY1600" s="26">
        <v>0</v>
      </c>
      <c r="AZ1600" s="26">
        <v>0</v>
      </c>
      <c r="BA1600" s="35" t="s">
        <v>206</v>
      </c>
      <c r="BB1600" s="62">
        <v>0</v>
      </c>
      <c r="BC1600" s="31">
        <v>0</v>
      </c>
      <c r="BD1600" s="31">
        <v>1</v>
      </c>
      <c r="BE1600" s="254" t="s">
        <v>3526</v>
      </c>
      <c r="BF1600" s="254" t="s">
        <v>3527</v>
      </c>
      <c r="BG1600" s="25">
        <v>0</v>
      </c>
      <c r="BH1600" s="25">
        <v>0</v>
      </c>
      <c r="BI1600" s="32">
        <v>0</v>
      </c>
      <c r="BJ1600" s="25">
        <v>0</v>
      </c>
      <c r="BK1600" s="25">
        <v>0</v>
      </c>
      <c r="BL1600" s="27">
        <v>0</v>
      </c>
      <c r="BM1600" s="25">
        <v>0</v>
      </c>
      <c r="BN1600" s="19">
        <v>0</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69000009</v>
      </c>
      <c r="D1601" s="94" t="s">
        <v>3553</v>
      </c>
      <c r="E1601" s="94" t="s">
        <v>3554</v>
      </c>
      <c r="F1601" s="25">
        <v>1</v>
      </c>
      <c r="G1601" s="32">
        <v>60090002</v>
      </c>
      <c r="H1601" s="25">
        <v>0</v>
      </c>
      <c r="I1601" s="26">
        <v>0</v>
      </c>
      <c r="J1601" s="25">
        <v>1</v>
      </c>
      <c r="K1601" s="25">
        <v>0</v>
      </c>
      <c r="L1601" s="26">
        <v>0</v>
      </c>
      <c r="M1601" s="26">
        <v>0</v>
      </c>
      <c r="N1601" s="25" t="s">
        <v>3552</v>
      </c>
      <c r="O1601" s="25">
        <v>3</v>
      </c>
      <c r="P1601" s="25">
        <v>0</v>
      </c>
      <c r="Q1601" s="25">
        <v>0</v>
      </c>
      <c r="R1601" s="25">
        <v>0</v>
      </c>
      <c r="S1601" s="19">
        <v>0</v>
      </c>
      <c r="T1601" s="25">
        <v>0</v>
      </c>
      <c r="U1601" s="21">
        <v>1</v>
      </c>
      <c r="V1601" s="25">
        <v>0</v>
      </c>
      <c r="W1601" s="26">
        <v>0</v>
      </c>
      <c r="X1601" s="25">
        <v>0</v>
      </c>
      <c r="Y1601" s="19">
        <v>0</v>
      </c>
      <c r="Z1601" s="25">
        <v>0</v>
      </c>
      <c r="AA1601" s="25">
        <v>0</v>
      </c>
      <c r="AB1601" s="25">
        <v>0</v>
      </c>
      <c r="AC1601" s="26">
        <v>0</v>
      </c>
      <c r="AD1601" s="25">
        <v>0</v>
      </c>
      <c r="AE1601" s="25">
        <v>0</v>
      </c>
      <c r="AF1601" s="25">
        <v>0</v>
      </c>
      <c r="AG1601" s="25">
        <v>0</v>
      </c>
      <c r="AH1601" s="25">
        <v>0</v>
      </c>
      <c r="AI1601" s="26">
        <v>0</v>
      </c>
      <c r="AJ1601" s="56">
        <v>0</v>
      </c>
      <c r="AK1601" s="19">
        <v>0</v>
      </c>
      <c r="AL1601" s="25">
        <v>0</v>
      </c>
      <c r="AM1601" s="27">
        <v>0</v>
      </c>
      <c r="AN1601" s="25">
        <v>0</v>
      </c>
      <c r="AO1601" s="25">
        <v>0</v>
      </c>
      <c r="AP1601" s="25">
        <v>0</v>
      </c>
      <c r="AQ1601" s="25">
        <v>0</v>
      </c>
      <c r="AR1601" s="25">
        <v>0</v>
      </c>
      <c r="AS1601" s="25">
        <v>0</v>
      </c>
      <c r="AT1601" s="19">
        <v>0</v>
      </c>
      <c r="AU1601" s="28">
        <v>0</v>
      </c>
      <c r="AV1601" s="28"/>
      <c r="AW1601" s="25">
        <v>0</v>
      </c>
      <c r="AX1601" s="26">
        <v>0</v>
      </c>
      <c r="AY1601" s="26">
        <v>0</v>
      </c>
      <c r="AZ1601" s="26">
        <v>0</v>
      </c>
      <c r="BA1601" s="35" t="s">
        <v>206</v>
      </c>
      <c r="BB1601" s="62">
        <v>0</v>
      </c>
      <c r="BC1601" s="31">
        <v>0</v>
      </c>
      <c r="BD1601" s="31">
        <v>1</v>
      </c>
      <c r="BE1601" s="254" t="s">
        <v>3526</v>
      </c>
      <c r="BF1601" s="254" t="s">
        <v>3527</v>
      </c>
      <c r="BG1601" s="25">
        <v>0</v>
      </c>
      <c r="BH1601" s="25">
        <v>0</v>
      </c>
      <c r="BI1601" s="32">
        <v>0</v>
      </c>
      <c r="BJ1601" s="25">
        <v>0</v>
      </c>
      <c r="BK1601" s="25">
        <v>0</v>
      </c>
      <c r="BL1601" s="27">
        <v>0</v>
      </c>
      <c r="BM1601" s="25">
        <v>0</v>
      </c>
      <c r="BN1601" s="19">
        <v>0</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69000010</v>
      </c>
      <c r="D1602" s="35" t="s">
        <v>3555</v>
      </c>
      <c r="E1602" s="35" t="s">
        <v>3556</v>
      </c>
      <c r="F1602" s="32">
        <v>1</v>
      </c>
      <c r="G1602" s="32">
        <v>68000110</v>
      </c>
      <c r="H1602" s="32">
        <v>0</v>
      </c>
      <c r="I1602" s="31">
        <v>0</v>
      </c>
      <c r="J1602" s="25">
        <v>1</v>
      </c>
      <c r="K1602" s="32">
        <v>0</v>
      </c>
      <c r="L1602" s="32">
        <v>0</v>
      </c>
      <c r="M1602" s="32">
        <v>0</v>
      </c>
      <c r="N1602" s="32">
        <v>0</v>
      </c>
      <c r="O1602" s="32">
        <v>2</v>
      </c>
      <c r="P1602" s="32">
        <v>3</v>
      </c>
      <c r="Q1602" s="32">
        <v>0.05</v>
      </c>
      <c r="R1602" s="32">
        <v>0</v>
      </c>
      <c r="S1602" s="19">
        <v>0</v>
      </c>
      <c r="T1602" s="31">
        <v>0</v>
      </c>
      <c r="U1602" s="21">
        <v>1</v>
      </c>
      <c r="V1602" s="32">
        <v>2</v>
      </c>
      <c r="W1602" s="32">
        <v>0</v>
      </c>
      <c r="X1602" s="32">
        <v>0</v>
      </c>
      <c r="Y1602" s="19">
        <v>0</v>
      </c>
      <c r="Z1602" s="32">
        <v>0</v>
      </c>
      <c r="AA1602" s="32">
        <v>0</v>
      </c>
      <c r="AB1602" s="32">
        <v>0</v>
      </c>
      <c r="AC1602" s="32">
        <v>0</v>
      </c>
      <c r="AD1602" s="32">
        <v>1</v>
      </c>
      <c r="AE1602" s="32">
        <v>0</v>
      </c>
      <c r="AF1602" s="32">
        <v>18</v>
      </c>
      <c r="AG1602" s="32">
        <v>0</v>
      </c>
      <c r="AH1602" s="32">
        <v>0</v>
      </c>
      <c r="AI1602" s="19">
        <v>2</v>
      </c>
      <c r="AJ1602" s="19">
        <v>0</v>
      </c>
      <c r="AK1602" s="19">
        <v>0</v>
      </c>
      <c r="AL1602" s="19">
        <v>0</v>
      </c>
      <c r="AM1602" s="32">
        <v>0</v>
      </c>
      <c r="AN1602" s="32">
        <v>0</v>
      </c>
      <c r="AO1602" s="32">
        <v>0</v>
      </c>
      <c r="AP1602" s="32">
        <v>0</v>
      </c>
      <c r="AQ1602" s="32">
        <v>1000</v>
      </c>
      <c r="AR1602" s="32">
        <v>0</v>
      </c>
      <c r="AS1602" s="32">
        <v>0</v>
      </c>
      <c r="AT1602" s="253">
        <v>69000101</v>
      </c>
      <c r="AU1602" s="32" t="s">
        <v>204</v>
      </c>
      <c r="AV1602" s="32"/>
      <c r="AW1602" s="35" t="s">
        <v>205</v>
      </c>
      <c r="AX1602" s="32">
        <v>0</v>
      </c>
      <c r="AY1602" s="32">
        <v>0</v>
      </c>
      <c r="AZ1602" s="32">
        <v>0</v>
      </c>
      <c r="BA1602" s="35" t="s">
        <v>206</v>
      </c>
      <c r="BB1602" s="35" t="s">
        <v>204</v>
      </c>
      <c r="BC1602" s="31">
        <v>0</v>
      </c>
      <c r="BD1602" s="31">
        <v>1</v>
      </c>
      <c r="BE1602" s="60" t="s">
        <v>3530</v>
      </c>
      <c r="BF1602" s="60" t="s">
        <v>3531</v>
      </c>
      <c r="BG1602" s="32">
        <v>0</v>
      </c>
      <c r="BH1602" s="21">
        <v>0</v>
      </c>
      <c r="BI1602" s="32">
        <v>0</v>
      </c>
      <c r="BJ1602" s="32">
        <v>0</v>
      </c>
      <c r="BK1602" s="32">
        <v>0</v>
      </c>
      <c r="BL1602" s="32">
        <v>0</v>
      </c>
      <c r="BM1602" s="25">
        <v>0</v>
      </c>
      <c r="BN1602" s="19">
        <v>1</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69000011</v>
      </c>
      <c r="D1603" s="20" t="s">
        <v>3557</v>
      </c>
      <c r="E1603" s="20" t="s">
        <v>3558</v>
      </c>
      <c r="F1603" s="32">
        <v>1</v>
      </c>
      <c r="G1603" s="32">
        <v>68000110</v>
      </c>
      <c r="H1603" s="32">
        <v>0</v>
      </c>
      <c r="I1603" s="31">
        <v>0</v>
      </c>
      <c r="J1603" s="25">
        <v>1</v>
      </c>
      <c r="K1603" s="32">
        <v>0</v>
      </c>
      <c r="L1603" s="32">
        <v>0</v>
      </c>
      <c r="M1603" s="32">
        <v>0</v>
      </c>
      <c r="N1603" s="32">
        <v>0</v>
      </c>
      <c r="O1603" s="32">
        <v>2</v>
      </c>
      <c r="P1603" s="32">
        <v>1</v>
      </c>
      <c r="Q1603" s="32">
        <v>0.05</v>
      </c>
      <c r="R1603" s="32">
        <v>0</v>
      </c>
      <c r="S1603" s="19">
        <v>0</v>
      </c>
      <c r="T1603" s="31">
        <v>0</v>
      </c>
      <c r="U1603" s="21">
        <v>1</v>
      </c>
      <c r="V1603" s="32">
        <v>2</v>
      </c>
      <c r="W1603" s="32">
        <v>0</v>
      </c>
      <c r="X1603" s="32">
        <v>0</v>
      </c>
      <c r="Y1603" s="19">
        <v>0</v>
      </c>
      <c r="Z1603" s="32">
        <v>0</v>
      </c>
      <c r="AA1603" s="32">
        <v>0</v>
      </c>
      <c r="AB1603" s="32">
        <v>0</v>
      </c>
      <c r="AC1603" s="32">
        <v>0</v>
      </c>
      <c r="AD1603" s="32">
        <v>1</v>
      </c>
      <c r="AE1603" s="32">
        <v>0</v>
      </c>
      <c r="AF1603" s="32">
        <v>18</v>
      </c>
      <c r="AG1603" s="32">
        <v>0</v>
      </c>
      <c r="AH1603" s="32">
        <v>0</v>
      </c>
      <c r="AI1603" s="19">
        <v>2</v>
      </c>
      <c r="AJ1603" s="19">
        <v>0</v>
      </c>
      <c r="AK1603" s="19">
        <v>0</v>
      </c>
      <c r="AL1603" s="19">
        <v>0</v>
      </c>
      <c r="AM1603" s="32">
        <v>0</v>
      </c>
      <c r="AN1603" s="32">
        <v>0</v>
      </c>
      <c r="AO1603" s="32">
        <v>0</v>
      </c>
      <c r="AP1603" s="32">
        <v>0</v>
      </c>
      <c r="AQ1603" s="32">
        <v>1000</v>
      </c>
      <c r="AR1603" s="32">
        <v>0</v>
      </c>
      <c r="AS1603" s="32">
        <v>0</v>
      </c>
      <c r="AT1603" s="253">
        <v>69000111</v>
      </c>
      <c r="AU1603" s="32" t="s">
        <v>204</v>
      </c>
      <c r="AV1603" s="32"/>
      <c r="AW1603" s="35" t="s">
        <v>205</v>
      </c>
      <c r="AX1603" s="32">
        <v>0</v>
      </c>
      <c r="AY1603" s="32">
        <v>0</v>
      </c>
      <c r="AZ1603" s="32">
        <v>0</v>
      </c>
      <c r="BA1603" s="35" t="s">
        <v>206</v>
      </c>
      <c r="BB1603" s="35" t="s">
        <v>204</v>
      </c>
      <c r="BC1603" s="31">
        <v>0</v>
      </c>
      <c r="BD1603" s="31">
        <v>1</v>
      </c>
      <c r="BE1603" s="22" t="s">
        <v>3548</v>
      </c>
      <c r="BF1603" s="22" t="s">
        <v>3549</v>
      </c>
      <c r="BG1603" s="32">
        <v>0</v>
      </c>
      <c r="BH1603" s="21">
        <v>0</v>
      </c>
      <c r="BI1603" s="32">
        <v>0</v>
      </c>
      <c r="BJ1603" s="32">
        <v>0</v>
      </c>
      <c r="BK1603" s="32">
        <v>0</v>
      </c>
      <c r="BL1603" s="32">
        <v>0</v>
      </c>
      <c r="BM1603" s="25">
        <v>0</v>
      </c>
      <c r="BN1603" s="19">
        <v>1</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69000012</v>
      </c>
      <c r="D1604" s="20" t="s">
        <v>3559</v>
      </c>
      <c r="E1604" s="20" t="s">
        <v>3560</v>
      </c>
      <c r="F1604" s="32">
        <v>1</v>
      </c>
      <c r="G1604" s="32">
        <v>66001007</v>
      </c>
      <c r="H1604" s="19">
        <v>0</v>
      </c>
      <c r="I1604" s="19">
        <v>0</v>
      </c>
      <c r="J1604" s="32">
        <v>1</v>
      </c>
      <c r="K1604" s="32">
        <v>0</v>
      </c>
      <c r="L1604" s="19">
        <v>0</v>
      </c>
      <c r="M1604" s="19">
        <v>0</v>
      </c>
      <c r="N1604" s="19">
        <v>0</v>
      </c>
      <c r="O1604" s="19">
        <v>2</v>
      </c>
      <c r="P1604" s="19">
        <v>3</v>
      </c>
      <c r="Q1604" s="19">
        <v>0.15</v>
      </c>
      <c r="R1604" s="19">
        <v>0</v>
      </c>
      <c r="S1604" s="19">
        <v>0</v>
      </c>
      <c r="T1604" s="19">
        <v>0</v>
      </c>
      <c r="U1604" s="21">
        <v>1</v>
      </c>
      <c r="V1604" s="19">
        <v>2</v>
      </c>
      <c r="W1604" s="19">
        <v>0</v>
      </c>
      <c r="X1604" s="19">
        <v>0</v>
      </c>
      <c r="Y1604" s="19">
        <v>0</v>
      </c>
      <c r="Z1604" s="19">
        <v>0</v>
      </c>
      <c r="AA1604" s="19">
        <v>0</v>
      </c>
      <c r="AB1604" s="19">
        <v>0</v>
      </c>
      <c r="AC1604" s="19">
        <v>0</v>
      </c>
      <c r="AD1604" s="32">
        <v>0</v>
      </c>
      <c r="AE1604" s="19">
        <v>0</v>
      </c>
      <c r="AF1604" s="19">
        <v>15</v>
      </c>
      <c r="AG1604" s="19">
        <v>0</v>
      </c>
      <c r="AH1604" s="19">
        <v>0</v>
      </c>
      <c r="AI1604" s="19">
        <v>7</v>
      </c>
      <c r="AJ1604" s="19">
        <v>0</v>
      </c>
      <c r="AK1604" s="19">
        <v>0</v>
      </c>
      <c r="AL1604" s="19">
        <v>6</v>
      </c>
      <c r="AM1604" s="19">
        <v>0</v>
      </c>
      <c r="AN1604" s="19">
        <v>0</v>
      </c>
      <c r="AO1604" s="19">
        <v>0</v>
      </c>
      <c r="AP1604" s="19">
        <v>0.5</v>
      </c>
      <c r="AQ1604" s="19">
        <v>1000</v>
      </c>
      <c r="AR1604" s="19">
        <v>0</v>
      </c>
      <c r="AS1604" s="19">
        <v>0</v>
      </c>
      <c r="AT1604" s="253">
        <v>0</v>
      </c>
      <c r="AU1604" s="19">
        <v>69000121</v>
      </c>
      <c r="AV1604" s="19"/>
      <c r="AW1604" s="20" t="s">
        <v>262</v>
      </c>
      <c r="AX1604" s="19" t="s">
        <v>1802</v>
      </c>
      <c r="AY1604" s="19" t="s">
        <v>204</v>
      </c>
      <c r="AZ1604" s="19" t="s">
        <v>2030</v>
      </c>
      <c r="BA1604" s="20" t="s">
        <v>206</v>
      </c>
      <c r="BB1604" s="19">
        <v>0</v>
      </c>
      <c r="BC1604" s="31">
        <v>0</v>
      </c>
      <c r="BD1604" s="31">
        <v>1</v>
      </c>
      <c r="BE1604" s="22" t="s">
        <v>3561</v>
      </c>
      <c r="BF1604" s="22" t="s">
        <v>3562</v>
      </c>
      <c r="BG1604" s="19">
        <v>0</v>
      </c>
      <c r="BH1604" s="21">
        <v>0</v>
      </c>
      <c r="BI1604" s="19">
        <v>0</v>
      </c>
      <c r="BJ1604" s="19">
        <v>0</v>
      </c>
      <c r="BK1604" s="19">
        <v>0</v>
      </c>
      <c r="BL1604" s="19">
        <v>0</v>
      </c>
      <c r="BM1604" s="25">
        <v>0</v>
      </c>
      <c r="BN1604" s="19">
        <v>1</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69000013</v>
      </c>
      <c r="D1605" s="255" t="s">
        <v>3563</v>
      </c>
      <c r="E1605" s="255" t="s">
        <v>3564</v>
      </c>
      <c r="F1605" s="25">
        <v>1</v>
      </c>
      <c r="G1605" s="32">
        <v>60090002</v>
      </c>
      <c r="H1605" s="25">
        <v>0</v>
      </c>
      <c r="I1605" s="26">
        <v>0</v>
      </c>
      <c r="J1605" s="25">
        <v>1</v>
      </c>
      <c r="K1605" s="25">
        <v>0</v>
      </c>
      <c r="L1605" s="26">
        <v>0</v>
      </c>
      <c r="M1605" s="26">
        <v>0</v>
      </c>
      <c r="N1605" s="25" t="s">
        <v>3565</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3526</v>
      </c>
      <c r="BF1605" s="254" t="s">
        <v>3527</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69000014</v>
      </c>
      <c r="D1606" s="255" t="s">
        <v>3566</v>
      </c>
      <c r="E1606" s="255" t="s">
        <v>3567</v>
      </c>
      <c r="F1606" s="25">
        <v>1</v>
      </c>
      <c r="G1606" s="32">
        <v>60090002</v>
      </c>
      <c r="H1606" s="25">
        <v>0</v>
      </c>
      <c r="I1606" s="26">
        <v>0</v>
      </c>
      <c r="J1606" s="25">
        <v>1</v>
      </c>
      <c r="K1606" s="25">
        <v>0</v>
      </c>
      <c r="L1606" s="26">
        <v>0</v>
      </c>
      <c r="M1606" s="26">
        <v>0</v>
      </c>
      <c r="N1606" s="25" t="s">
        <v>3568</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3526</v>
      </c>
      <c r="BF1606" s="254" t="s">
        <v>3527</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32">
        <v>69000015</v>
      </c>
      <c r="D1607" s="255" t="s">
        <v>3569</v>
      </c>
      <c r="E1607" s="255" t="s">
        <v>3570</v>
      </c>
      <c r="F1607" s="25">
        <v>1</v>
      </c>
      <c r="G1607" s="32">
        <v>60090002</v>
      </c>
      <c r="H1607" s="25">
        <v>0</v>
      </c>
      <c r="I1607" s="26">
        <v>0</v>
      </c>
      <c r="J1607" s="25">
        <v>1</v>
      </c>
      <c r="K1607" s="25">
        <v>0</v>
      </c>
      <c r="L1607" s="26">
        <v>0</v>
      </c>
      <c r="M1607" s="26">
        <v>0</v>
      </c>
      <c r="N1607" s="25" t="s">
        <v>3571</v>
      </c>
      <c r="O1607" s="25">
        <v>3</v>
      </c>
      <c r="P1607" s="25">
        <v>0</v>
      </c>
      <c r="Q1607" s="25">
        <v>0</v>
      </c>
      <c r="R1607" s="25">
        <v>0</v>
      </c>
      <c r="S1607" s="19">
        <v>0</v>
      </c>
      <c r="T1607" s="25">
        <v>0</v>
      </c>
      <c r="U1607" s="21">
        <v>1</v>
      </c>
      <c r="V1607" s="25">
        <v>0</v>
      </c>
      <c r="W1607" s="26">
        <v>0</v>
      </c>
      <c r="X1607" s="25">
        <v>0</v>
      </c>
      <c r="Y1607" s="19">
        <v>0</v>
      </c>
      <c r="Z1607" s="25">
        <v>0</v>
      </c>
      <c r="AA1607" s="25">
        <v>0</v>
      </c>
      <c r="AB1607" s="25">
        <v>0</v>
      </c>
      <c r="AC1607" s="26">
        <v>0</v>
      </c>
      <c r="AD1607" s="25">
        <v>0</v>
      </c>
      <c r="AE1607" s="25">
        <v>0</v>
      </c>
      <c r="AF1607" s="25">
        <v>0</v>
      </c>
      <c r="AG1607" s="25">
        <v>0</v>
      </c>
      <c r="AH1607" s="25">
        <v>0</v>
      </c>
      <c r="AI1607" s="26">
        <v>0</v>
      </c>
      <c r="AJ1607" s="56">
        <v>0</v>
      </c>
      <c r="AK1607" s="19">
        <v>0</v>
      </c>
      <c r="AL1607" s="25">
        <v>0</v>
      </c>
      <c r="AM1607" s="27">
        <v>0</v>
      </c>
      <c r="AN1607" s="25">
        <v>0</v>
      </c>
      <c r="AO1607" s="25">
        <v>0</v>
      </c>
      <c r="AP1607" s="25">
        <v>0</v>
      </c>
      <c r="AQ1607" s="25">
        <v>0</v>
      </c>
      <c r="AR1607" s="25">
        <v>0</v>
      </c>
      <c r="AS1607" s="25">
        <v>0</v>
      </c>
      <c r="AT1607" s="19">
        <v>0</v>
      </c>
      <c r="AU1607" s="28">
        <v>0</v>
      </c>
      <c r="AV1607" s="28"/>
      <c r="AW1607" s="25">
        <v>0</v>
      </c>
      <c r="AX1607" s="26">
        <v>0</v>
      </c>
      <c r="AY1607" s="26">
        <v>0</v>
      </c>
      <c r="AZ1607" s="26">
        <v>0</v>
      </c>
      <c r="BA1607" s="35" t="s">
        <v>206</v>
      </c>
      <c r="BB1607" s="62">
        <v>0</v>
      </c>
      <c r="BC1607" s="31">
        <v>0</v>
      </c>
      <c r="BD1607" s="31">
        <v>1</v>
      </c>
      <c r="BE1607" s="254" t="s">
        <v>3526</v>
      </c>
      <c r="BF1607" s="254" t="s">
        <v>3527</v>
      </c>
      <c r="BG1607" s="25">
        <v>0</v>
      </c>
      <c r="BH1607" s="25">
        <v>0</v>
      </c>
      <c r="BI1607" s="32">
        <v>0</v>
      </c>
      <c r="BJ1607" s="25">
        <v>0</v>
      </c>
      <c r="BK1607" s="25">
        <v>0</v>
      </c>
      <c r="BL1607" s="27">
        <v>0</v>
      </c>
      <c r="BM1607" s="25">
        <v>0</v>
      </c>
      <c r="BN1607" s="19">
        <v>0</v>
      </c>
      <c r="BO1607" s="19">
        <v>0</v>
      </c>
      <c r="BP1607" s="19">
        <v>0</v>
      </c>
      <c r="BQ1607" s="19">
        <v>0</v>
      </c>
      <c r="BR1607" s="19">
        <v>0</v>
      </c>
      <c r="BS1607" s="19">
        <v>0</v>
      </c>
      <c r="BT1607" s="19">
        <v>0</v>
      </c>
      <c r="BU1607" s="23">
        <v>0</v>
      </c>
      <c r="BV1607" s="23"/>
      <c r="BW1607" s="23"/>
      <c r="BX1607" s="23"/>
      <c r="BY1607" s="23"/>
      <c r="BZ1607" s="23"/>
    </row>
    <row r="1608" spans="3:78" ht="20.100000000000001" customHeight="1">
      <c r="C1608" s="32">
        <v>69000016</v>
      </c>
      <c r="D1608" s="255" t="s">
        <v>3572</v>
      </c>
      <c r="E1608" s="255" t="s">
        <v>3573</v>
      </c>
      <c r="F1608" s="25">
        <v>1</v>
      </c>
      <c r="G1608" s="32">
        <v>60090002</v>
      </c>
      <c r="H1608" s="25">
        <v>0</v>
      </c>
      <c r="I1608" s="26">
        <v>0</v>
      </c>
      <c r="J1608" s="25">
        <v>1</v>
      </c>
      <c r="K1608" s="25">
        <v>0</v>
      </c>
      <c r="L1608" s="26">
        <v>0</v>
      </c>
      <c r="M1608" s="26">
        <v>0</v>
      </c>
      <c r="N1608" s="25" t="s">
        <v>3574</v>
      </c>
      <c r="O1608" s="25">
        <v>3</v>
      </c>
      <c r="P1608" s="25">
        <v>0</v>
      </c>
      <c r="Q1608" s="25">
        <v>0</v>
      </c>
      <c r="R1608" s="25">
        <v>0</v>
      </c>
      <c r="S1608" s="19">
        <v>0</v>
      </c>
      <c r="T1608" s="25">
        <v>0</v>
      </c>
      <c r="U1608" s="21">
        <v>1</v>
      </c>
      <c r="V1608" s="25">
        <v>0</v>
      </c>
      <c r="W1608" s="26">
        <v>0</v>
      </c>
      <c r="X1608" s="25">
        <v>0</v>
      </c>
      <c r="Y1608" s="19">
        <v>0</v>
      </c>
      <c r="Z1608" s="25">
        <v>0</v>
      </c>
      <c r="AA1608" s="25">
        <v>0</v>
      </c>
      <c r="AB1608" s="25">
        <v>0</v>
      </c>
      <c r="AC1608" s="26">
        <v>0</v>
      </c>
      <c r="AD1608" s="25">
        <v>0</v>
      </c>
      <c r="AE1608" s="25">
        <v>0</v>
      </c>
      <c r="AF1608" s="25">
        <v>0</v>
      </c>
      <c r="AG1608" s="25">
        <v>0</v>
      </c>
      <c r="AH1608" s="25">
        <v>0</v>
      </c>
      <c r="AI1608" s="26">
        <v>0</v>
      </c>
      <c r="AJ1608" s="56">
        <v>0</v>
      </c>
      <c r="AK1608" s="19">
        <v>0</v>
      </c>
      <c r="AL1608" s="25">
        <v>0</v>
      </c>
      <c r="AM1608" s="27">
        <v>0</v>
      </c>
      <c r="AN1608" s="25">
        <v>0</v>
      </c>
      <c r="AO1608" s="25">
        <v>0</v>
      </c>
      <c r="AP1608" s="25">
        <v>0</v>
      </c>
      <c r="AQ1608" s="25">
        <v>0</v>
      </c>
      <c r="AR1608" s="25">
        <v>0</v>
      </c>
      <c r="AS1608" s="25">
        <v>0</v>
      </c>
      <c r="AT1608" s="19">
        <v>0</v>
      </c>
      <c r="AU1608" s="28">
        <v>0</v>
      </c>
      <c r="AV1608" s="28"/>
      <c r="AW1608" s="25">
        <v>0</v>
      </c>
      <c r="AX1608" s="26">
        <v>0</v>
      </c>
      <c r="AY1608" s="26">
        <v>0</v>
      </c>
      <c r="AZ1608" s="26">
        <v>0</v>
      </c>
      <c r="BA1608" s="35" t="s">
        <v>206</v>
      </c>
      <c r="BB1608" s="62">
        <v>0</v>
      </c>
      <c r="BC1608" s="31">
        <v>0</v>
      </c>
      <c r="BD1608" s="31">
        <v>1</v>
      </c>
      <c r="BE1608" s="254" t="s">
        <v>3526</v>
      </c>
      <c r="BF1608" s="254" t="s">
        <v>3527</v>
      </c>
      <c r="BG1608" s="25">
        <v>0</v>
      </c>
      <c r="BH1608" s="25">
        <v>0</v>
      </c>
      <c r="BI1608" s="32">
        <v>0</v>
      </c>
      <c r="BJ1608" s="25">
        <v>0</v>
      </c>
      <c r="BK1608" s="25">
        <v>0</v>
      </c>
      <c r="BL1608" s="27">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32">
        <v>69000017</v>
      </c>
      <c r="D1609" s="255" t="s">
        <v>3575</v>
      </c>
      <c r="E1609" s="255" t="s">
        <v>3576</v>
      </c>
      <c r="F1609" s="25">
        <v>1</v>
      </c>
      <c r="G1609" s="32">
        <v>60090002</v>
      </c>
      <c r="H1609" s="25">
        <v>0</v>
      </c>
      <c r="I1609" s="26">
        <v>0</v>
      </c>
      <c r="J1609" s="25">
        <v>1</v>
      </c>
      <c r="K1609" s="25">
        <v>0</v>
      </c>
      <c r="L1609" s="26">
        <v>0</v>
      </c>
      <c r="M1609" s="26">
        <v>0</v>
      </c>
      <c r="N1609" s="25" t="s">
        <v>3577</v>
      </c>
      <c r="O1609" s="25">
        <v>3</v>
      </c>
      <c r="P1609" s="25">
        <v>0</v>
      </c>
      <c r="Q1609" s="25">
        <v>0</v>
      </c>
      <c r="R1609" s="25">
        <v>0</v>
      </c>
      <c r="S1609" s="19">
        <v>0</v>
      </c>
      <c r="T1609" s="25">
        <v>0</v>
      </c>
      <c r="U1609" s="21">
        <v>1</v>
      </c>
      <c r="V1609" s="25">
        <v>0</v>
      </c>
      <c r="W1609" s="26">
        <v>0</v>
      </c>
      <c r="X1609" s="25">
        <v>0</v>
      </c>
      <c r="Y1609" s="19">
        <v>0</v>
      </c>
      <c r="Z1609" s="25">
        <v>0</v>
      </c>
      <c r="AA1609" s="25">
        <v>0</v>
      </c>
      <c r="AB1609" s="25">
        <v>0</v>
      </c>
      <c r="AC1609" s="26">
        <v>0</v>
      </c>
      <c r="AD1609" s="25">
        <v>0</v>
      </c>
      <c r="AE1609" s="25">
        <v>0</v>
      </c>
      <c r="AF1609" s="25">
        <v>0</v>
      </c>
      <c r="AG1609" s="25">
        <v>0</v>
      </c>
      <c r="AH1609" s="25">
        <v>0</v>
      </c>
      <c r="AI1609" s="26">
        <v>0</v>
      </c>
      <c r="AJ1609" s="56">
        <v>0</v>
      </c>
      <c r="AK1609" s="19">
        <v>0</v>
      </c>
      <c r="AL1609" s="25">
        <v>0</v>
      </c>
      <c r="AM1609" s="27">
        <v>0</v>
      </c>
      <c r="AN1609" s="25">
        <v>0</v>
      </c>
      <c r="AO1609" s="25">
        <v>0</v>
      </c>
      <c r="AP1609" s="25">
        <v>0</v>
      </c>
      <c r="AQ1609" s="25">
        <v>0</v>
      </c>
      <c r="AR1609" s="25">
        <v>0</v>
      </c>
      <c r="AS1609" s="25">
        <v>0</v>
      </c>
      <c r="AT1609" s="19">
        <v>0</v>
      </c>
      <c r="AU1609" s="28">
        <v>0</v>
      </c>
      <c r="AV1609" s="28"/>
      <c r="AW1609" s="25">
        <v>0</v>
      </c>
      <c r="AX1609" s="26">
        <v>0</v>
      </c>
      <c r="AY1609" s="26">
        <v>0</v>
      </c>
      <c r="AZ1609" s="26">
        <v>0</v>
      </c>
      <c r="BA1609" s="35" t="s">
        <v>206</v>
      </c>
      <c r="BB1609" s="62">
        <v>0</v>
      </c>
      <c r="BC1609" s="31">
        <v>0</v>
      </c>
      <c r="BD1609" s="31">
        <v>1</v>
      </c>
      <c r="BE1609" s="254" t="s">
        <v>3526</v>
      </c>
      <c r="BF1609" s="254" t="s">
        <v>3527</v>
      </c>
      <c r="BG1609" s="25">
        <v>0</v>
      </c>
      <c r="BH1609" s="25">
        <v>0</v>
      </c>
      <c r="BI1609" s="32">
        <v>0</v>
      </c>
      <c r="BJ1609" s="25">
        <v>0</v>
      </c>
      <c r="BK1609" s="25">
        <v>0</v>
      </c>
      <c r="BL1609" s="27">
        <v>0</v>
      </c>
      <c r="BM1609" s="25">
        <v>0</v>
      </c>
      <c r="BN1609" s="19">
        <v>0</v>
      </c>
      <c r="BO1609" s="19">
        <v>0</v>
      </c>
      <c r="BP1609" s="19">
        <v>0</v>
      </c>
      <c r="BQ1609" s="19">
        <v>0</v>
      </c>
      <c r="BR1609" s="19">
        <v>0</v>
      </c>
      <c r="BS1609" s="19">
        <v>0</v>
      </c>
      <c r="BT1609" s="19">
        <v>0</v>
      </c>
      <c r="BU1609" s="23">
        <v>0</v>
      </c>
      <c r="BV1609" s="23"/>
      <c r="BW1609" s="23"/>
      <c r="BX1609" s="23"/>
      <c r="BY1609" s="23"/>
      <c r="BZ1609" s="23"/>
    </row>
    <row r="1610" spans="3:78" ht="20.100000000000001" customHeight="1">
      <c r="C1610" s="74">
        <v>69000018</v>
      </c>
      <c r="D1610" s="256" t="s">
        <v>3578</v>
      </c>
      <c r="E1610" s="256" t="s">
        <v>3579</v>
      </c>
      <c r="F1610" s="90">
        <v>1</v>
      </c>
      <c r="G1610" s="74">
        <v>60090002</v>
      </c>
      <c r="H1610" s="90">
        <v>0</v>
      </c>
      <c r="I1610" s="127">
        <v>0</v>
      </c>
      <c r="J1610" s="90">
        <v>1</v>
      </c>
      <c r="K1610" s="90">
        <v>0</v>
      </c>
      <c r="L1610" s="127">
        <v>0</v>
      </c>
      <c r="M1610" s="127">
        <v>0</v>
      </c>
      <c r="N1610" s="90" t="s">
        <v>3580</v>
      </c>
      <c r="O1610" s="90">
        <v>3</v>
      </c>
      <c r="P1610" s="90">
        <v>0</v>
      </c>
      <c r="Q1610" s="90">
        <v>0</v>
      </c>
      <c r="R1610" s="90">
        <v>0</v>
      </c>
      <c r="S1610" s="73">
        <v>0</v>
      </c>
      <c r="T1610" s="90">
        <v>0</v>
      </c>
      <c r="U1610" s="72">
        <v>1</v>
      </c>
      <c r="V1610" s="90">
        <v>0</v>
      </c>
      <c r="W1610" s="127">
        <v>0</v>
      </c>
      <c r="X1610" s="90">
        <v>0</v>
      </c>
      <c r="Y1610" s="19">
        <v>0</v>
      </c>
      <c r="Z1610" s="90">
        <v>0</v>
      </c>
      <c r="AA1610" s="90">
        <v>0</v>
      </c>
      <c r="AB1610" s="90">
        <v>0</v>
      </c>
      <c r="AC1610" s="127">
        <v>0</v>
      </c>
      <c r="AD1610" s="90">
        <v>0</v>
      </c>
      <c r="AE1610" s="90">
        <v>0</v>
      </c>
      <c r="AF1610" s="90">
        <v>0</v>
      </c>
      <c r="AG1610" s="90">
        <v>0</v>
      </c>
      <c r="AH1610" s="90">
        <v>0</v>
      </c>
      <c r="AI1610" s="127">
        <v>0</v>
      </c>
      <c r="AJ1610" s="128">
        <v>0</v>
      </c>
      <c r="AK1610" s="73">
        <v>0</v>
      </c>
      <c r="AL1610" s="90">
        <v>0</v>
      </c>
      <c r="AM1610" s="129">
        <v>0</v>
      </c>
      <c r="AN1610" s="90">
        <v>0</v>
      </c>
      <c r="AO1610" s="90">
        <v>0</v>
      </c>
      <c r="AP1610" s="90">
        <v>0</v>
      </c>
      <c r="AQ1610" s="90">
        <v>0</v>
      </c>
      <c r="AR1610" s="90">
        <v>0</v>
      </c>
      <c r="AS1610" s="90">
        <v>0</v>
      </c>
      <c r="AT1610" s="73">
        <v>0</v>
      </c>
      <c r="AU1610" s="257">
        <v>0</v>
      </c>
      <c r="AV1610" s="257"/>
      <c r="AW1610" s="90">
        <v>0</v>
      </c>
      <c r="AX1610" s="127">
        <v>0</v>
      </c>
      <c r="AY1610" s="127">
        <v>0</v>
      </c>
      <c r="AZ1610" s="127">
        <v>0</v>
      </c>
      <c r="BA1610" s="88" t="s">
        <v>206</v>
      </c>
      <c r="BB1610" s="258">
        <v>0</v>
      </c>
      <c r="BC1610" s="75">
        <v>0</v>
      </c>
      <c r="BD1610" s="75">
        <v>1</v>
      </c>
      <c r="BE1610" s="259" t="s">
        <v>3526</v>
      </c>
      <c r="BF1610" s="259" t="s">
        <v>3527</v>
      </c>
      <c r="BG1610" s="90">
        <v>0</v>
      </c>
      <c r="BH1610" s="90">
        <v>0</v>
      </c>
      <c r="BI1610" s="74">
        <v>0</v>
      </c>
      <c r="BJ1610" s="90">
        <v>0</v>
      </c>
      <c r="BK1610" s="90">
        <v>0</v>
      </c>
      <c r="BL1610" s="129">
        <v>0</v>
      </c>
      <c r="BM1610" s="90">
        <v>0</v>
      </c>
      <c r="BN1610" s="73">
        <v>0</v>
      </c>
      <c r="BO1610" s="73">
        <v>0</v>
      </c>
      <c r="BP1610" s="73">
        <v>0</v>
      </c>
      <c r="BQ1610" s="73">
        <v>0</v>
      </c>
      <c r="BR1610" s="73">
        <v>0</v>
      </c>
      <c r="BS1610" s="73">
        <v>0</v>
      </c>
      <c r="BT1610" s="19">
        <v>0</v>
      </c>
      <c r="BU1610" s="23">
        <v>0</v>
      </c>
      <c r="BV1610" s="23"/>
      <c r="BW1610" s="23"/>
      <c r="BX1610" s="23"/>
      <c r="BY1610" s="23"/>
      <c r="BZ1610" s="23"/>
    </row>
    <row r="1611" spans="3:78" ht="20.100000000000001" customHeight="1">
      <c r="C1611" s="32">
        <v>69011001</v>
      </c>
      <c r="D1611" s="260" t="s">
        <v>3581</v>
      </c>
      <c r="E1611" s="260" t="s">
        <v>3582</v>
      </c>
      <c r="F1611" s="69">
        <v>1</v>
      </c>
      <c r="G1611" s="69">
        <v>60090002</v>
      </c>
      <c r="H1611" s="59">
        <v>0</v>
      </c>
      <c r="I1611" s="59">
        <v>0</v>
      </c>
      <c r="J1611" s="69">
        <v>1</v>
      </c>
      <c r="K1611" s="69">
        <v>0</v>
      </c>
      <c r="L1611" s="59">
        <v>0</v>
      </c>
      <c r="M1611" s="59">
        <v>0</v>
      </c>
      <c r="N1611" s="59" t="s">
        <v>3583</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3581</v>
      </c>
      <c r="BF1611" s="260" t="s">
        <v>3582</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69011002</v>
      </c>
      <c r="D1612" s="260" t="s">
        <v>3584</v>
      </c>
      <c r="E1612" s="260" t="s">
        <v>3585</v>
      </c>
      <c r="F1612" s="69">
        <v>1</v>
      </c>
      <c r="G1612" s="69">
        <v>60090002</v>
      </c>
      <c r="H1612" s="59">
        <v>0</v>
      </c>
      <c r="I1612" s="59">
        <v>0</v>
      </c>
      <c r="J1612" s="69">
        <v>1</v>
      </c>
      <c r="K1612" s="69">
        <v>0</v>
      </c>
      <c r="L1612" s="59">
        <v>0</v>
      </c>
      <c r="M1612" s="59">
        <v>0</v>
      </c>
      <c r="N1612" s="59" t="s">
        <v>3552</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3584</v>
      </c>
      <c r="BF1612" s="260" t="s">
        <v>3585</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69011003</v>
      </c>
      <c r="D1613" s="260" t="s">
        <v>3586</v>
      </c>
      <c r="E1613" s="260" t="s">
        <v>3587</v>
      </c>
      <c r="F1613" s="69">
        <v>1</v>
      </c>
      <c r="G1613" s="69">
        <v>60090002</v>
      </c>
      <c r="H1613" s="59">
        <v>0</v>
      </c>
      <c r="I1613" s="59">
        <v>0</v>
      </c>
      <c r="J1613" s="69">
        <v>1</v>
      </c>
      <c r="K1613" s="69">
        <v>0</v>
      </c>
      <c r="L1613" s="59">
        <v>0</v>
      </c>
      <c r="M1613" s="59">
        <v>0</v>
      </c>
      <c r="N1613" s="59" t="s">
        <v>3588</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3586</v>
      </c>
      <c r="BF1613" s="260" t="s">
        <v>3587</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69011004</v>
      </c>
      <c r="D1614" s="260" t="s">
        <v>3589</v>
      </c>
      <c r="E1614" s="260" t="s">
        <v>3590</v>
      </c>
      <c r="F1614" s="69">
        <v>1</v>
      </c>
      <c r="G1614" s="69">
        <v>60090002</v>
      </c>
      <c r="H1614" s="59">
        <v>0</v>
      </c>
      <c r="I1614" s="59">
        <v>0</v>
      </c>
      <c r="J1614" s="69">
        <v>1</v>
      </c>
      <c r="K1614" s="69">
        <v>0</v>
      </c>
      <c r="L1614" s="59">
        <v>0</v>
      </c>
      <c r="M1614" s="59">
        <v>0</v>
      </c>
      <c r="N1614" s="59" t="s">
        <v>3591</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3589</v>
      </c>
      <c r="BF1614" s="260" t="s">
        <v>3590</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69011005</v>
      </c>
      <c r="D1615" s="260" t="s">
        <v>3592</v>
      </c>
      <c r="E1615" s="260" t="s">
        <v>3593</v>
      </c>
      <c r="F1615" s="69">
        <v>1</v>
      </c>
      <c r="G1615" s="69">
        <v>60090002</v>
      </c>
      <c r="H1615" s="59">
        <v>0</v>
      </c>
      <c r="I1615" s="59">
        <v>0</v>
      </c>
      <c r="J1615" s="69">
        <v>1</v>
      </c>
      <c r="K1615" s="69">
        <v>0</v>
      </c>
      <c r="L1615" s="59">
        <v>0</v>
      </c>
      <c r="M1615" s="59">
        <v>0</v>
      </c>
      <c r="N1615" s="59" t="s">
        <v>3525</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3592</v>
      </c>
      <c r="BF1615" s="260" t="s">
        <v>3593</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69011006</v>
      </c>
      <c r="D1616" s="260" t="s">
        <v>3594</v>
      </c>
      <c r="E1616" s="260" t="s">
        <v>3595</v>
      </c>
      <c r="F1616" s="69">
        <v>1</v>
      </c>
      <c r="G1616" s="69">
        <v>60090002</v>
      </c>
      <c r="H1616" s="59">
        <v>0</v>
      </c>
      <c r="I1616" s="59">
        <v>0</v>
      </c>
      <c r="J1616" s="69">
        <v>1</v>
      </c>
      <c r="K1616" s="69">
        <v>0</v>
      </c>
      <c r="L1616" s="59">
        <v>0</v>
      </c>
      <c r="M1616" s="59">
        <v>0</v>
      </c>
      <c r="N1616" s="59" t="s">
        <v>3565</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3594</v>
      </c>
      <c r="BF1616" s="260" t="s">
        <v>3595</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69011101</v>
      </c>
      <c r="D1617" s="260" t="s">
        <v>3596</v>
      </c>
      <c r="E1617" s="260" t="s">
        <v>3597</v>
      </c>
      <c r="F1617" s="69">
        <v>1</v>
      </c>
      <c r="G1617" s="69">
        <v>60090002</v>
      </c>
      <c r="H1617" s="59">
        <v>0</v>
      </c>
      <c r="I1617" s="59">
        <v>0</v>
      </c>
      <c r="J1617" s="69">
        <v>1</v>
      </c>
      <c r="K1617" s="69">
        <v>0</v>
      </c>
      <c r="L1617" s="59">
        <v>0</v>
      </c>
      <c r="M1617" s="59">
        <v>0</v>
      </c>
      <c r="N1617" s="59" t="s">
        <v>3598</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3596</v>
      </c>
      <c r="BF1617" s="260" t="s">
        <v>3597</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69011102</v>
      </c>
      <c r="D1618" s="260" t="s">
        <v>3599</v>
      </c>
      <c r="E1618" s="260" t="s">
        <v>3600</v>
      </c>
      <c r="F1618" s="69">
        <v>1</v>
      </c>
      <c r="G1618" s="69">
        <v>60090002</v>
      </c>
      <c r="H1618" s="59">
        <v>0</v>
      </c>
      <c r="I1618" s="59">
        <v>0</v>
      </c>
      <c r="J1618" s="69">
        <v>1</v>
      </c>
      <c r="K1618" s="69">
        <v>0</v>
      </c>
      <c r="L1618" s="59">
        <v>0</v>
      </c>
      <c r="M1618" s="59">
        <v>0</v>
      </c>
      <c r="N1618" s="59" t="s">
        <v>3601</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3599</v>
      </c>
      <c r="BF1618" s="260" t="s">
        <v>3600</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69011103</v>
      </c>
      <c r="D1619" s="260" t="s">
        <v>3602</v>
      </c>
      <c r="E1619" s="260" t="s">
        <v>3603</v>
      </c>
      <c r="F1619" s="69">
        <v>1</v>
      </c>
      <c r="G1619" s="69">
        <v>60090002</v>
      </c>
      <c r="H1619" s="59">
        <v>0</v>
      </c>
      <c r="I1619" s="59">
        <v>0</v>
      </c>
      <c r="J1619" s="69">
        <v>1</v>
      </c>
      <c r="K1619" s="69">
        <v>0</v>
      </c>
      <c r="L1619" s="59">
        <v>0</v>
      </c>
      <c r="M1619" s="59">
        <v>0</v>
      </c>
      <c r="N1619" s="59" t="s">
        <v>3604</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3602</v>
      </c>
      <c r="BF1619" s="260" t="s">
        <v>3603</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69011104</v>
      </c>
      <c r="D1620" s="260" t="s">
        <v>3605</v>
      </c>
      <c r="E1620" s="260" t="s">
        <v>3606</v>
      </c>
      <c r="F1620" s="69">
        <v>1</v>
      </c>
      <c r="G1620" s="69">
        <v>60090002</v>
      </c>
      <c r="H1620" s="59">
        <v>0</v>
      </c>
      <c r="I1620" s="59">
        <v>0</v>
      </c>
      <c r="J1620" s="69">
        <v>1</v>
      </c>
      <c r="K1620" s="69">
        <v>0</v>
      </c>
      <c r="L1620" s="59">
        <v>0</v>
      </c>
      <c r="M1620" s="59">
        <v>0</v>
      </c>
      <c r="N1620" s="59" t="s">
        <v>3607</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3605</v>
      </c>
      <c r="BF1620" s="260" t="s">
        <v>3606</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69011201</v>
      </c>
      <c r="D1621" s="260" t="s">
        <v>3608</v>
      </c>
      <c r="E1621" s="260" t="s">
        <v>3609</v>
      </c>
      <c r="F1621" s="69">
        <v>1</v>
      </c>
      <c r="G1621" s="69">
        <v>60090002</v>
      </c>
      <c r="H1621" s="59">
        <v>0</v>
      </c>
      <c r="I1621" s="59">
        <v>0</v>
      </c>
      <c r="J1621" s="69">
        <v>1</v>
      </c>
      <c r="K1621" s="69">
        <v>0</v>
      </c>
      <c r="L1621" s="59">
        <v>0</v>
      </c>
      <c r="M1621" s="59">
        <v>0</v>
      </c>
      <c r="N1621" s="59" t="s">
        <v>3610</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3608</v>
      </c>
      <c r="BF1621" s="260" t="s">
        <v>3609</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69011202</v>
      </c>
      <c r="D1622" s="260" t="s">
        <v>3611</v>
      </c>
      <c r="E1622" s="260" t="s">
        <v>3612</v>
      </c>
      <c r="F1622" s="69">
        <v>1</v>
      </c>
      <c r="G1622" s="69">
        <v>60090002</v>
      </c>
      <c r="H1622" s="59">
        <v>0</v>
      </c>
      <c r="I1622" s="59">
        <v>0</v>
      </c>
      <c r="J1622" s="69">
        <v>1</v>
      </c>
      <c r="K1622" s="69">
        <v>0</v>
      </c>
      <c r="L1622" s="59">
        <v>0</v>
      </c>
      <c r="M1622" s="59">
        <v>0</v>
      </c>
      <c r="N1622" s="59" t="s">
        <v>3613</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3611</v>
      </c>
      <c r="BF1622" s="260" t="s">
        <v>3612</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69011203</v>
      </c>
      <c r="D1623" s="260" t="s">
        <v>3614</v>
      </c>
      <c r="E1623" s="260" t="s">
        <v>3615</v>
      </c>
      <c r="F1623" s="69">
        <v>1</v>
      </c>
      <c r="G1623" s="69">
        <v>60090002</v>
      </c>
      <c r="H1623" s="59">
        <v>0</v>
      </c>
      <c r="I1623" s="59">
        <v>0</v>
      </c>
      <c r="J1623" s="69">
        <v>1</v>
      </c>
      <c r="K1623" s="69">
        <v>0</v>
      </c>
      <c r="L1623" s="59">
        <v>0</v>
      </c>
      <c r="M1623" s="59">
        <v>0</v>
      </c>
      <c r="N1623" s="59" t="s">
        <v>3616</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3614</v>
      </c>
      <c r="BF1623" s="260" t="s">
        <v>3615</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69011204</v>
      </c>
      <c r="D1624" s="260" t="s">
        <v>3617</v>
      </c>
      <c r="E1624" s="260" t="s">
        <v>3618</v>
      </c>
      <c r="F1624" s="69">
        <v>1</v>
      </c>
      <c r="G1624" s="69">
        <v>60090002</v>
      </c>
      <c r="H1624" s="59">
        <v>0</v>
      </c>
      <c r="I1624" s="59">
        <v>0</v>
      </c>
      <c r="J1624" s="69">
        <v>1</v>
      </c>
      <c r="K1624" s="69">
        <v>0</v>
      </c>
      <c r="L1624" s="59">
        <v>0</v>
      </c>
      <c r="M1624" s="59">
        <v>0</v>
      </c>
      <c r="N1624" s="59" t="s">
        <v>3619</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3617</v>
      </c>
      <c r="BF1624" s="260" t="s">
        <v>3618</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69011301</v>
      </c>
      <c r="D1625" s="260" t="s">
        <v>3620</v>
      </c>
      <c r="E1625" s="260" t="s">
        <v>3621</v>
      </c>
      <c r="F1625" s="69">
        <v>1</v>
      </c>
      <c r="G1625" s="69">
        <v>60090002</v>
      </c>
      <c r="H1625" s="59">
        <v>0</v>
      </c>
      <c r="I1625" s="59">
        <v>0</v>
      </c>
      <c r="J1625" s="69">
        <v>1</v>
      </c>
      <c r="K1625" s="69">
        <v>0</v>
      </c>
      <c r="L1625" s="59">
        <v>0</v>
      </c>
      <c r="M1625" s="59">
        <v>0</v>
      </c>
      <c r="N1625" s="59" t="s">
        <v>3622</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3620</v>
      </c>
      <c r="BF1625" s="260" t="s">
        <v>3621</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69011302</v>
      </c>
      <c r="D1626" s="260" t="s">
        <v>3623</v>
      </c>
      <c r="E1626" s="260" t="s">
        <v>3624</v>
      </c>
      <c r="F1626" s="69">
        <v>1</v>
      </c>
      <c r="G1626" s="69">
        <v>60090002</v>
      </c>
      <c r="H1626" s="59">
        <v>0</v>
      </c>
      <c r="I1626" s="59">
        <v>0</v>
      </c>
      <c r="J1626" s="69">
        <v>1</v>
      </c>
      <c r="K1626" s="69">
        <v>0</v>
      </c>
      <c r="L1626" s="59">
        <v>0</v>
      </c>
      <c r="M1626" s="59">
        <v>0</v>
      </c>
      <c r="N1626" s="59" t="s">
        <v>3625</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3623</v>
      </c>
      <c r="BF1626" s="260" t="s">
        <v>3624</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69011303</v>
      </c>
      <c r="D1627" s="260" t="s">
        <v>3626</v>
      </c>
      <c r="E1627" s="260" t="s">
        <v>3627</v>
      </c>
      <c r="F1627" s="69">
        <v>1</v>
      </c>
      <c r="G1627" s="69">
        <v>60090002</v>
      </c>
      <c r="H1627" s="59">
        <v>0</v>
      </c>
      <c r="I1627" s="59">
        <v>0</v>
      </c>
      <c r="J1627" s="69">
        <v>1</v>
      </c>
      <c r="K1627" s="69">
        <v>0</v>
      </c>
      <c r="L1627" s="59">
        <v>0</v>
      </c>
      <c r="M1627" s="59">
        <v>0</v>
      </c>
      <c r="N1627" s="59" t="s">
        <v>3628</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3626</v>
      </c>
      <c r="BF1627" s="260" t="s">
        <v>3627</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69011304</v>
      </c>
      <c r="D1628" s="260" t="s">
        <v>3629</v>
      </c>
      <c r="E1628" s="260" t="s">
        <v>3630</v>
      </c>
      <c r="F1628" s="69">
        <v>1</v>
      </c>
      <c r="G1628" s="69">
        <v>60090002</v>
      </c>
      <c r="H1628" s="59">
        <v>0</v>
      </c>
      <c r="I1628" s="59">
        <v>0</v>
      </c>
      <c r="J1628" s="69">
        <v>1</v>
      </c>
      <c r="K1628" s="69">
        <v>0</v>
      </c>
      <c r="L1628" s="59">
        <v>0</v>
      </c>
      <c r="M1628" s="59">
        <v>0</v>
      </c>
      <c r="N1628" s="59" t="s">
        <v>3631</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3629</v>
      </c>
      <c r="BF1628" s="260" t="s">
        <v>3630</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69012001</v>
      </c>
      <c r="D1629" s="260" t="s">
        <v>3632</v>
      </c>
      <c r="E1629" s="260" t="s">
        <v>3633</v>
      </c>
      <c r="F1629" s="69">
        <v>1</v>
      </c>
      <c r="G1629" s="69">
        <v>60090002</v>
      </c>
      <c r="H1629" s="59">
        <v>0</v>
      </c>
      <c r="I1629" s="59">
        <v>0</v>
      </c>
      <c r="J1629" s="69">
        <v>1</v>
      </c>
      <c r="K1629" s="69">
        <v>0</v>
      </c>
      <c r="L1629" s="59">
        <v>0</v>
      </c>
      <c r="M1629" s="59">
        <v>0</v>
      </c>
      <c r="N1629" s="59" t="s">
        <v>3580</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3632</v>
      </c>
      <c r="BF1629" s="260" t="s">
        <v>3633</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69012002</v>
      </c>
      <c r="D1630" s="260" t="s">
        <v>3634</v>
      </c>
      <c r="E1630" s="260" t="s">
        <v>3635</v>
      </c>
      <c r="F1630" s="69">
        <v>1</v>
      </c>
      <c r="G1630" s="69">
        <v>60090002</v>
      </c>
      <c r="H1630" s="59">
        <v>0</v>
      </c>
      <c r="I1630" s="59">
        <v>0</v>
      </c>
      <c r="J1630" s="69">
        <v>1</v>
      </c>
      <c r="K1630" s="69">
        <v>0</v>
      </c>
      <c r="L1630" s="59">
        <v>0</v>
      </c>
      <c r="M1630" s="59">
        <v>0</v>
      </c>
      <c r="N1630" s="59" t="s">
        <v>3541</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3634</v>
      </c>
      <c r="BF1630" s="260" t="s">
        <v>3635</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69012003</v>
      </c>
      <c r="D1631" s="260" t="s">
        <v>3636</v>
      </c>
      <c r="E1631" s="260" t="s">
        <v>3637</v>
      </c>
      <c r="F1631" s="69">
        <v>1</v>
      </c>
      <c r="G1631" s="69">
        <v>60090002</v>
      </c>
      <c r="H1631" s="59">
        <v>0</v>
      </c>
      <c r="I1631" s="59">
        <v>0</v>
      </c>
      <c r="J1631" s="69">
        <v>1</v>
      </c>
      <c r="K1631" s="69">
        <v>0</v>
      </c>
      <c r="L1631" s="59">
        <v>0</v>
      </c>
      <c r="M1631" s="59">
        <v>0</v>
      </c>
      <c r="N1631" s="59" t="s">
        <v>3638</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3636</v>
      </c>
      <c r="BF1631" s="260" t="s">
        <v>3637</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69012004</v>
      </c>
      <c r="D1632" s="260" t="s">
        <v>3639</v>
      </c>
      <c r="E1632" s="260" t="s">
        <v>3640</v>
      </c>
      <c r="F1632" s="69">
        <v>1</v>
      </c>
      <c r="G1632" s="69">
        <v>60090002</v>
      </c>
      <c r="H1632" s="59">
        <v>0</v>
      </c>
      <c r="I1632" s="59">
        <v>0</v>
      </c>
      <c r="J1632" s="69">
        <v>1</v>
      </c>
      <c r="K1632" s="69">
        <v>0</v>
      </c>
      <c r="L1632" s="59">
        <v>0</v>
      </c>
      <c r="M1632" s="59">
        <v>0</v>
      </c>
      <c r="N1632" s="59" t="s">
        <v>3641</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3639</v>
      </c>
      <c r="BF1632" s="260" t="s">
        <v>3640</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69012005</v>
      </c>
      <c r="D1633" s="260" t="s">
        <v>3642</v>
      </c>
      <c r="E1633" s="260" t="s">
        <v>3643</v>
      </c>
      <c r="F1633" s="69">
        <v>1</v>
      </c>
      <c r="G1633" s="69">
        <v>60090002</v>
      </c>
      <c r="H1633" s="59">
        <v>0</v>
      </c>
      <c r="I1633" s="59">
        <v>0</v>
      </c>
      <c r="J1633" s="69">
        <v>1</v>
      </c>
      <c r="K1633" s="69">
        <v>0</v>
      </c>
      <c r="L1633" s="59">
        <v>0</v>
      </c>
      <c r="M1633" s="59">
        <v>0</v>
      </c>
      <c r="N1633" s="59" t="s">
        <v>3534</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3642</v>
      </c>
      <c r="BF1633" s="260" t="s">
        <v>3643</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69012006</v>
      </c>
      <c r="D1634" s="260" t="s">
        <v>3644</v>
      </c>
      <c r="E1634" s="260" t="s">
        <v>3645</v>
      </c>
      <c r="F1634" s="69">
        <v>1</v>
      </c>
      <c r="G1634" s="69">
        <v>60090002</v>
      </c>
      <c r="H1634" s="59">
        <v>0</v>
      </c>
      <c r="I1634" s="59">
        <v>0</v>
      </c>
      <c r="J1634" s="69">
        <v>1</v>
      </c>
      <c r="K1634" s="69">
        <v>0</v>
      </c>
      <c r="L1634" s="59">
        <v>0</v>
      </c>
      <c r="M1634" s="59">
        <v>0</v>
      </c>
      <c r="N1634" s="59" t="s">
        <v>3646</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3644</v>
      </c>
      <c r="BF1634" s="260" t="s">
        <v>3645</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69012101</v>
      </c>
      <c r="D1635" s="260" t="s">
        <v>3647</v>
      </c>
      <c r="E1635" s="260" t="s">
        <v>3648</v>
      </c>
      <c r="F1635" s="69">
        <v>1</v>
      </c>
      <c r="G1635" s="69">
        <v>60090002</v>
      </c>
      <c r="H1635" s="59">
        <v>0</v>
      </c>
      <c r="I1635" s="59">
        <v>0</v>
      </c>
      <c r="J1635" s="69">
        <v>1</v>
      </c>
      <c r="K1635" s="69">
        <v>0</v>
      </c>
      <c r="L1635" s="59">
        <v>0</v>
      </c>
      <c r="M1635" s="59">
        <v>0</v>
      </c>
      <c r="N1635" s="59" t="s">
        <v>3649</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3647</v>
      </c>
      <c r="BF1635" s="260" t="s">
        <v>3648</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69012102</v>
      </c>
      <c r="D1636" s="260" t="s">
        <v>3650</v>
      </c>
      <c r="E1636" s="260" t="s">
        <v>3651</v>
      </c>
      <c r="F1636" s="69">
        <v>1</v>
      </c>
      <c r="G1636" s="69">
        <v>60090002</v>
      </c>
      <c r="H1636" s="59">
        <v>0</v>
      </c>
      <c r="I1636" s="59">
        <v>0</v>
      </c>
      <c r="J1636" s="69">
        <v>1</v>
      </c>
      <c r="K1636" s="69">
        <v>0</v>
      </c>
      <c r="L1636" s="59">
        <v>0</v>
      </c>
      <c r="M1636" s="59">
        <v>0</v>
      </c>
      <c r="N1636" s="59" t="s">
        <v>3652</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3650</v>
      </c>
      <c r="BF1636" s="260" t="s">
        <v>3651</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69012103</v>
      </c>
      <c r="D1637" s="260" t="s">
        <v>3653</v>
      </c>
      <c r="E1637" s="260" t="s">
        <v>3654</v>
      </c>
      <c r="F1637" s="69">
        <v>1</v>
      </c>
      <c r="G1637" s="69">
        <v>60090002</v>
      </c>
      <c r="H1637" s="59">
        <v>0</v>
      </c>
      <c r="I1637" s="59">
        <v>0</v>
      </c>
      <c r="J1637" s="69">
        <v>1</v>
      </c>
      <c r="K1637" s="69">
        <v>0</v>
      </c>
      <c r="L1637" s="59">
        <v>0</v>
      </c>
      <c r="M1637" s="59">
        <v>0</v>
      </c>
      <c r="N1637" s="59" t="s">
        <v>3655</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3653</v>
      </c>
      <c r="BF1637" s="260" t="s">
        <v>3654</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69012104</v>
      </c>
      <c r="D1638" s="260" t="s">
        <v>3656</v>
      </c>
      <c r="E1638" s="260" t="s">
        <v>3657</v>
      </c>
      <c r="F1638" s="69">
        <v>1</v>
      </c>
      <c r="G1638" s="69">
        <v>60090002</v>
      </c>
      <c r="H1638" s="59">
        <v>0</v>
      </c>
      <c r="I1638" s="59">
        <v>0</v>
      </c>
      <c r="J1638" s="69">
        <v>1</v>
      </c>
      <c r="K1638" s="69">
        <v>0</v>
      </c>
      <c r="L1638" s="59">
        <v>0</v>
      </c>
      <c r="M1638" s="59">
        <v>0</v>
      </c>
      <c r="N1638" s="59" t="s">
        <v>3658</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3656</v>
      </c>
      <c r="BF1638" s="260" t="s">
        <v>3657</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69012201</v>
      </c>
      <c r="D1639" s="260" t="s">
        <v>3659</v>
      </c>
      <c r="E1639" s="260" t="s">
        <v>3660</v>
      </c>
      <c r="F1639" s="69">
        <v>1</v>
      </c>
      <c r="G1639" s="69">
        <v>60090002</v>
      </c>
      <c r="H1639" s="59">
        <v>0</v>
      </c>
      <c r="I1639" s="59">
        <v>0</v>
      </c>
      <c r="J1639" s="69">
        <v>1</v>
      </c>
      <c r="K1639" s="69">
        <v>0</v>
      </c>
      <c r="L1639" s="59">
        <v>0</v>
      </c>
      <c r="M1639" s="59">
        <v>0</v>
      </c>
      <c r="N1639" s="59" t="s">
        <v>3661</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3659</v>
      </c>
      <c r="BF1639" s="260" t="s">
        <v>3660</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69012202</v>
      </c>
      <c r="D1640" s="260" t="s">
        <v>3662</v>
      </c>
      <c r="E1640" s="260" t="s">
        <v>3663</v>
      </c>
      <c r="F1640" s="69">
        <v>1</v>
      </c>
      <c r="G1640" s="69">
        <v>60090002</v>
      </c>
      <c r="H1640" s="59">
        <v>0</v>
      </c>
      <c r="I1640" s="59">
        <v>0</v>
      </c>
      <c r="J1640" s="69">
        <v>1</v>
      </c>
      <c r="K1640" s="69">
        <v>0</v>
      </c>
      <c r="L1640" s="59">
        <v>0</v>
      </c>
      <c r="M1640" s="59">
        <v>0</v>
      </c>
      <c r="N1640" s="59" t="s">
        <v>3664</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3662</v>
      </c>
      <c r="BF1640" s="260" t="s">
        <v>3663</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69012203</v>
      </c>
      <c r="D1641" s="260" t="s">
        <v>3665</v>
      </c>
      <c r="E1641" s="260" t="s">
        <v>3666</v>
      </c>
      <c r="F1641" s="69">
        <v>1</v>
      </c>
      <c r="G1641" s="69">
        <v>60090002</v>
      </c>
      <c r="H1641" s="59">
        <v>0</v>
      </c>
      <c r="I1641" s="59">
        <v>0</v>
      </c>
      <c r="J1641" s="69">
        <v>1</v>
      </c>
      <c r="K1641" s="69">
        <v>0</v>
      </c>
      <c r="L1641" s="59">
        <v>0</v>
      </c>
      <c r="M1641" s="59">
        <v>0</v>
      </c>
      <c r="N1641" s="59" t="s">
        <v>3667</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3665</v>
      </c>
      <c r="BF1641" s="260" t="s">
        <v>3666</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69012204</v>
      </c>
      <c r="D1642" s="260" t="s">
        <v>3668</v>
      </c>
      <c r="E1642" s="260" t="s">
        <v>3669</v>
      </c>
      <c r="F1642" s="69">
        <v>1</v>
      </c>
      <c r="G1642" s="69">
        <v>60090002</v>
      </c>
      <c r="H1642" s="59">
        <v>0</v>
      </c>
      <c r="I1642" s="59">
        <v>0</v>
      </c>
      <c r="J1642" s="69">
        <v>1</v>
      </c>
      <c r="K1642" s="69">
        <v>0</v>
      </c>
      <c r="L1642" s="59">
        <v>0</v>
      </c>
      <c r="M1642" s="59">
        <v>0</v>
      </c>
      <c r="N1642" s="59" t="s">
        <v>3670</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3668</v>
      </c>
      <c r="BF1642" s="260" t="s">
        <v>3669</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69012301</v>
      </c>
      <c r="D1643" s="260" t="s">
        <v>3671</v>
      </c>
      <c r="E1643" s="260" t="s">
        <v>3672</v>
      </c>
      <c r="F1643" s="69">
        <v>1</v>
      </c>
      <c r="G1643" s="69">
        <v>60090002</v>
      </c>
      <c r="H1643" s="59">
        <v>0</v>
      </c>
      <c r="I1643" s="59">
        <v>0</v>
      </c>
      <c r="J1643" s="69">
        <v>1</v>
      </c>
      <c r="K1643" s="69">
        <v>0</v>
      </c>
      <c r="L1643" s="59">
        <v>0</v>
      </c>
      <c r="M1643" s="59">
        <v>0</v>
      </c>
      <c r="N1643" s="59" t="s">
        <v>3673</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3671</v>
      </c>
      <c r="BF1643" s="260" t="s">
        <v>3672</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32">
        <v>69012302</v>
      </c>
      <c r="D1644" s="260" t="s">
        <v>3674</v>
      </c>
      <c r="E1644" s="260" t="s">
        <v>3675</v>
      </c>
      <c r="F1644" s="69">
        <v>1</v>
      </c>
      <c r="G1644" s="69">
        <v>60090002</v>
      </c>
      <c r="H1644" s="59">
        <v>0</v>
      </c>
      <c r="I1644" s="59">
        <v>0</v>
      </c>
      <c r="J1644" s="69">
        <v>1</v>
      </c>
      <c r="K1644" s="69">
        <v>0</v>
      </c>
      <c r="L1644" s="59">
        <v>0</v>
      </c>
      <c r="M1644" s="59">
        <v>0</v>
      </c>
      <c r="N1644" s="59" t="s">
        <v>3676</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3674</v>
      </c>
      <c r="BF1644" s="260" t="s">
        <v>3675</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32">
        <v>69012303</v>
      </c>
      <c r="D1645" s="260" t="s">
        <v>3677</v>
      </c>
      <c r="E1645" s="260" t="s">
        <v>3678</v>
      </c>
      <c r="F1645" s="69">
        <v>1</v>
      </c>
      <c r="G1645" s="69">
        <v>60090002</v>
      </c>
      <c r="H1645" s="59">
        <v>0</v>
      </c>
      <c r="I1645" s="59">
        <v>0</v>
      </c>
      <c r="J1645" s="69">
        <v>1</v>
      </c>
      <c r="K1645" s="69">
        <v>0</v>
      </c>
      <c r="L1645" s="59">
        <v>0</v>
      </c>
      <c r="M1645" s="59">
        <v>0</v>
      </c>
      <c r="N1645" s="59" t="s">
        <v>3679</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3677</v>
      </c>
      <c r="BF1645" s="260" t="s">
        <v>3678</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32">
        <v>69012304</v>
      </c>
      <c r="D1646" s="260" t="s">
        <v>3680</v>
      </c>
      <c r="E1646" s="260" t="s">
        <v>3681</v>
      </c>
      <c r="F1646" s="69">
        <v>1</v>
      </c>
      <c r="G1646" s="69">
        <v>60090002</v>
      </c>
      <c r="H1646" s="59">
        <v>0</v>
      </c>
      <c r="I1646" s="59">
        <v>0</v>
      </c>
      <c r="J1646" s="69">
        <v>1</v>
      </c>
      <c r="K1646" s="69">
        <v>0</v>
      </c>
      <c r="L1646" s="59">
        <v>0</v>
      </c>
      <c r="M1646" s="59">
        <v>0</v>
      </c>
      <c r="N1646" s="59" t="s">
        <v>3682</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3680</v>
      </c>
      <c r="BF1646" s="260" t="s">
        <v>3681</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69013001</v>
      </c>
      <c r="D1647" s="263" t="s">
        <v>3683</v>
      </c>
      <c r="E1647" s="263" t="s">
        <v>3684</v>
      </c>
      <c r="F1647" s="264">
        <v>1</v>
      </c>
      <c r="G1647" s="264">
        <v>60090002</v>
      </c>
      <c r="H1647" s="265">
        <v>0</v>
      </c>
      <c r="I1647" s="265">
        <v>0</v>
      </c>
      <c r="J1647" s="264">
        <v>1</v>
      </c>
      <c r="K1647" s="264">
        <v>0</v>
      </c>
      <c r="L1647" s="265">
        <v>0</v>
      </c>
      <c r="M1647" s="265">
        <v>0</v>
      </c>
      <c r="N1647" s="265" t="s">
        <v>3685</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3683</v>
      </c>
      <c r="BF1647" s="260" t="s">
        <v>3684</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69013002</v>
      </c>
      <c r="D1648" s="263" t="s">
        <v>3686</v>
      </c>
      <c r="E1648" s="263" t="s">
        <v>3687</v>
      </c>
      <c r="F1648" s="264">
        <v>1</v>
      </c>
      <c r="G1648" s="264">
        <v>60090002</v>
      </c>
      <c r="H1648" s="265">
        <v>0</v>
      </c>
      <c r="I1648" s="265">
        <v>0</v>
      </c>
      <c r="J1648" s="264">
        <v>1</v>
      </c>
      <c r="K1648" s="264">
        <v>0</v>
      </c>
      <c r="L1648" s="265">
        <v>0</v>
      </c>
      <c r="M1648" s="265">
        <v>0</v>
      </c>
      <c r="N1648" s="265" t="s">
        <v>3571</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3686</v>
      </c>
      <c r="BF1648" s="260" t="s">
        <v>3687</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69013003</v>
      </c>
      <c r="D1649" s="263" t="s">
        <v>3688</v>
      </c>
      <c r="E1649" s="263" t="s">
        <v>3689</v>
      </c>
      <c r="F1649" s="264">
        <v>1</v>
      </c>
      <c r="G1649" s="264">
        <v>60090002</v>
      </c>
      <c r="H1649" s="265">
        <v>0</v>
      </c>
      <c r="I1649" s="265">
        <v>0</v>
      </c>
      <c r="J1649" s="264">
        <v>1</v>
      </c>
      <c r="K1649" s="264">
        <v>0</v>
      </c>
      <c r="L1649" s="265">
        <v>0</v>
      </c>
      <c r="M1649" s="265">
        <v>0</v>
      </c>
      <c r="N1649" s="265" t="s">
        <v>3568</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3688</v>
      </c>
      <c r="BF1649" s="260" t="s">
        <v>3689</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69013004</v>
      </c>
      <c r="D1650" s="263" t="s">
        <v>3690</v>
      </c>
      <c r="E1650" s="263" t="s">
        <v>3691</v>
      </c>
      <c r="F1650" s="264">
        <v>1</v>
      </c>
      <c r="G1650" s="264">
        <v>60090002</v>
      </c>
      <c r="H1650" s="265">
        <v>0</v>
      </c>
      <c r="I1650" s="265">
        <v>0</v>
      </c>
      <c r="J1650" s="264">
        <v>1</v>
      </c>
      <c r="K1650" s="264">
        <v>0</v>
      </c>
      <c r="L1650" s="265">
        <v>0</v>
      </c>
      <c r="M1650" s="265">
        <v>0</v>
      </c>
      <c r="N1650" s="265" t="s">
        <v>3574</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3690</v>
      </c>
      <c r="BF1650" s="260" t="s">
        <v>3691</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69013005</v>
      </c>
      <c r="D1651" s="263" t="s">
        <v>3692</v>
      </c>
      <c r="E1651" s="263" t="s">
        <v>3693</v>
      </c>
      <c r="F1651" s="264">
        <v>1</v>
      </c>
      <c r="G1651" s="264">
        <v>60090002</v>
      </c>
      <c r="H1651" s="265">
        <v>0</v>
      </c>
      <c r="I1651" s="265">
        <v>0</v>
      </c>
      <c r="J1651" s="264">
        <v>1</v>
      </c>
      <c r="K1651" s="264">
        <v>0</v>
      </c>
      <c r="L1651" s="265">
        <v>0</v>
      </c>
      <c r="M1651" s="265">
        <v>0</v>
      </c>
      <c r="N1651" s="265" t="s">
        <v>3694</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3692</v>
      </c>
      <c r="BF1651" s="260" t="s">
        <v>3693</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69013006</v>
      </c>
      <c r="D1652" s="263" t="s">
        <v>3695</v>
      </c>
      <c r="E1652" s="263" t="s">
        <v>3696</v>
      </c>
      <c r="F1652" s="264">
        <v>1</v>
      </c>
      <c r="G1652" s="264">
        <v>60090002</v>
      </c>
      <c r="H1652" s="265">
        <v>0</v>
      </c>
      <c r="I1652" s="265">
        <v>0</v>
      </c>
      <c r="J1652" s="264">
        <v>1</v>
      </c>
      <c r="K1652" s="264">
        <v>0</v>
      </c>
      <c r="L1652" s="265">
        <v>0</v>
      </c>
      <c r="M1652" s="265">
        <v>0</v>
      </c>
      <c r="N1652" s="265" t="s">
        <v>3577</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3695</v>
      </c>
      <c r="BF1652" s="260" t="s">
        <v>3696</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69013101</v>
      </c>
      <c r="D1653" s="263" t="s">
        <v>3697</v>
      </c>
      <c r="E1653" s="263" t="s">
        <v>3698</v>
      </c>
      <c r="F1653" s="264">
        <v>1</v>
      </c>
      <c r="G1653" s="264">
        <v>60090002</v>
      </c>
      <c r="H1653" s="265">
        <v>0</v>
      </c>
      <c r="I1653" s="265">
        <v>0</v>
      </c>
      <c r="J1653" s="264">
        <v>1</v>
      </c>
      <c r="K1653" s="264">
        <v>0</v>
      </c>
      <c r="L1653" s="265">
        <v>0</v>
      </c>
      <c r="M1653" s="265">
        <v>0</v>
      </c>
      <c r="N1653" s="265" t="s">
        <v>3699</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3697</v>
      </c>
      <c r="BF1653" s="260" t="s">
        <v>3698</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69013102</v>
      </c>
      <c r="D1654" s="263" t="s">
        <v>3700</v>
      </c>
      <c r="E1654" s="263" t="s">
        <v>3701</v>
      </c>
      <c r="F1654" s="264">
        <v>1</v>
      </c>
      <c r="G1654" s="264">
        <v>60090002</v>
      </c>
      <c r="H1654" s="265">
        <v>0</v>
      </c>
      <c r="I1654" s="265">
        <v>0</v>
      </c>
      <c r="J1654" s="264">
        <v>1</v>
      </c>
      <c r="K1654" s="264">
        <v>0</v>
      </c>
      <c r="L1654" s="265">
        <v>0</v>
      </c>
      <c r="M1654" s="265">
        <v>0</v>
      </c>
      <c r="N1654" s="265" t="s">
        <v>3702</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3700</v>
      </c>
      <c r="BF1654" s="260" t="s">
        <v>3701</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69013103</v>
      </c>
      <c r="D1655" s="263" t="s">
        <v>3703</v>
      </c>
      <c r="E1655" s="263" t="s">
        <v>3704</v>
      </c>
      <c r="F1655" s="264">
        <v>1</v>
      </c>
      <c r="G1655" s="264">
        <v>60090002</v>
      </c>
      <c r="H1655" s="265">
        <v>0</v>
      </c>
      <c r="I1655" s="265">
        <v>0</v>
      </c>
      <c r="J1655" s="264">
        <v>1</v>
      </c>
      <c r="K1655" s="264">
        <v>0</v>
      </c>
      <c r="L1655" s="265">
        <v>0</v>
      </c>
      <c r="M1655" s="265">
        <v>0</v>
      </c>
      <c r="N1655" s="265" t="s">
        <v>3705</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3703</v>
      </c>
      <c r="BF1655" s="260" t="s">
        <v>3704</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69013104</v>
      </c>
      <c r="D1656" s="263" t="s">
        <v>3706</v>
      </c>
      <c r="E1656" s="263" t="s">
        <v>3707</v>
      </c>
      <c r="F1656" s="264">
        <v>1</v>
      </c>
      <c r="G1656" s="264">
        <v>60090002</v>
      </c>
      <c r="H1656" s="265">
        <v>0</v>
      </c>
      <c r="I1656" s="265">
        <v>0</v>
      </c>
      <c r="J1656" s="264">
        <v>1</v>
      </c>
      <c r="K1656" s="264">
        <v>0</v>
      </c>
      <c r="L1656" s="265">
        <v>0</v>
      </c>
      <c r="M1656" s="265">
        <v>0</v>
      </c>
      <c r="N1656" s="265" t="s">
        <v>3708</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3706</v>
      </c>
      <c r="BF1656" s="260" t="s">
        <v>3707</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69013201</v>
      </c>
      <c r="D1657" s="263" t="s">
        <v>3709</v>
      </c>
      <c r="E1657" s="263" t="s">
        <v>3710</v>
      </c>
      <c r="F1657" s="264">
        <v>1</v>
      </c>
      <c r="G1657" s="264">
        <v>60090002</v>
      </c>
      <c r="H1657" s="265">
        <v>0</v>
      </c>
      <c r="I1657" s="265">
        <v>0</v>
      </c>
      <c r="J1657" s="264">
        <v>1</v>
      </c>
      <c r="K1657" s="264">
        <v>0</v>
      </c>
      <c r="L1657" s="265">
        <v>0</v>
      </c>
      <c r="M1657" s="265">
        <v>0</v>
      </c>
      <c r="N1657" s="265" t="s">
        <v>3711</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3709</v>
      </c>
      <c r="BF1657" s="260" t="s">
        <v>3710</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69013202</v>
      </c>
      <c r="D1658" s="263" t="s">
        <v>3712</v>
      </c>
      <c r="E1658" s="263" t="s">
        <v>3713</v>
      </c>
      <c r="F1658" s="264">
        <v>1</v>
      </c>
      <c r="G1658" s="264">
        <v>60090002</v>
      </c>
      <c r="H1658" s="265">
        <v>0</v>
      </c>
      <c r="I1658" s="265">
        <v>0</v>
      </c>
      <c r="J1658" s="264">
        <v>1</v>
      </c>
      <c r="K1658" s="264">
        <v>0</v>
      </c>
      <c r="L1658" s="265">
        <v>0</v>
      </c>
      <c r="M1658" s="265">
        <v>0</v>
      </c>
      <c r="N1658" s="265" t="s">
        <v>3714</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3712</v>
      </c>
      <c r="BF1658" s="260" t="s">
        <v>3713</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69013203</v>
      </c>
      <c r="D1659" s="263" t="s">
        <v>3715</v>
      </c>
      <c r="E1659" s="263" t="s">
        <v>3716</v>
      </c>
      <c r="F1659" s="264">
        <v>1</v>
      </c>
      <c r="G1659" s="264">
        <v>60090002</v>
      </c>
      <c r="H1659" s="265">
        <v>0</v>
      </c>
      <c r="I1659" s="265">
        <v>0</v>
      </c>
      <c r="J1659" s="264">
        <v>1</v>
      </c>
      <c r="K1659" s="264">
        <v>0</v>
      </c>
      <c r="L1659" s="265">
        <v>0</v>
      </c>
      <c r="M1659" s="265">
        <v>0</v>
      </c>
      <c r="N1659" s="265" t="s">
        <v>3717</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3715</v>
      </c>
      <c r="BF1659" s="260" t="s">
        <v>3716</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69013204</v>
      </c>
      <c r="D1660" s="263" t="s">
        <v>3718</v>
      </c>
      <c r="E1660" s="263" t="s">
        <v>3719</v>
      </c>
      <c r="F1660" s="264">
        <v>1</v>
      </c>
      <c r="G1660" s="264">
        <v>60090002</v>
      </c>
      <c r="H1660" s="265">
        <v>0</v>
      </c>
      <c r="I1660" s="265">
        <v>0</v>
      </c>
      <c r="J1660" s="264">
        <v>1</v>
      </c>
      <c r="K1660" s="264">
        <v>0</v>
      </c>
      <c r="L1660" s="265">
        <v>0</v>
      </c>
      <c r="M1660" s="265">
        <v>0</v>
      </c>
      <c r="N1660" s="265" t="s">
        <v>3720</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3718</v>
      </c>
      <c r="BF1660" s="260" t="s">
        <v>3719</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69013301</v>
      </c>
      <c r="D1661" s="263" t="s">
        <v>3721</v>
      </c>
      <c r="E1661" s="263" t="s">
        <v>3722</v>
      </c>
      <c r="F1661" s="264">
        <v>1</v>
      </c>
      <c r="G1661" s="264">
        <v>60090002</v>
      </c>
      <c r="H1661" s="265">
        <v>0</v>
      </c>
      <c r="I1661" s="265">
        <v>0</v>
      </c>
      <c r="J1661" s="264">
        <v>1</v>
      </c>
      <c r="K1661" s="264">
        <v>0</v>
      </c>
      <c r="L1661" s="265">
        <v>0</v>
      </c>
      <c r="M1661" s="265">
        <v>0</v>
      </c>
      <c r="N1661" s="265" t="s">
        <v>3723</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3721</v>
      </c>
      <c r="BF1661" s="260" t="s">
        <v>3722</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74">
        <v>69013302</v>
      </c>
      <c r="D1662" s="263" t="s">
        <v>3724</v>
      </c>
      <c r="E1662" s="263" t="s">
        <v>3725</v>
      </c>
      <c r="F1662" s="264">
        <v>1</v>
      </c>
      <c r="G1662" s="264">
        <v>60090002</v>
      </c>
      <c r="H1662" s="265">
        <v>0</v>
      </c>
      <c r="I1662" s="265">
        <v>0</v>
      </c>
      <c r="J1662" s="264">
        <v>1</v>
      </c>
      <c r="K1662" s="264">
        <v>0</v>
      </c>
      <c r="L1662" s="265">
        <v>0</v>
      </c>
      <c r="M1662" s="265">
        <v>0</v>
      </c>
      <c r="N1662" s="265" t="s">
        <v>3726</v>
      </c>
      <c r="O1662" s="59">
        <v>3</v>
      </c>
      <c r="P1662" s="59">
        <v>0</v>
      </c>
      <c r="Q1662" s="59">
        <v>0</v>
      </c>
      <c r="R1662" s="59">
        <v>0</v>
      </c>
      <c r="S1662" s="19">
        <v>0</v>
      </c>
      <c r="T1662" s="59">
        <v>0</v>
      </c>
      <c r="U1662" s="21">
        <v>1</v>
      </c>
      <c r="V1662" s="59">
        <v>0</v>
      </c>
      <c r="W1662" s="59">
        <v>0</v>
      </c>
      <c r="X1662" s="59">
        <v>0</v>
      </c>
      <c r="Y1662" s="19">
        <v>0</v>
      </c>
      <c r="Z1662" s="59">
        <v>0</v>
      </c>
      <c r="AA1662" s="59">
        <v>0</v>
      </c>
      <c r="AB1662" s="59">
        <v>0</v>
      </c>
      <c r="AC1662" s="59">
        <v>0</v>
      </c>
      <c r="AD1662" s="69">
        <v>0</v>
      </c>
      <c r="AE1662" s="59">
        <v>0</v>
      </c>
      <c r="AF1662" s="59">
        <v>0</v>
      </c>
      <c r="AG1662" s="59">
        <v>0</v>
      </c>
      <c r="AH1662" s="59">
        <v>0</v>
      </c>
      <c r="AI1662" s="59">
        <v>0</v>
      </c>
      <c r="AJ1662" s="59">
        <v>0</v>
      </c>
      <c r="AK1662" s="19">
        <v>0</v>
      </c>
      <c r="AL1662" s="59">
        <v>0</v>
      </c>
      <c r="AM1662" s="59">
        <v>0</v>
      </c>
      <c r="AN1662" s="59">
        <v>0</v>
      </c>
      <c r="AO1662" s="59">
        <v>0</v>
      </c>
      <c r="AP1662" s="59">
        <v>0</v>
      </c>
      <c r="AQ1662" s="59">
        <v>0</v>
      </c>
      <c r="AR1662" s="59">
        <v>0</v>
      </c>
      <c r="AS1662" s="59">
        <v>0</v>
      </c>
      <c r="AT1662" s="261">
        <v>0</v>
      </c>
      <c r="AU1662" s="59">
        <v>0</v>
      </c>
      <c r="AV1662" s="59"/>
      <c r="AW1662" s="260">
        <v>0</v>
      </c>
      <c r="AX1662" s="59">
        <v>0</v>
      </c>
      <c r="AY1662" s="59">
        <v>0</v>
      </c>
      <c r="AZ1662" s="59">
        <v>0</v>
      </c>
      <c r="BA1662" s="20" t="s">
        <v>206</v>
      </c>
      <c r="BB1662" s="59">
        <v>0</v>
      </c>
      <c r="BC1662" s="262">
        <v>0</v>
      </c>
      <c r="BD1662" s="31">
        <v>1</v>
      </c>
      <c r="BE1662" s="260" t="s">
        <v>3724</v>
      </c>
      <c r="BF1662" s="260" t="s">
        <v>3725</v>
      </c>
      <c r="BG1662" s="59">
        <v>0</v>
      </c>
      <c r="BH1662" s="70">
        <v>0</v>
      </c>
      <c r="BI1662" s="19">
        <v>0</v>
      </c>
      <c r="BJ1662" s="59">
        <v>0</v>
      </c>
      <c r="BK1662" s="59">
        <v>0</v>
      </c>
      <c r="BL1662" s="59">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74">
        <v>69013303</v>
      </c>
      <c r="D1663" s="263" t="s">
        <v>3727</v>
      </c>
      <c r="E1663" s="263" t="s">
        <v>3728</v>
      </c>
      <c r="F1663" s="264">
        <v>1</v>
      </c>
      <c r="G1663" s="264">
        <v>60090002</v>
      </c>
      <c r="H1663" s="265">
        <v>0</v>
      </c>
      <c r="I1663" s="265">
        <v>0</v>
      </c>
      <c r="J1663" s="264">
        <v>1</v>
      </c>
      <c r="K1663" s="264">
        <v>0</v>
      </c>
      <c r="L1663" s="265">
        <v>0</v>
      </c>
      <c r="M1663" s="265">
        <v>0</v>
      </c>
      <c r="N1663" s="265" t="s">
        <v>3729</v>
      </c>
      <c r="O1663" s="59">
        <v>3</v>
      </c>
      <c r="P1663" s="59">
        <v>0</v>
      </c>
      <c r="Q1663" s="59">
        <v>0</v>
      </c>
      <c r="R1663" s="59">
        <v>0</v>
      </c>
      <c r="S1663" s="19">
        <v>0</v>
      </c>
      <c r="T1663" s="59">
        <v>0</v>
      </c>
      <c r="U1663" s="21">
        <v>1</v>
      </c>
      <c r="V1663" s="59">
        <v>0</v>
      </c>
      <c r="W1663" s="59">
        <v>0</v>
      </c>
      <c r="X1663" s="59">
        <v>0</v>
      </c>
      <c r="Y1663" s="19">
        <v>0</v>
      </c>
      <c r="Z1663" s="59">
        <v>0</v>
      </c>
      <c r="AA1663" s="59">
        <v>0</v>
      </c>
      <c r="AB1663" s="59">
        <v>0</v>
      </c>
      <c r="AC1663" s="59">
        <v>0</v>
      </c>
      <c r="AD1663" s="69">
        <v>0</v>
      </c>
      <c r="AE1663" s="59">
        <v>0</v>
      </c>
      <c r="AF1663" s="59">
        <v>0</v>
      </c>
      <c r="AG1663" s="59">
        <v>0</v>
      </c>
      <c r="AH1663" s="59">
        <v>0</v>
      </c>
      <c r="AI1663" s="59">
        <v>0</v>
      </c>
      <c r="AJ1663" s="59">
        <v>0</v>
      </c>
      <c r="AK1663" s="19">
        <v>0</v>
      </c>
      <c r="AL1663" s="59">
        <v>0</v>
      </c>
      <c r="AM1663" s="59">
        <v>0</v>
      </c>
      <c r="AN1663" s="59">
        <v>0</v>
      </c>
      <c r="AO1663" s="59">
        <v>0</v>
      </c>
      <c r="AP1663" s="59">
        <v>0</v>
      </c>
      <c r="AQ1663" s="59">
        <v>0</v>
      </c>
      <c r="AR1663" s="59">
        <v>0</v>
      </c>
      <c r="AS1663" s="59">
        <v>0</v>
      </c>
      <c r="AT1663" s="261">
        <v>0</v>
      </c>
      <c r="AU1663" s="59">
        <v>0</v>
      </c>
      <c r="AV1663" s="59"/>
      <c r="AW1663" s="260">
        <v>0</v>
      </c>
      <c r="AX1663" s="59">
        <v>0</v>
      </c>
      <c r="AY1663" s="59">
        <v>0</v>
      </c>
      <c r="AZ1663" s="59">
        <v>0</v>
      </c>
      <c r="BA1663" s="20" t="s">
        <v>206</v>
      </c>
      <c r="BB1663" s="59">
        <v>0</v>
      </c>
      <c r="BC1663" s="262">
        <v>0</v>
      </c>
      <c r="BD1663" s="31">
        <v>1</v>
      </c>
      <c r="BE1663" s="260" t="s">
        <v>3727</v>
      </c>
      <c r="BF1663" s="260" t="s">
        <v>3728</v>
      </c>
      <c r="BG1663" s="59">
        <v>0</v>
      </c>
      <c r="BH1663" s="70">
        <v>0</v>
      </c>
      <c r="BI1663" s="19">
        <v>0</v>
      </c>
      <c r="BJ1663" s="59">
        <v>0</v>
      </c>
      <c r="BK1663" s="59">
        <v>0</v>
      </c>
      <c r="BL1663" s="59">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74">
        <v>69013304</v>
      </c>
      <c r="D1664" s="263" t="s">
        <v>3730</v>
      </c>
      <c r="E1664" s="263" t="s">
        <v>3731</v>
      </c>
      <c r="F1664" s="264">
        <v>1</v>
      </c>
      <c r="G1664" s="264">
        <v>60090002</v>
      </c>
      <c r="H1664" s="265">
        <v>0</v>
      </c>
      <c r="I1664" s="265">
        <v>0</v>
      </c>
      <c r="J1664" s="264">
        <v>1</v>
      </c>
      <c r="K1664" s="264">
        <v>0</v>
      </c>
      <c r="L1664" s="265">
        <v>0</v>
      </c>
      <c r="M1664" s="265">
        <v>0</v>
      </c>
      <c r="N1664" s="265" t="s">
        <v>3732</v>
      </c>
      <c r="O1664" s="59">
        <v>3</v>
      </c>
      <c r="P1664" s="59">
        <v>0</v>
      </c>
      <c r="Q1664" s="59">
        <v>0</v>
      </c>
      <c r="R1664" s="59">
        <v>0</v>
      </c>
      <c r="S1664" s="19">
        <v>0</v>
      </c>
      <c r="T1664" s="59">
        <v>0</v>
      </c>
      <c r="U1664" s="21">
        <v>1</v>
      </c>
      <c r="V1664" s="59">
        <v>0</v>
      </c>
      <c r="W1664" s="59">
        <v>0</v>
      </c>
      <c r="X1664" s="59">
        <v>0</v>
      </c>
      <c r="Y1664" s="19">
        <v>0</v>
      </c>
      <c r="Z1664" s="59">
        <v>0</v>
      </c>
      <c r="AA1664" s="59">
        <v>0</v>
      </c>
      <c r="AB1664" s="59">
        <v>0</v>
      </c>
      <c r="AC1664" s="59">
        <v>0</v>
      </c>
      <c r="AD1664" s="69">
        <v>0</v>
      </c>
      <c r="AE1664" s="59">
        <v>0</v>
      </c>
      <c r="AF1664" s="59">
        <v>0</v>
      </c>
      <c r="AG1664" s="59">
        <v>0</v>
      </c>
      <c r="AH1664" s="59">
        <v>0</v>
      </c>
      <c r="AI1664" s="59">
        <v>0</v>
      </c>
      <c r="AJ1664" s="59">
        <v>0</v>
      </c>
      <c r="AK1664" s="19">
        <v>0</v>
      </c>
      <c r="AL1664" s="59">
        <v>0</v>
      </c>
      <c r="AM1664" s="59">
        <v>0</v>
      </c>
      <c r="AN1664" s="59">
        <v>0</v>
      </c>
      <c r="AO1664" s="59">
        <v>0</v>
      </c>
      <c r="AP1664" s="59">
        <v>0</v>
      </c>
      <c r="AQ1664" s="59">
        <v>0</v>
      </c>
      <c r="AR1664" s="59">
        <v>0</v>
      </c>
      <c r="AS1664" s="59">
        <v>0</v>
      </c>
      <c r="AT1664" s="261">
        <v>0</v>
      </c>
      <c r="AU1664" s="59">
        <v>0</v>
      </c>
      <c r="AV1664" s="59"/>
      <c r="AW1664" s="260">
        <v>0</v>
      </c>
      <c r="AX1664" s="59">
        <v>0</v>
      </c>
      <c r="AY1664" s="59">
        <v>0</v>
      </c>
      <c r="AZ1664" s="59">
        <v>0</v>
      </c>
      <c r="BA1664" s="20" t="s">
        <v>206</v>
      </c>
      <c r="BB1664" s="59">
        <v>0</v>
      </c>
      <c r="BC1664" s="262">
        <v>0</v>
      </c>
      <c r="BD1664" s="31">
        <v>1</v>
      </c>
      <c r="BE1664" s="260" t="s">
        <v>3730</v>
      </c>
      <c r="BF1664" s="260" t="s">
        <v>3731</v>
      </c>
      <c r="BG1664" s="59">
        <v>0</v>
      </c>
      <c r="BH1664" s="70">
        <v>0</v>
      </c>
      <c r="BI1664" s="19">
        <v>0</v>
      </c>
      <c r="BJ1664" s="59">
        <v>0</v>
      </c>
      <c r="BK1664" s="59">
        <v>0</v>
      </c>
      <c r="BL1664" s="59">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69021001</v>
      </c>
      <c r="D1665" s="35" t="s">
        <v>3733</v>
      </c>
      <c r="E1665" s="35" t="s">
        <v>3734</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3735</v>
      </c>
      <c r="BC1665" s="31">
        <v>0</v>
      </c>
      <c r="BD1665" s="31">
        <v>1</v>
      </c>
      <c r="BE1665" s="35" t="s">
        <v>3736</v>
      </c>
      <c r="BF1665" s="35" t="s">
        <v>3737</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69021002</v>
      </c>
      <c r="D1666" s="35" t="s">
        <v>3738</v>
      </c>
      <c r="E1666" s="35" t="s">
        <v>3739</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3740</v>
      </c>
      <c r="BC1666" s="31">
        <v>0</v>
      </c>
      <c r="BD1666" s="31">
        <v>1</v>
      </c>
      <c r="BE1666" s="35" t="s">
        <v>3741</v>
      </c>
      <c r="BF1666" s="35" t="s">
        <v>3742</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69021003</v>
      </c>
      <c r="D1667" s="35" t="s">
        <v>3743</v>
      </c>
      <c r="E1667" s="35" t="s">
        <v>3744</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3745</v>
      </c>
      <c r="BC1667" s="31">
        <v>0</v>
      </c>
      <c r="BD1667" s="31">
        <v>1</v>
      </c>
      <c r="BE1667" s="35" t="s">
        <v>3746</v>
      </c>
      <c r="BF1667" s="35" t="s">
        <v>3747</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69021004</v>
      </c>
      <c r="D1668" s="35" t="s">
        <v>3748</v>
      </c>
      <c r="E1668" s="35" t="s">
        <v>3749</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3750</v>
      </c>
      <c r="BC1668" s="31">
        <v>0</v>
      </c>
      <c r="BD1668" s="31">
        <v>1</v>
      </c>
      <c r="BE1668" s="35" t="s">
        <v>3751</v>
      </c>
      <c r="BF1668" s="35" t="s">
        <v>3752</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69021005</v>
      </c>
      <c r="D1669" s="35" t="s">
        <v>3753</v>
      </c>
      <c r="E1669" s="35" t="s">
        <v>3754</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3755</v>
      </c>
      <c r="BC1669" s="31">
        <v>0</v>
      </c>
      <c r="BD1669" s="31">
        <v>1</v>
      </c>
      <c r="BE1669" s="35" t="s">
        <v>3756</v>
      </c>
      <c r="BF1669" s="35" t="s">
        <v>3757</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69021006</v>
      </c>
      <c r="D1670" s="35" t="s">
        <v>3758</v>
      </c>
      <c r="E1670" s="35" t="s">
        <v>3759</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3760</v>
      </c>
      <c r="BC1670" s="31">
        <v>0</v>
      </c>
      <c r="BD1670" s="31">
        <v>1</v>
      </c>
      <c r="BE1670" s="35" t="s">
        <v>3761</v>
      </c>
      <c r="BF1670" s="35" t="s">
        <v>3762</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69021007</v>
      </c>
      <c r="D1671" s="35" t="s">
        <v>3763</v>
      </c>
      <c r="E1671" s="35" t="s">
        <v>3764</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3765</v>
      </c>
      <c r="BC1671" s="31">
        <v>0</v>
      </c>
      <c r="BD1671" s="31">
        <v>1</v>
      </c>
      <c r="BE1671" s="35" t="s">
        <v>3766</v>
      </c>
      <c r="BF1671" s="35" t="s">
        <v>3767</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69021008</v>
      </c>
      <c r="D1672" s="35" t="s">
        <v>3768</v>
      </c>
      <c r="E1672" s="35" t="s">
        <v>3769</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3770</v>
      </c>
      <c r="BC1672" s="31">
        <v>0</v>
      </c>
      <c r="BD1672" s="31">
        <v>1</v>
      </c>
      <c r="BE1672" s="35" t="s">
        <v>3771</v>
      </c>
      <c r="BF1672" s="35" t="s">
        <v>3772</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69021009</v>
      </c>
      <c r="D1673" s="35" t="s">
        <v>3773</v>
      </c>
      <c r="E1673" s="35" t="s">
        <v>3774</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3452</v>
      </c>
      <c r="BC1673" s="31">
        <v>0</v>
      </c>
      <c r="BD1673" s="31">
        <v>1</v>
      </c>
      <c r="BE1673" s="35" t="s">
        <v>3775</v>
      </c>
      <c r="BF1673" s="35" t="s">
        <v>3776</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69021010</v>
      </c>
      <c r="D1674" s="35" t="s">
        <v>3777</v>
      </c>
      <c r="E1674" s="35" t="s">
        <v>3778</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3779</v>
      </c>
      <c r="BC1674" s="31">
        <v>0</v>
      </c>
      <c r="BD1674" s="31">
        <v>1</v>
      </c>
      <c r="BE1674" s="35" t="s">
        <v>3780</v>
      </c>
      <c r="BF1674" s="35" t="s">
        <v>3781</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69021011</v>
      </c>
      <c r="D1675" s="35" t="s">
        <v>3782</v>
      </c>
      <c r="E1675" s="35" t="s">
        <v>3783</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3784</v>
      </c>
      <c r="BC1675" s="31">
        <v>0</v>
      </c>
      <c r="BD1675" s="31">
        <v>1</v>
      </c>
      <c r="BE1675" s="35" t="s">
        <v>3785</v>
      </c>
      <c r="BF1675" s="35" t="s">
        <v>3786</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69021012</v>
      </c>
      <c r="D1676" s="35" t="s">
        <v>3782</v>
      </c>
      <c r="E1676" s="35" t="s">
        <v>3783</v>
      </c>
      <c r="F1676" s="32">
        <v>1</v>
      </c>
      <c r="G1676" s="32">
        <v>68000015</v>
      </c>
      <c r="H1676" s="32">
        <v>0</v>
      </c>
      <c r="I1676" s="31">
        <v>0</v>
      </c>
      <c r="J1676" s="32">
        <v>1</v>
      </c>
      <c r="K1676" s="32">
        <v>0</v>
      </c>
      <c r="L1676" s="32">
        <v>0</v>
      </c>
      <c r="M1676" s="32">
        <v>0</v>
      </c>
      <c r="N1676" s="32">
        <v>0</v>
      </c>
      <c r="O1676" s="32">
        <v>8</v>
      </c>
      <c r="P1676" s="32">
        <v>0</v>
      </c>
      <c r="Q1676" s="32">
        <v>0</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19"/>
      <c r="AU1676" s="32" t="s">
        <v>204</v>
      </c>
      <c r="AV1676" s="32"/>
      <c r="AW1676" s="35" t="s">
        <v>205</v>
      </c>
      <c r="AX1676" s="32">
        <v>0</v>
      </c>
      <c r="AY1676" s="32">
        <v>0</v>
      </c>
      <c r="AZ1676" s="32">
        <v>0</v>
      </c>
      <c r="BA1676" s="35" t="s">
        <v>206</v>
      </c>
      <c r="BB1676" s="35" t="s">
        <v>2925</v>
      </c>
      <c r="BC1676" s="31">
        <v>0</v>
      </c>
      <c r="BD1676" s="31">
        <v>1</v>
      </c>
      <c r="BE1676" s="35" t="s">
        <v>3787</v>
      </c>
      <c r="BF1676" s="35" t="s">
        <v>3788</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69021013</v>
      </c>
      <c r="D1677" s="35" t="s">
        <v>3782</v>
      </c>
      <c r="E1677" s="35" t="s">
        <v>3783</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2977</v>
      </c>
      <c r="BC1677" s="31">
        <v>0</v>
      </c>
      <c r="BD1677" s="31">
        <v>1</v>
      </c>
      <c r="BE1677" s="35" t="s">
        <v>3789</v>
      </c>
      <c r="BF1677" s="35" t="s">
        <v>3790</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69021014</v>
      </c>
      <c r="D1678" s="35" t="s">
        <v>3782</v>
      </c>
      <c r="E1678" s="35" t="s">
        <v>3783</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204</v>
      </c>
      <c r="AV1678" s="32"/>
      <c r="AW1678" s="35" t="s">
        <v>205</v>
      </c>
      <c r="AX1678" s="32">
        <v>0</v>
      </c>
      <c r="AY1678" s="32">
        <v>0</v>
      </c>
      <c r="AZ1678" s="32">
        <v>0</v>
      </c>
      <c r="BA1678" s="35" t="s">
        <v>206</v>
      </c>
      <c r="BB1678" s="35" t="s">
        <v>2960</v>
      </c>
      <c r="BC1678" s="31">
        <v>0</v>
      </c>
      <c r="BD1678" s="31">
        <v>1</v>
      </c>
      <c r="BE1678" s="35" t="s">
        <v>3791</v>
      </c>
      <c r="BF1678" s="35" t="s">
        <v>3792</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69031001</v>
      </c>
      <c r="D1679" s="35" t="s">
        <v>763</v>
      </c>
      <c r="E1679" s="35" t="s">
        <v>405</v>
      </c>
      <c r="F1679" s="32">
        <v>1</v>
      </c>
      <c r="G1679" s="32">
        <v>68000110</v>
      </c>
      <c r="H1679" s="32">
        <v>0</v>
      </c>
      <c r="I1679" s="31">
        <v>0</v>
      </c>
      <c r="J1679" s="25">
        <v>1</v>
      </c>
      <c r="K1679" s="32">
        <v>0</v>
      </c>
      <c r="L1679" s="32">
        <v>0</v>
      </c>
      <c r="M1679" s="32">
        <v>0</v>
      </c>
      <c r="N1679" s="32">
        <v>0</v>
      </c>
      <c r="O1679" s="32">
        <v>2</v>
      </c>
      <c r="P1679" s="32">
        <v>1</v>
      </c>
      <c r="Q1679" s="32">
        <v>0.05</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253">
        <v>69000021</v>
      </c>
      <c r="AU1679" s="32" t="s">
        <v>204</v>
      </c>
      <c r="AV1679" s="32"/>
      <c r="AW1679" s="35" t="s">
        <v>205</v>
      </c>
      <c r="AX1679" s="32">
        <v>0</v>
      </c>
      <c r="AY1679" s="32">
        <v>0</v>
      </c>
      <c r="AZ1679" s="32">
        <v>0</v>
      </c>
      <c r="BA1679" s="35" t="s">
        <v>206</v>
      </c>
      <c r="BB1679" s="35" t="s">
        <v>204</v>
      </c>
      <c r="BC1679" s="31">
        <v>0</v>
      </c>
      <c r="BD1679" s="31">
        <v>1</v>
      </c>
      <c r="BE1679" s="60" t="s">
        <v>3793</v>
      </c>
      <c r="BF1679" s="60" t="s">
        <v>3794</v>
      </c>
      <c r="BG1679" s="32">
        <v>0</v>
      </c>
      <c r="BH1679" s="21">
        <v>0</v>
      </c>
      <c r="BI1679" s="32">
        <v>0</v>
      </c>
      <c r="BJ1679" s="32">
        <v>0</v>
      </c>
      <c r="BK1679" s="32">
        <v>0</v>
      </c>
      <c r="BL1679" s="32">
        <v>0</v>
      </c>
      <c r="BM1679" s="25">
        <v>0</v>
      </c>
      <c r="BN1679" s="19">
        <v>0</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69031002</v>
      </c>
      <c r="D1680" s="35" t="s">
        <v>3795</v>
      </c>
      <c r="E1680" s="35" t="s">
        <v>3796</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3797</v>
      </c>
      <c r="BC1680" s="31">
        <v>0</v>
      </c>
      <c r="BD1680" s="31">
        <v>1</v>
      </c>
      <c r="BE1680" s="35" t="s">
        <v>3798</v>
      </c>
      <c r="BF1680" s="35" t="s">
        <v>3799</v>
      </c>
      <c r="BG1680" s="32">
        <v>0</v>
      </c>
      <c r="BH1680" s="21">
        <v>0</v>
      </c>
      <c r="BI1680" s="32">
        <v>0</v>
      </c>
      <c r="BJ1680" s="32">
        <v>0</v>
      </c>
      <c r="BK1680" s="32">
        <v>0</v>
      </c>
      <c r="BL1680" s="32">
        <v>0</v>
      </c>
      <c r="BM1680" s="25">
        <v>0</v>
      </c>
      <c r="BN1680" s="19">
        <v>0</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69031003</v>
      </c>
      <c r="D1681" s="35" t="s">
        <v>3800</v>
      </c>
      <c r="E1681" s="35" t="s">
        <v>3801</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204</v>
      </c>
      <c r="AV1681" s="32"/>
      <c r="AW1681" s="35" t="s">
        <v>205</v>
      </c>
      <c r="AX1681" s="32">
        <v>0</v>
      </c>
      <c r="AY1681" s="32">
        <v>0</v>
      </c>
      <c r="AZ1681" s="32">
        <v>0</v>
      </c>
      <c r="BA1681" s="35" t="s">
        <v>206</v>
      </c>
      <c r="BB1681" s="35" t="s">
        <v>3802</v>
      </c>
      <c r="BC1681" s="31">
        <v>0</v>
      </c>
      <c r="BD1681" s="31">
        <v>1</v>
      </c>
      <c r="BE1681" s="35" t="s">
        <v>3803</v>
      </c>
      <c r="BF1681" s="35" t="s">
        <v>3804</v>
      </c>
      <c r="BG1681" s="32">
        <v>0</v>
      </c>
      <c r="BH1681" s="21">
        <v>0</v>
      </c>
      <c r="BI1681" s="32">
        <v>0</v>
      </c>
      <c r="BJ1681" s="32">
        <v>0</v>
      </c>
      <c r="BK1681" s="32">
        <v>0</v>
      </c>
      <c r="BL1681" s="32">
        <v>0</v>
      </c>
      <c r="BM1681" s="25">
        <v>0</v>
      </c>
      <c r="BN1681" s="19">
        <v>0</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69031004</v>
      </c>
      <c r="D1682" s="35" t="s">
        <v>3805</v>
      </c>
      <c r="E1682" s="35" t="s">
        <v>3124</v>
      </c>
      <c r="F1682" s="32">
        <v>1</v>
      </c>
      <c r="G1682" s="32">
        <v>68000110</v>
      </c>
      <c r="H1682" s="32">
        <v>0</v>
      </c>
      <c r="I1682" s="31">
        <v>0</v>
      </c>
      <c r="J1682" s="25">
        <v>1</v>
      </c>
      <c r="K1682" s="32">
        <v>0</v>
      </c>
      <c r="L1682" s="32">
        <v>0</v>
      </c>
      <c r="M1682" s="32">
        <v>0</v>
      </c>
      <c r="N1682" s="32">
        <v>0</v>
      </c>
      <c r="O1682" s="32">
        <v>2</v>
      </c>
      <c r="P1682" s="32">
        <v>1</v>
      </c>
      <c r="Q1682" s="32">
        <v>0.05</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18</v>
      </c>
      <c r="AG1682" s="32">
        <v>0</v>
      </c>
      <c r="AH1682" s="32">
        <v>0</v>
      </c>
      <c r="AI1682" s="19">
        <v>2</v>
      </c>
      <c r="AJ1682" s="19">
        <v>0</v>
      </c>
      <c r="AK1682" s="19">
        <v>0</v>
      </c>
      <c r="AL1682" s="19">
        <v>0</v>
      </c>
      <c r="AM1682" s="32">
        <v>0</v>
      </c>
      <c r="AN1682" s="32">
        <v>0</v>
      </c>
      <c r="AO1682" s="32">
        <v>0</v>
      </c>
      <c r="AP1682" s="32">
        <v>0</v>
      </c>
      <c r="AQ1682" s="32">
        <v>1000</v>
      </c>
      <c r="AR1682" s="32">
        <v>0</v>
      </c>
      <c r="AS1682" s="32">
        <v>0</v>
      </c>
      <c r="AT1682" s="253">
        <v>69000071</v>
      </c>
      <c r="AU1682" s="32" t="s">
        <v>204</v>
      </c>
      <c r="AV1682" s="32"/>
      <c r="AW1682" s="35" t="s">
        <v>205</v>
      </c>
      <c r="AX1682" s="32">
        <v>0</v>
      </c>
      <c r="AY1682" s="32">
        <v>0</v>
      </c>
      <c r="AZ1682" s="32">
        <v>0</v>
      </c>
      <c r="BA1682" s="35" t="s">
        <v>206</v>
      </c>
      <c r="BB1682" s="35" t="s">
        <v>204</v>
      </c>
      <c r="BC1682" s="31">
        <v>0</v>
      </c>
      <c r="BD1682" s="31">
        <v>1</v>
      </c>
      <c r="BE1682" s="22" t="s">
        <v>3806</v>
      </c>
      <c r="BF1682" s="22" t="s">
        <v>3807</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69031005</v>
      </c>
      <c r="D1683" s="35" t="s">
        <v>2792</v>
      </c>
      <c r="E1683" s="35" t="s">
        <v>2793</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3808</v>
      </c>
      <c r="BC1683" s="31">
        <v>0</v>
      </c>
      <c r="BD1683" s="31">
        <v>1</v>
      </c>
      <c r="BE1683" s="35" t="s">
        <v>3809</v>
      </c>
      <c r="BF1683" s="35" t="s">
        <v>3810</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69031006</v>
      </c>
      <c r="D1684" s="35" t="s">
        <v>3811</v>
      </c>
      <c r="E1684" s="35" t="s">
        <v>3812</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204</v>
      </c>
      <c r="AV1684" s="32"/>
      <c r="AW1684" s="35" t="s">
        <v>205</v>
      </c>
      <c r="AX1684" s="32">
        <v>0</v>
      </c>
      <c r="AY1684" s="32">
        <v>0</v>
      </c>
      <c r="AZ1684" s="32">
        <v>0</v>
      </c>
      <c r="BA1684" s="35" t="s">
        <v>206</v>
      </c>
      <c r="BB1684" s="35" t="s">
        <v>3813</v>
      </c>
      <c r="BC1684" s="31">
        <v>0</v>
      </c>
      <c r="BD1684" s="31">
        <v>1</v>
      </c>
      <c r="BE1684" s="35" t="s">
        <v>3814</v>
      </c>
      <c r="BF1684" s="35" t="s">
        <v>3815</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69031007</v>
      </c>
      <c r="D1685" s="35" t="s">
        <v>3816</v>
      </c>
      <c r="E1685" s="35" t="s">
        <v>3817</v>
      </c>
      <c r="F1685" s="32">
        <v>1</v>
      </c>
      <c r="G1685" s="32">
        <v>68000110</v>
      </c>
      <c r="H1685" s="32">
        <v>0</v>
      </c>
      <c r="I1685" s="31">
        <v>0</v>
      </c>
      <c r="J1685" s="25">
        <v>1</v>
      </c>
      <c r="K1685" s="32">
        <v>0</v>
      </c>
      <c r="L1685" s="32">
        <v>0</v>
      </c>
      <c r="M1685" s="32">
        <v>0</v>
      </c>
      <c r="N1685" s="32">
        <v>0</v>
      </c>
      <c r="O1685" s="32">
        <v>2</v>
      </c>
      <c r="P1685" s="32">
        <v>1</v>
      </c>
      <c r="Q1685" s="32">
        <v>0.15</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5</v>
      </c>
      <c r="AG1685" s="32">
        <v>0</v>
      </c>
      <c r="AH1685" s="32">
        <v>0</v>
      </c>
      <c r="AI1685" s="19">
        <v>2</v>
      </c>
      <c r="AJ1685" s="19">
        <v>0</v>
      </c>
      <c r="AK1685" s="19">
        <v>0</v>
      </c>
      <c r="AL1685" s="19">
        <v>0</v>
      </c>
      <c r="AM1685" s="32">
        <v>0</v>
      </c>
      <c r="AN1685" s="32">
        <v>0</v>
      </c>
      <c r="AO1685" s="32">
        <v>0</v>
      </c>
      <c r="AP1685" s="32">
        <v>0</v>
      </c>
      <c r="AQ1685" s="32">
        <v>1000</v>
      </c>
      <c r="AR1685" s="32">
        <v>0</v>
      </c>
      <c r="AS1685" s="32">
        <v>0</v>
      </c>
      <c r="AT1685" s="266">
        <v>10001001</v>
      </c>
      <c r="AU1685" s="32" t="s">
        <v>204</v>
      </c>
      <c r="AV1685" s="32"/>
      <c r="AW1685" s="35" t="s">
        <v>205</v>
      </c>
      <c r="AX1685" s="32">
        <v>0</v>
      </c>
      <c r="AY1685" s="32">
        <v>0</v>
      </c>
      <c r="AZ1685" s="32">
        <v>0</v>
      </c>
      <c r="BA1685" s="35" t="s">
        <v>206</v>
      </c>
      <c r="BB1685" s="35" t="s">
        <v>204</v>
      </c>
      <c r="BC1685" s="31">
        <v>0</v>
      </c>
      <c r="BD1685" s="31">
        <v>1</v>
      </c>
      <c r="BE1685" s="60" t="s">
        <v>3818</v>
      </c>
      <c r="BF1685" s="60" t="s">
        <v>3819</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69031008</v>
      </c>
      <c r="D1686" s="35" t="s">
        <v>3820</v>
      </c>
      <c r="E1686" s="35" t="s">
        <v>3821</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3822</v>
      </c>
      <c r="BC1686" s="31">
        <v>0</v>
      </c>
      <c r="BD1686" s="31">
        <v>1</v>
      </c>
      <c r="BE1686" s="35" t="s">
        <v>3823</v>
      </c>
      <c r="BF1686" s="35" t="s">
        <v>3824</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69031009</v>
      </c>
      <c r="D1687" s="35" t="s">
        <v>3805</v>
      </c>
      <c r="E1687" s="35" t="s">
        <v>3124</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204</v>
      </c>
      <c r="AV1687" s="32"/>
      <c r="AW1687" s="35" t="s">
        <v>205</v>
      </c>
      <c r="AX1687" s="32">
        <v>0</v>
      </c>
      <c r="AY1687" s="32">
        <v>0</v>
      </c>
      <c r="AZ1687" s="32">
        <v>0</v>
      </c>
      <c r="BA1687" s="35" t="s">
        <v>206</v>
      </c>
      <c r="BB1687" s="35" t="s">
        <v>3825</v>
      </c>
      <c r="BC1687" s="31">
        <v>0</v>
      </c>
      <c r="BD1687" s="31">
        <v>1</v>
      </c>
      <c r="BE1687" s="35" t="s">
        <v>3826</v>
      </c>
      <c r="BF1687" s="35" t="s">
        <v>3827</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69031010</v>
      </c>
      <c r="D1688" s="35" t="s">
        <v>3828</v>
      </c>
      <c r="E1688" s="35" t="s">
        <v>3829</v>
      </c>
      <c r="F1688" s="32">
        <v>1</v>
      </c>
      <c r="G1688" s="32">
        <v>68000110</v>
      </c>
      <c r="H1688" s="32">
        <v>0</v>
      </c>
      <c r="I1688" s="31">
        <v>0</v>
      </c>
      <c r="J1688" s="25">
        <v>1</v>
      </c>
      <c r="K1688" s="32">
        <v>0</v>
      </c>
      <c r="L1688" s="32">
        <v>0</v>
      </c>
      <c r="M1688" s="32">
        <v>0</v>
      </c>
      <c r="N1688" s="32">
        <v>0</v>
      </c>
      <c r="O1688" s="32">
        <v>2</v>
      </c>
      <c r="P1688" s="32">
        <v>4</v>
      </c>
      <c r="Q1688" s="32">
        <v>0.3</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253">
        <v>69000022</v>
      </c>
      <c r="AU1688" s="32" t="s">
        <v>204</v>
      </c>
      <c r="AV1688" s="32"/>
      <c r="AW1688" s="35" t="s">
        <v>205</v>
      </c>
      <c r="AX1688" s="32">
        <v>0</v>
      </c>
      <c r="AY1688" s="32">
        <v>0</v>
      </c>
      <c r="AZ1688" s="32">
        <v>0</v>
      </c>
      <c r="BA1688" s="35" t="s">
        <v>206</v>
      </c>
      <c r="BB1688" s="35" t="s">
        <v>204</v>
      </c>
      <c r="BC1688" s="31">
        <v>0</v>
      </c>
      <c r="BD1688" s="31">
        <v>1</v>
      </c>
      <c r="BE1688" s="35" t="s">
        <v>3830</v>
      </c>
      <c r="BF1688" s="35" t="s">
        <v>3831</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69032001</v>
      </c>
      <c r="D1689" s="35" t="s">
        <v>3832</v>
      </c>
      <c r="E1689" s="35" t="s">
        <v>3833</v>
      </c>
      <c r="F1689" s="32">
        <v>1</v>
      </c>
      <c r="G1689" s="32">
        <v>68000015</v>
      </c>
      <c r="H1689" s="32">
        <v>0</v>
      </c>
      <c r="I1689" s="31">
        <v>0</v>
      </c>
      <c r="J1689" s="32">
        <v>1</v>
      </c>
      <c r="K1689" s="32">
        <v>0</v>
      </c>
      <c r="L1689" s="32">
        <v>0</v>
      </c>
      <c r="M1689" s="32">
        <v>0</v>
      </c>
      <c r="N1689" s="32">
        <v>0</v>
      </c>
      <c r="O1689" s="32">
        <v>8</v>
      </c>
      <c r="P1689" s="32">
        <v>0</v>
      </c>
      <c r="Q1689" s="32">
        <v>0</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19"/>
      <c r="AU1689" s="32" t="s">
        <v>204</v>
      </c>
      <c r="AV1689" s="32"/>
      <c r="AW1689" s="35" t="s">
        <v>205</v>
      </c>
      <c r="AX1689" s="32">
        <v>0</v>
      </c>
      <c r="AY1689" s="32">
        <v>0</v>
      </c>
      <c r="AZ1689" s="32">
        <v>0</v>
      </c>
      <c r="BA1689" s="35" t="s">
        <v>206</v>
      </c>
      <c r="BB1689" s="35" t="s">
        <v>3834</v>
      </c>
      <c r="BC1689" s="31">
        <v>0</v>
      </c>
      <c r="BD1689" s="31">
        <v>1</v>
      </c>
      <c r="BE1689" s="267" t="s">
        <v>3835</v>
      </c>
      <c r="BF1689" s="267" t="s">
        <v>3836</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69032002</v>
      </c>
      <c r="D1690" s="35" t="s">
        <v>3837</v>
      </c>
      <c r="E1690" s="35" t="s">
        <v>3838</v>
      </c>
      <c r="F1690" s="32">
        <v>1</v>
      </c>
      <c r="G1690" s="32">
        <v>68000015</v>
      </c>
      <c r="H1690" s="32">
        <v>0</v>
      </c>
      <c r="I1690" s="31">
        <v>0</v>
      </c>
      <c r="J1690" s="32">
        <v>1</v>
      </c>
      <c r="K1690" s="32">
        <v>0</v>
      </c>
      <c r="L1690" s="32">
        <v>0</v>
      </c>
      <c r="M1690" s="32">
        <v>0</v>
      </c>
      <c r="N1690" s="32">
        <v>0</v>
      </c>
      <c r="O1690" s="32">
        <v>8</v>
      </c>
      <c r="P1690" s="32">
        <v>0</v>
      </c>
      <c r="Q1690" s="32">
        <v>0</v>
      </c>
      <c r="R1690" s="32">
        <v>0</v>
      </c>
      <c r="S1690" s="19">
        <v>0</v>
      </c>
      <c r="T1690" s="31">
        <v>0</v>
      </c>
      <c r="U1690" s="21">
        <v>1</v>
      </c>
      <c r="V1690" s="32">
        <v>2</v>
      </c>
      <c r="W1690" s="32">
        <v>0</v>
      </c>
      <c r="X1690" s="32">
        <v>0</v>
      </c>
      <c r="Y1690" s="19">
        <v>0</v>
      </c>
      <c r="Z1690" s="32">
        <v>0</v>
      </c>
      <c r="AA1690" s="32">
        <v>0</v>
      </c>
      <c r="AB1690" s="32">
        <v>0</v>
      </c>
      <c r="AC1690" s="32">
        <v>0</v>
      </c>
      <c r="AD1690" s="32">
        <v>1</v>
      </c>
      <c r="AE1690" s="32">
        <v>0</v>
      </c>
      <c r="AF1690" s="32">
        <v>18</v>
      </c>
      <c r="AG1690" s="32">
        <v>0</v>
      </c>
      <c r="AH1690" s="32">
        <v>0</v>
      </c>
      <c r="AI1690" s="19">
        <v>2</v>
      </c>
      <c r="AJ1690" s="19">
        <v>0</v>
      </c>
      <c r="AK1690" s="19">
        <v>0</v>
      </c>
      <c r="AL1690" s="19">
        <v>0</v>
      </c>
      <c r="AM1690" s="32">
        <v>0</v>
      </c>
      <c r="AN1690" s="32">
        <v>0</v>
      </c>
      <c r="AO1690" s="32">
        <v>0</v>
      </c>
      <c r="AP1690" s="32">
        <v>0</v>
      </c>
      <c r="AQ1690" s="32">
        <v>1000</v>
      </c>
      <c r="AR1690" s="32">
        <v>0</v>
      </c>
      <c r="AS1690" s="32">
        <v>0</v>
      </c>
      <c r="AT1690" s="19"/>
      <c r="AU1690" s="32" t="s">
        <v>204</v>
      </c>
      <c r="AV1690" s="32"/>
      <c r="AW1690" s="35" t="s">
        <v>205</v>
      </c>
      <c r="AX1690" s="32">
        <v>0</v>
      </c>
      <c r="AY1690" s="32">
        <v>0</v>
      </c>
      <c r="AZ1690" s="32">
        <v>0</v>
      </c>
      <c r="BA1690" s="35" t="s">
        <v>206</v>
      </c>
      <c r="BB1690" s="35" t="s">
        <v>3839</v>
      </c>
      <c r="BC1690" s="31">
        <v>0</v>
      </c>
      <c r="BD1690" s="31">
        <v>1</v>
      </c>
      <c r="BE1690" s="267" t="s">
        <v>3840</v>
      </c>
      <c r="BF1690" s="267" t="s">
        <v>3841</v>
      </c>
      <c r="BG1690" s="32">
        <v>0</v>
      </c>
      <c r="BH1690" s="21">
        <v>0</v>
      </c>
      <c r="BI1690" s="32">
        <v>0</v>
      </c>
      <c r="BJ1690" s="32">
        <v>0</v>
      </c>
      <c r="BK1690" s="32">
        <v>0</v>
      </c>
      <c r="BL1690" s="32">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69032003</v>
      </c>
      <c r="D1691" s="35" t="s">
        <v>3842</v>
      </c>
      <c r="E1691" s="35" t="s">
        <v>3843</v>
      </c>
      <c r="F1691" s="32">
        <v>1</v>
      </c>
      <c r="G1691" s="32">
        <v>68000015</v>
      </c>
      <c r="H1691" s="32">
        <v>0</v>
      </c>
      <c r="I1691" s="31">
        <v>0</v>
      </c>
      <c r="J1691" s="32">
        <v>1</v>
      </c>
      <c r="K1691" s="32">
        <v>0</v>
      </c>
      <c r="L1691" s="32">
        <v>0</v>
      </c>
      <c r="M1691" s="32">
        <v>0</v>
      </c>
      <c r="N1691" s="32">
        <v>0</v>
      </c>
      <c r="O1691" s="32">
        <v>8</v>
      </c>
      <c r="P1691" s="32">
        <v>0</v>
      </c>
      <c r="Q1691" s="32">
        <v>0</v>
      </c>
      <c r="R1691" s="32">
        <v>0</v>
      </c>
      <c r="S1691" s="19">
        <v>0</v>
      </c>
      <c r="T1691" s="31">
        <v>0</v>
      </c>
      <c r="U1691" s="21">
        <v>1</v>
      </c>
      <c r="V1691" s="32">
        <v>2</v>
      </c>
      <c r="W1691" s="32">
        <v>0</v>
      </c>
      <c r="X1691" s="32">
        <v>0</v>
      </c>
      <c r="Y1691" s="19">
        <v>0</v>
      </c>
      <c r="Z1691" s="32">
        <v>0</v>
      </c>
      <c r="AA1691" s="32">
        <v>0</v>
      </c>
      <c r="AB1691" s="32">
        <v>0</v>
      </c>
      <c r="AC1691" s="32">
        <v>0</v>
      </c>
      <c r="AD1691" s="32">
        <v>1</v>
      </c>
      <c r="AE1691" s="32">
        <v>0</v>
      </c>
      <c r="AF1691" s="32">
        <v>18</v>
      </c>
      <c r="AG1691" s="32">
        <v>0</v>
      </c>
      <c r="AH1691" s="32">
        <v>0</v>
      </c>
      <c r="AI1691" s="19">
        <v>2</v>
      </c>
      <c r="AJ1691" s="19">
        <v>0</v>
      </c>
      <c r="AK1691" s="19">
        <v>0</v>
      </c>
      <c r="AL1691" s="19">
        <v>0</v>
      </c>
      <c r="AM1691" s="32">
        <v>0</v>
      </c>
      <c r="AN1691" s="32">
        <v>0</v>
      </c>
      <c r="AO1691" s="32">
        <v>0</v>
      </c>
      <c r="AP1691" s="32">
        <v>0</v>
      </c>
      <c r="AQ1691" s="32">
        <v>1000</v>
      </c>
      <c r="AR1691" s="32">
        <v>0</v>
      </c>
      <c r="AS1691" s="32">
        <v>0</v>
      </c>
      <c r="AT1691" s="19"/>
      <c r="AU1691" s="32" t="s">
        <v>204</v>
      </c>
      <c r="AV1691" s="32"/>
      <c r="AW1691" s="35" t="s">
        <v>205</v>
      </c>
      <c r="AX1691" s="32">
        <v>0</v>
      </c>
      <c r="AY1691" s="32">
        <v>0</v>
      </c>
      <c r="AZ1691" s="32">
        <v>0</v>
      </c>
      <c r="BA1691" s="35" t="s">
        <v>206</v>
      </c>
      <c r="BB1691" s="35" t="s">
        <v>3844</v>
      </c>
      <c r="BC1691" s="31">
        <v>0</v>
      </c>
      <c r="BD1691" s="31">
        <v>1</v>
      </c>
      <c r="BE1691" s="267" t="s">
        <v>3845</v>
      </c>
      <c r="BF1691" s="267" t="s">
        <v>3846</v>
      </c>
      <c r="BG1691" s="32">
        <v>0</v>
      </c>
      <c r="BH1691" s="21">
        <v>0</v>
      </c>
      <c r="BI1691" s="32">
        <v>0</v>
      </c>
      <c r="BJ1691" s="32">
        <v>0</v>
      </c>
      <c r="BK1691" s="32">
        <v>0</v>
      </c>
      <c r="BL1691" s="32">
        <v>0</v>
      </c>
      <c r="BM1691" s="25">
        <v>0</v>
      </c>
      <c r="BN1691" s="19">
        <v>1</v>
      </c>
      <c r="BO1691" s="19">
        <v>0</v>
      </c>
      <c r="BP1691" s="19">
        <v>0</v>
      </c>
      <c r="BQ1691" s="19">
        <v>0</v>
      </c>
      <c r="BR1691" s="19">
        <v>0</v>
      </c>
      <c r="BS1691" s="19">
        <v>0</v>
      </c>
      <c r="BT1691" s="19">
        <v>0</v>
      </c>
      <c r="BU1691" s="23">
        <v>0</v>
      </c>
      <c r="BV1691" s="23"/>
      <c r="BW1691" s="23"/>
      <c r="BX1691" s="23"/>
      <c r="BY1691" s="23"/>
      <c r="BZ1691" s="23"/>
    </row>
    <row r="1692" spans="3:78" ht="20.100000000000001" customHeight="1">
      <c r="C1692" s="32">
        <v>69032004</v>
      </c>
      <c r="D1692" s="35" t="s">
        <v>3847</v>
      </c>
      <c r="E1692" s="35" t="s">
        <v>3848</v>
      </c>
      <c r="F1692" s="32">
        <v>1</v>
      </c>
      <c r="G1692" s="32">
        <v>68000110</v>
      </c>
      <c r="H1692" s="32">
        <v>0</v>
      </c>
      <c r="I1692" s="31">
        <v>0</v>
      </c>
      <c r="J1692" s="25">
        <v>1</v>
      </c>
      <c r="K1692" s="32">
        <v>0</v>
      </c>
      <c r="L1692" s="32">
        <v>0</v>
      </c>
      <c r="M1692" s="32">
        <v>0</v>
      </c>
      <c r="N1692" s="32">
        <v>0</v>
      </c>
      <c r="O1692" s="32">
        <v>2</v>
      </c>
      <c r="P1692" s="32">
        <v>3</v>
      </c>
      <c r="Q1692" s="32">
        <v>0.05</v>
      </c>
      <c r="R1692" s="32">
        <v>0</v>
      </c>
      <c r="S1692" s="19">
        <v>0</v>
      </c>
      <c r="T1692" s="31">
        <v>0</v>
      </c>
      <c r="U1692" s="21">
        <v>1</v>
      </c>
      <c r="V1692" s="32">
        <v>2</v>
      </c>
      <c r="W1692" s="32">
        <v>0</v>
      </c>
      <c r="X1692" s="32">
        <v>0</v>
      </c>
      <c r="Y1692" s="19">
        <v>0</v>
      </c>
      <c r="Z1692" s="32">
        <v>0</v>
      </c>
      <c r="AA1692" s="32">
        <v>0</v>
      </c>
      <c r="AB1692" s="32">
        <v>0</v>
      </c>
      <c r="AC1692" s="32">
        <v>0</v>
      </c>
      <c r="AD1692" s="32">
        <v>1</v>
      </c>
      <c r="AE1692" s="32">
        <v>0</v>
      </c>
      <c r="AF1692" s="32">
        <v>18</v>
      </c>
      <c r="AG1692" s="32">
        <v>0</v>
      </c>
      <c r="AH1692" s="32">
        <v>0</v>
      </c>
      <c r="AI1692" s="19">
        <v>2</v>
      </c>
      <c r="AJ1692" s="19">
        <v>0</v>
      </c>
      <c r="AK1692" s="19">
        <v>0</v>
      </c>
      <c r="AL1692" s="19">
        <v>0</v>
      </c>
      <c r="AM1692" s="32">
        <v>0</v>
      </c>
      <c r="AN1692" s="32">
        <v>0</v>
      </c>
      <c r="AO1692" s="32">
        <v>0</v>
      </c>
      <c r="AP1692" s="32">
        <v>0</v>
      </c>
      <c r="AQ1692" s="32">
        <v>1000</v>
      </c>
      <c r="AR1692" s="32">
        <v>0</v>
      </c>
      <c r="AS1692" s="32">
        <v>0</v>
      </c>
      <c r="AT1692" s="253">
        <v>69000101</v>
      </c>
      <c r="AU1692" s="32" t="s">
        <v>204</v>
      </c>
      <c r="AV1692" s="32"/>
      <c r="AW1692" s="35" t="s">
        <v>205</v>
      </c>
      <c r="AX1692" s="32">
        <v>0</v>
      </c>
      <c r="AY1692" s="32">
        <v>0</v>
      </c>
      <c r="AZ1692" s="32">
        <v>0</v>
      </c>
      <c r="BA1692" s="35" t="s">
        <v>206</v>
      </c>
      <c r="BB1692" s="35" t="s">
        <v>204</v>
      </c>
      <c r="BC1692" s="31">
        <v>0</v>
      </c>
      <c r="BD1692" s="31">
        <v>1</v>
      </c>
      <c r="BE1692" s="60" t="s">
        <v>3849</v>
      </c>
      <c r="BF1692" s="60" t="s">
        <v>3850</v>
      </c>
      <c r="BG1692" s="32">
        <v>0</v>
      </c>
      <c r="BH1692" s="21">
        <v>0</v>
      </c>
      <c r="BI1692" s="32">
        <v>0</v>
      </c>
      <c r="BJ1692" s="32">
        <v>0</v>
      </c>
      <c r="BK1692" s="32">
        <v>0</v>
      </c>
      <c r="BL1692" s="32">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69032005</v>
      </c>
      <c r="D1693" s="20" t="s">
        <v>3851</v>
      </c>
      <c r="E1693" s="20" t="s">
        <v>3852</v>
      </c>
      <c r="F1693" s="32">
        <v>1</v>
      </c>
      <c r="G1693" s="32">
        <v>66001007</v>
      </c>
      <c r="H1693" s="19">
        <v>0</v>
      </c>
      <c r="I1693" s="19">
        <v>0</v>
      </c>
      <c r="J1693" s="32">
        <v>1</v>
      </c>
      <c r="K1693" s="32">
        <v>0</v>
      </c>
      <c r="L1693" s="19">
        <v>0</v>
      </c>
      <c r="M1693" s="19">
        <v>0</v>
      </c>
      <c r="N1693" s="19">
        <v>0</v>
      </c>
      <c r="O1693" s="19">
        <v>2</v>
      </c>
      <c r="P1693" s="19">
        <v>3</v>
      </c>
      <c r="Q1693" s="19">
        <v>0.15</v>
      </c>
      <c r="R1693" s="19">
        <v>0</v>
      </c>
      <c r="S1693" s="19">
        <v>0</v>
      </c>
      <c r="T1693" s="19">
        <v>0</v>
      </c>
      <c r="U1693" s="21">
        <v>1</v>
      </c>
      <c r="V1693" s="19">
        <v>2</v>
      </c>
      <c r="W1693" s="19">
        <v>0</v>
      </c>
      <c r="X1693" s="19">
        <v>0</v>
      </c>
      <c r="Y1693" s="19">
        <v>0</v>
      </c>
      <c r="Z1693" s="19">
        <v>0</v>
      </c>
      <c r="AA1693" s="19">
        <v>0</v>
      </c>
      <c r="AB1693" s="19">
        <v>0</v>
      </c>
      <c r="AC1693" s="19">
        <v>0</v>
      </c>
      <c r="AD1693" s="32">
        <v>1</v>
      </c>
      <c r="AE1693" s="19">
        <v>0</v>
      </c>
      <c r="AF1693" s="19">
        <v>15</v>
      </c>
      <c r="AG1693" s="19">
        <v>0</v>
      </c>
      <c r="AH1693" s="19">
        <v>0</v>
      </c>
      <c r="AI1693" s="19">
        <v>7</v>
      </c>
      <c r="AJ1693" s="19">
        <v>0</v>
      </c>
      <c r="AK1693" s="19">
        <v>0</v>
      </c>
      <c r="AL1693" s="19">
        <v>6</v>
      </c>
      <c r="AM1693" s="19">
        <v>0</v>
      </c>
      <c r="AN1693" s="19">
        <v>0</v>
      </c>
      <c r="AO1693" s="19">
        <v>0</v>
      </c>
      <c r="AP1693" s="19">
        <v>0.5</v>
      </c>
      <c r="AQ1693" s="19">
        <v>1000</v>
      </c>
      <c r="AR1693" s="19">
        <v>0</v>
      </c>
      <c r="AS1693" s="19">
        <v>0</v>
      </c>
      <c r="AT1693" s="253">
        <v>0</v>
      </c>
      <c r="AU1693" s="19">
        <v>69000121</v>
      </c>
      <c r="AV1693" s="19"/>
      <c r="AW1693" s="20" t="s">
        <v>262</v>
      </c>
      <c r="AX1693" s="19" t="s">
        <v>1802</v>
      </c>
      <c r="AY1693" s="19" t="s">
        <v>204</v>
      </c>
      <c r="AZ1693" s="19" t="s">
        <v>2030</v>
      </c>
      <c r="BA1693" s="20" t="s">
        <v>206</v>
      </c>
      <c r="BB1693" s="19">
        <v>0</v>
      </c>
      <c r="BC1693" s="31">
        <v>0</v>
      </c>
      <c r="BD1693" s="31">
        <v>1</v>
      </c>
      <c r="BE1693" s="267" t="s">
        <v>3561</v>
      </c>
      <c r="BF1693" s="267" t="s">
        <v>3853</v>
      </c>
      <c r="BG1693" s="19">
        <v>0</v>
      </c>
      <c r="BH1693" s="21">
        <v>0</v>
      </c>
      <c r="BI1693" s="19">
        <v>0</v>
      </c>
      <c r="BJ1693" s="19">
        <v>0</v>
      </c>
      <c r="BK1693" s="19">
        <v>0</v>
      </c>
      <c r="BL1693" s="19">
        <v>0</v>
      </c>
      <c r="BM1693" s="25">
        <v>0</v>
      </c>
      <c r="BN1693" s="19">
        <v>1</v>
      </c>
      <c r="BO1693" s="19">
        <v>0</v>
      </c>
      <c r="BP1693" s="19">
        <v>0</v>
      </c>
      <c r="BQ1693" s="19">
        <v>0</v>
      </c>
      <c r="BR1693" s="19">
        <v>0</v>
      </c>
      <c r="BS1693" s="19">
        <v>0</v>
      </c>
      <c r="BT1693" s="19">
        <v>0</v>
      </c>
      <c r="BU1693" s="23">
        <v>0</v>
      </c>
      <c r="BV1693" s="23"/>
      <c r="BW1693" s="23"/>
      <c r="BX1693" s="23"/>
      <c r="BY1693" s="23"/>
      <c r="BZ1693" s="23"/>
    </row>
    <row r="1694" spans="3:78" ht="20.100000000000001" customHeight="1">
      <c r="C1694" s="32">
        <v>69032006</v>
      </c>
      <c r="D1694" s="179" t="s">
        <v>3854</v>
      </c>
      <c r="E1694" s="179" t="s">
        <v>3855</v>
      </c>
      <c r="F1694" s="180">
        <v>1</v>
      </c>
      <c r="G1694" s="180">
        <v>66001007</v>
      </c>
      <c r="H1694" s="180">
        <v>0</v>
      </c>
      <c r="I1694" s="180">
        <v>0</v>
      </c>
      <c r="J1694" s="180">
        <v>1</v>
      </c>
      <c r="K1694" s="180">
        <v>0</v>
      </c>
      <c r="L1694" s="180">
        <v>0</v>
      </c>
      <c r="M1694" s="180">
        <v>0</v>
      </c>
      <c r="N1694" s="180">
        <v>0</v>
      </c>
      <c r="O1694" s="180">
        <v>2</v>
      </c>
      <c r="P1694" s="180">
        <v>2</v>
      </c>
      <c r="Q1694" s="180">
        <v>0.1</v>
      </c>
      <c r="R1694" s="180">
        <v>0</v>
      </c>
      <c r="S1694" s="180">
        <v>0</v>
      </c>
      <c r="T1694" s="180">
        <v>0</v>
      </c>
      <c r="U1694" s="180">
        <v>1</v>
      </c>
      <c r="V1694" s="180">
        <v>2</v>
      </c>
      <c r="W1694" s="180">
        <v>0</v>
      </c>
      <c r="X1694" s="180">
        <v>0</v>
      </c>
      <c r="Y1694" s="19">
        <v>0</v>
      </c>
      <c r="Z1694" s="180">
        <v>0</v>
      </c>
      <c r="AA1694" s="180">
        <v>0</v>
      </c>
      <c r="AB1694" s="180">
        <v>0</v>
      </c>
      <c r="AC1694" s="180">
        <v>0</v>
      </c>
      <c r="AD1694" s="180">
        <v>1</v>
      </c>
      <c r="AE1694" s="180">
        <v>0</v>
      </c>
      <c r="AF1694" s="180">
        <v>15</v>
      </c>
      <c r="AG1694" s="180">
        <v>0</v>
      </c>
      <c r="AH1694" s="180">
        <v>0</v>
      </c>
      <c r="AI1694" s="180">
        <v>7</v>
      </c>
      <c r="AJ1694" s="180">
        <v>0</v>
      </c>
      <c r="AK1694" s="180">
        <v>0</v>
      </c>
      <c r="AL1694" s="180">
        <v>6</v>
      </c>
      <c r="AM1694" s="180">
        <v>0</v>
      </c>
      <c r="AN1694" s="180">
        <v>0</v>
      </c>
      <c r="AO1694" s="180">
        <v>0</v>
      </c>
      <c r="AP1694" s="180">
        <v>0</v>
      </c>
      <c r="AQ1694" s="180">
        <v>1000</v>
      </c>
      <c r="AR1694" s="180">
        <v>0</v>
      </c>
      <c r="AS1694" s="180">
        <v>0</v>
      </c>
      <c r="AT1694" s="268">
        <v>10001003</v>
      </c>
      <c r="AU1694" s="180">
        <v>0</v>
      </c>
      <c r="AV1694" s="180"/>
      <c r="AW1694" s="179" t="s">
        <v>262</v>
      </c>
      <c r="AX1694" s="180" t="s">
        <v>1802</v>
      </c>
      <c r="AY1694" s="180" t="s">
        <v>204</v>
      </c>
      <c r="AZ1694" s="180">
        <v>0</v>
      </c>
      <c r="BA1694" s="179" t="s">
        <v>206</v>
      </c>
      <c r="BB1694" s="180">
        <v>0</v>
      </c>
      <c r="BC1694" s="180">
        <v>0</v>
      </c>
      <c r="BD1694" s="31">
        <v>1</v>
      </c>
      <c r="BE1694" s="269" t="s">
        <v>3856</v>
      </c>
      <c r="BF1694" s="269" t="s">
        <v>3857</v>
      </c>
      <c r="BG1694" s="180">
        <v>0</v>
      </c>
      <c r="BH1694" s="180">
        <v>0</v>
      </c>
      <c r="BI1694" s="180">
        <v>0</v>
      </c>
      <c r="BJ1694" s="180">
        <v>0</v>
      </c>
      <c r="BK1694" s="180">
        <v>0</v>
      </c>
      <c r="BL1694" s="180">
        <v>0</v>
      </c>
      <c r="BM1694" s="244">
        <v>0</v>
      </c>
      <c r="BN1694" s="19">
        <v>1</v>
      </c>
      <c r="BO1694" s="180">
        <v>0</v>
      </c>
      <c r="BP1694" s="180">
        <v>0</v>
      </c>
      <c r="BQ1694" s="180">
        <v>0</v>
      </c>
      <c r="BR1694" s="180">
        <v>0</v>
      </c>
      <c r="BS1694" s="180">
        <v>0</v>
      </c>
      <c r="BT1694" s="19">
        <v>0</v>
      </c>
      <c r="BU1694" s="23">
        <v>0</v>
      </c>
      <c r="BV1694" s="23"/>
      <c r="BW1694" s="23"/>
      <c r="BX1694" s="23"/>
      <c r="BY1694" s="23"/>
      <c r="BZ1694" s="23"/>
    </row>
    <row r="1695" spans="3:78" ht="19.5" customHeight="1">
      <c r="C1695" s="32">
        <v>69032007</v>
      </c>
      <c r="D1695" s="35" t="s">
        <v>3858</v>
      </c>
      <c r="E1695" s="35" t="s">
        <v>3859</v>
      </c>
      <c r="F1695" s="21">
        <v>1</v>
      </c>
      <c r="G1695" s="32">
        <v>62021301</v>
      </c>
      <c r="H1695" s="21">
        <v>62021203</v>
      </c>
      <c r="I1695" s="31">
        <v>0</v>
      </c>
      <c r="J1695" s="21">
        <v>32</v>
      </c>
      <c r="K1695" s="21">
        <v>2</v>
      </c>
      <c r="L1695" s="21">
        <v>0</v>
      </c>
      <c r="M1695" s="32">
        <v>0</v>
      </c>
      <c r="N1695" s="32">
        <v>0</v>
      </c>
      <c r="O1695" s="32">
        <v>2</v>
      </c>
      <c r="P1695" s="32">
        <v>14</v>
      </c>
      <c r="Q1695" s="32">
        <v>1</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3</v>
      </c>
      <c r="AG1695" s="32">
        <v>1</v>
      </c>
      <c r="AH1695" s="32">
        <v>3</v>
      </c>
      <c r="AI1695" s="19">
        <v>2</v>
      </c>
      <c r="AJ1695" s="19">
        <v>2</v>
      </c>
      <c r="AK1695" s="19">
        <v>0</v>
      </c>
      <c r="AL1695" s="19">
        <v>0</v>
      </c>
      <c r="AM1695" s="32">
        <v>0</v>
      </c>
      <c r="AN1695" s="32">
        <v>0</v>
      </c>
      <c r="AO1695" s="32">
        <v>0</v>
      </c>
      <c r="AP1695" s="32">
        <v>0</v>
      </c>
      <c r="AQ1695" s="32">
        <v>2000</v>
      </c>
      <c r="AR1695" s="32">
        <v>0</v>
      </c>
      <c r="AS1695" s="32">
        <v>0</v>
      </c>
      <c r="AT1695" s="19">
        <v>69000141</v>
      </c>
      <c r="AU1695" s="32">
        <v>0</v>
      </c>
      <c r="AV1695" s="32"/>
      <c r="AW1695" s="35" t="s">
        <v>205</v>
      </c>
      <c r="AX1695" s="32" t="s">
        <v>551</v>
      </c>
      <c r="AY1695" s="32">
        <v>0</v>
      </c>
      <c r="AZ1695" s="32">
        <v>0</v>
      </c>
      <c r="BA1695" s="35" t="s">
        <v>206</v>
      </c>
      <c r="BB1695" s="35">
        <v>0</v>
      </c>
      <c r="BC1695" s="31">
        <v>0</v>
      </c>
      <c r="BD1695" s="31">
        <v>0</v>
      </c>
      <c r="BE1695" s="267" t="s">
        <v>3860</v>
      </c>
      <c r="BF1695" s="267" t="s">
        <v>3861</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69032008</v>
      </c>
      <c r="D1696" s="35" t="s">
        <v>3862</v>
      </c>
      <c r="E1696" s="35" t="s">
        <v>3863</v>
      </c>
      <c r="F1696" s="32">
        <v>1</v>
      </c>
      <c r="G1696" s="32">
        <v>68000002</v>
      </c>
      <c r="H1696" s="32">
        <v>0</v>
      </c>
      <c r="I1696" s="31">
        <v>0</v>
      </c>
      <c r="J1696" s="32">
        <v>1</v>
      </c>
      <c r="K1696" s="32">
        <v>0</v>
      </c>
      <c r="L1696" s="32">
        <v>0</v>
      </c>
      <c r="M1696" s="32">
        <v>0</v>
      </c>
      <c r="N1696" s="32">
        <v>0</v>
      </c>
      <c r="O1696" s="32">
        <v>2</v>
      </c>
      <c r="P1696" s="32">
        <v>0</v>
      </c>
      <c r="Q1696" s="32">
        <v>0</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0</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v>0</v>
      </c>
      <c r="AU1696" s="32" t="s">
        <v>204</v>
      </c>
      <c r="AV1696" s="32"/>
      <c r="AW1696" s="35" t="s">
        <v>205</v>
      </c>
      <c r="AX1696" s="32">
        <v>0</v>
      </c>
      <c r="AY1696" s="32">
        <v>0</v>
      </c>
      <c r="AZ1696" s="32">
        <v>0</v>
      </c>
      <c r="BA1696" s="35" t="s">
        <v>206</v>
      </c>
      <c r="BB1696" s="35" t="s">
        <v>3864</v>
      </c>
      <c r="BC1696" s="31">
        <v>0</v>
      </c>
      <c r="BD1696" s="31">
        <v>1</v>
      </c>
      <c r="BE1696" s="60" t="s">
        <v>3865</v>
      </c>
      <c r="BF1696" s="60" t="s">
        <v>3866</v>
      </c>
      <c r="BG1696" s="32">
        <v>0</v>
      </c>
      <c r="BH1696" s="21">
        <v>0</v>
      </c>
      <c r="BI1696" s="32">
        <v>0</v>
      </c>
      <c r="BJ1696" s="32">
        <v>0</v>
      </c>
      <c r="BK1696" s="32">
        <v>0</v>
      </c>
      <c r="BL1696" s="32">
        <v>0</v>
      </c>
      <c r="BM1696" s="25">
        <v>0</v>
      </c>
      <c r="BN1696" s="19">
        <v>1</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69032009</v>
      </c>
      <c r="D1697" s="35" t="s">
        <v>3867</v>
      </c>
      <c r="E1697" s="35" t="s">
        <v>3868</v>
      </c>
      <c r="F1697" s="32">
        <v>1</v>
      </c>
      <c r="G1697" s="32">
        <v>68000002</v>
      </c>
      <c r="H1697" s="32">
        <v>0</v>
      </c>
      <c r="I1697" s="31">
        <v>0</v>
      </c>
      <c r="J1697" s="32">
        <v>1</v>
      </c>
      <c r="K1697" s="32">
        <v>0</v>
      </c>
      <c r="L1697" s="32">
        <v>0</v>
      </c>
      <c r="M1697" s="32">
        <v>0</v>
      </c>
      <c r="N1697" s="32">
        <v>0</v>
      </c>
      <c r="O1697" s="32">
        <v>8</v>
      </c>
      <c r="P1697" s="32">
        <v>0</v>
      </c>
      <c r="Q1697" s="32">
        <v>0</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0</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v>0</v>
      </c>
      <c r="AU1697" s="32" t="s">
        <v>204</v>
      </c>
      <c r="AV1697" s="32"/>
      <c r="AW1697" s="35" t="s">
        <v>205</v>
      </c>
      <c r="AX1697" s="32">
        <v>0</v>
      </c>
      <c r="AY1697" s="32">
        <v>0</v>
      </c>
      <c r="AZ1697" s="32">
        <v>0</v>
      </c>
      <c r="BA1697" s="35" t="s">
        <v>206</v>
      </c>
      <c r="BB1697" s="35" t="s">
        <v>3869</v>
      </c>
      <c r="BC1697" s="31">
        <v>0</v>
      </c>
      <c r="BD1697" s="31">
        <v>1</v>
      </c>
      <c r="BE1697" s="60" t="s">
        <v>3870</v>
      </c>
      <c r="BF1697" s="60" t="s">
        <v>3871</v>
      </c>
      <c r="BG1697" s="32">
        <v>0</v>
      </c>
      <c r="BH1697" s="21">
        <v>0</v>
      </c>
      <c r="BI1697" s="32">
        <v>0</v>
      </c>
      <c r="BJ1697" s="32">
        <v>0</v>
      </c>
      <c r="BK1697" s="32">
        <v>0</v>
      </c>
      <c r="BL1697" s="32">
        <v>0</v>
      </c>
      <c r="BM1697" s="25">
        <v>0</v>
      </c>
      <c r="BN1697" s="19">
        <v>1</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69032010</v>
      </c>
      <c r="D1698" s="35" t="s">
        <v>3872</v>
      </c>
      <c r="E1698" s="35" t="s">
        <v>3873</v>
      </c>
      <c r="F1698" s="32">
        <v>1</v>
      </c>
      <c r="G1698" s="32">
        <v>68000002</v>
      </c>
      <c r="H1698" s="32">
        <v>0</v>
      </c>
      <c r="I1698" s="31">
        <v>0</v>
      </c>
      <c r="J1698" s="32">
        <v>1</v>
      </c>
      <c r="K1698" s="32">
        <v>0</v>
      </c>
      <c r="L1698" s="32">
        <v>0</v>
      </c>
      <c r="M1698" s="32">
        <v>0</v>
      </c>
      <c r="N1698" s="32">
        <v>0</v>
      </c>
      <c r="O1698" s="32">
        <v>2</v>
      </c>
      <c r="P1698" s="32">
        <v>5</v>
      </c>
      <c r="Q1698" s="32">
        <v>0.2</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0</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v>10001002</v>
      </c>
      <c r="AU1698" s="32" t="s">
        <v>204</v>
      </c>
      <c r="AV1698" s="32"/>
      <c r="AW1698" s="35" t="s">
        <v>205</v>
      </c>
      <c r="AX1698" s="32">
        <v>0</v>
      </c>
      <c r="AY1698" s="32">
        <v>0</v>
      </c>
      <c r="AZ1698" s="32">
        <v>0</v>
      </c>
      <c r="BA1698" s="35" t="s">
        <v>206</v>
      </c>
      <c r="BB1698" s="35" t="s">
        <v>204</v>
      </c>
      <c r="BC1698" s="31">
        <v>0</v>
      </c>
      <c r="BD1698" s="31">
        <v>1</v>
      </c>
      <c r="BE1698" s="60" t="s">
        <v>3874</v>
      </c>
      <c r="BF1698" s="60" t="s">
        <v>3875</v>
      </c>
      <c r="BG1698" s="32">
        <v>0</v>
      </c>
      <c r="BH1698" s="21">
        <v>0</v>
      </c>
      <c r="BI1698" s="32">
        <v>0</v>
      </c>
      <c r="BJ1698" s="32">
        <v>0</v>
      </c>
      <c r="BK1698" s="32">
        <v>0</v>
      </c>
      <c r="BL1698" s="32">
        <v>0</v>
      </c>
      <c r="BM1698" s="25">
        <v>0</v>
      </c>
      <c r="BN1698" s="19">
        <v>1</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69033101</v>
      </c>
      <c r="D1699" s="35" t="s">
        <v>3876</v>
      </c>
      <c r="E1699" s="35" t="s">
        <v>3877</v>
      </c>
      <c r="F1699" s="32">
        <v>1</v>
      </c>
      <c r="G1699" s="32">
        <v>68000015</v>
      </c>
      <c r="H1699" s="32">
        <v>0</v>
      </c>
      <c r="I1699" s="31">
        <v>0</v>
      </c>
      <c r="J1699" s="32">
        <v>1</v>
      </c>
      <c r="K1699" s="32">
        <v>0</v>
      </c>
      <c r="L1699" s="32">
        <v>0</v>
      </c>
      <c r="M1699" s="32">
        <v>0</v>
      </c>
      <c r="N1699" s="32">
        <v>0</v>
      </c>
      <c r="O1699" s="32">
        <v>5</v>
      </c>
      <c r="P1699" s="32">
        <v>11</v>
      </c>
      <c r="Q1699" s="32">
        <v>200001</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200001</v>
      </c>
      <c r="BD1699" s="31">
        <v>1</v>
      </c>
      <c r="BE1699" s="35" t="s">
        <v>3878</v>
      </c>
      <c r="BF1699" s="35" t="s">
        <v>3879</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69033102</v>
      </c>
      <c r="D1700" s="35" t="s">
        <v>3876</v>
      </c>
      <c r="E1700" s="35" t="s">
        <v>3877</v>
      </c>
      <c r="F1700" s="32">
        <v>1</v>
      </c>
      <c r="G1700" s="32">
        <v>68000015</v>
      </c>
      <c r="H1700" s="32">
        <v>0</v>
      </c>
      <c r="I1700" s="31">
        <v>0</v>
      </c>
      <c r="J1700" s="32">
        <v>1</v>
      </c>
      <c r="K1700" s="32">
        <v>0</v>
      </c>
      <c r="L1700" s="32">
        <v>0</v>
      </c>
      <c r="M1700" s="32">
        <v>0</v>
      </c>
      <c r="N1700" s="32">
        <v>0</v>
      </c>
      <c r="O1700" s="32">
        <v>5</v>
      </c>
      <c r="P1700" s="32">
        <v>11</v>
      </c>
      <c r="Q1700" s="32">
        <v>200002</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200002</v>
      </c>
      <c r="BD1700" s="31">
        <v>1</v>
      </c>
      <c r="BE1700" s="35" t="s">
        <v>3880</v>
      </c>
      <c r="BF1700" s="35" t="s">
        <v>3881</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69033103</v>
      </c>
      <c r="D1701" s="35" t="s">
        <v>3876</v>
      </c>
      <c r="E1701" s="35" t="s">
        <v>3877</v>
      </c>
      <c r="F1701" s="32">
        <v>1</v>
      </c>
      <c r="G1701" s="32">
        <v>68000015</v>
      </c>
      <c r="H1701" s="32">
        <v>0</v>
      </c>
      <c r="I1701" s="31">
        <v>0</v>
      </c>
      <c r="J1701" s="32">
        <v>1</v>
      </c>
      <c r="K1701" s="32">
        <v>0</v>
      </c>
      <c r="L1701" s="32">
        <v>0</v>
      </c>
      <c r="M1701" s="32">
        <v>0</v>
      </c>
      <c r="N1701" s="32">
        <v>0</v>
      </c>
      <c r="O1701" s="32">
        <v>5</v>
      </c>
      <c r="P1701" s="32">
        <v>11</v>
      </c>
      <c r="Q1701" s="32">
        <v>200003</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200003</v>
      </c>
      <c r="BD1701" s="31">
        <v>1</v>
      </c>
      <c r="BE1701" s="35" t="s">
        <v>3882</v>
      </c>
      <c r="BF1701" s="35" t="s">
        <v>3883</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69033104</v>
      </c>
      <c r="D1702" s="35" t="s">
        <v>3876</v>
      </c>
      <c r="E1702" s="35" t="s">
        <v>3877</v>
      </c>
      <c r="F1702" s="32">
        <v>1</v>
      </c>
      <c r="G1702" s="32">
        <v>68000015</v>
      </c>
      <c r="H1702" s="32">
        <v>0</v>
      </c>
      <c r="I1702" s="31">
        <v>0</v>
      </c>
      <c r="J1702" s="32">
        <v>1</v>
      </c>
      <c r="K1702" s="32">
        <v>0</v>
      </c>
      <c r="L1702" s="32">
        <v>0</v>
      </c>
      <c r="M1702" s="32">
        <v>0</v>
      </c>
      <c r="N1702" s="32">
        <v>0</v>
      </c>
      <c r="O1702" s="32">
        <v>5</v>
      </c>
      <c r="P1702" s="32">
        <v>11</v>
      </c>
      <c r="Q1702" s="32">
        <v>200005</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200005</v>
      </c>
      <c r="BD1702" s="31">
        <v>1</v>
      </c>
      <c r="BE1702" s="35" t="s">
        <v>3884</v>
      </c>
      <c r="BF1702" s="35" t="s">
        <v>3885</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69033105</v>
      </c>
      <c r="D1703" s="35" t="s">
        <v>3876</v>
      </c>
      <c r="E1703" s="35" t="s">
        <v>3877</v>
      </c>
      <c r="F1703" s="32">
        <v>1</v>
      </c>
      <c r="G1703" s="32">
        <v>68000015</v>
      </c>
      <c r="H1703" s="32">
        <v>0</v>
      </c>
      <c r="I1703" s="31">
        <v>0</v>
      </c>
      <c r="J1703" s="32">
        <v>1</v>
      </c>
      <c r="K1703" s="32">
        <v>0</v>
      </c>
      <c r="L1703" s="32">
        <v>0</v>
      </c>
      <c r="M1703" s="32">
        <v>0</v>
      </c>
      <c r="N1703" s="32">
        <v>0</v>
      </c>
      <c r="O1703" s="32">
        <v>5</v>
      </c>
      <c r="P1703" s="32">
        <v>11</v>
      </c>
      <c r="Q1703" s="32">
        <v>200007</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200007</v>
      </c>
      <c r="BD1703" s="31">
        <v>1</v>
      </c>
      <c r="BE1703" s="35" t="s">
        <v>3886</v>
      </c>
      <c r="BF1703" s="35" t="s">
        <v>3887</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69033106</v>
      </c>
      <c r="D1704" s="35" t="s">
        <v>3876</v>
      </c>
      <c r="E1704" s="35" t="s">
        <v>3877</v>
      </c>
      <c r="F1704" s="32">
        <v>1</v>
      </c>
      <c r="G1704" s="32">
        <v>68000015</v>
      </c>
      <c r="H1704" s="32">
        <v>0</v>
      </c>
      <c r="I1704" s="31">
        <v>0</v>
      </c>
      <c r="J1704" s="32">
        <v>1</v>
      </c>
      <c r="K1704" s="32">
        <v>0</v>
      </c>
      <c r="L1704" s="32">
        <v>0</v>
      </c>
      <c r="M1704" s="32">
        <v>0</v>
      </c>
      <c r="N1704" s="32">
        <v>0</v>
      </c>
      <c r="O1704" s="32">
        <v>5</v>
      </c>
      <c r="P1704" s="32">
        <v>11</v>
      </c>
      <c r="Q1704" s="32">
        <v>200008</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200008</v>
      </c>
      <c r="BD1704" s="31">
        <v>1</v>
      </c>
      <c r="BE1704" s="35" t="s">
        <v>3888</v>
      </c>
      <c r="BF1704" s="35" t="s">
        <v>3889</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69033201</v>
      </c>
      <c r="D1705" s="35" t="s">
        <v>3876</v>
      </c>
      <c r="E1705" s="35" t="s">
        <v>3877</v>
      </c>
      <c r="F1705" s="32">
        <v>1</v>
      </c>
      <c r="G1705" s="32">
        <v>68000015</v>
      </c>
      <c r="H1705" s="32">
        <v>0</v>
      </c>
      <c r="I1705" s="31">
        <v>0</v>
      </c>
      <c r="J1705" s="32">
        <v>1</v>
      </c>
      <c r="K1705" s="32">
        <v>0</v>
      </c>
      <c r="L1705" s="32">
        <v>0</v>
      </c>
      <c r="M1705" s="32">
        <v>0</v>
      </c>
      <c r="N1705" s="32">
        <v>0</v>
      </c>
      <c r="O1705" s="32">
        <v>5</v>
      </c>
      <c r="P1705" s="32">
        <v>11</v>
      </c>
      <c r="Q1705" s="32">
        <v>200002</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200014</v>
      </c>
      <c r="BD1705" s="31">
        <v>1</v>
      </c>
      <c r="BE1705" s="35" t="s">
        <v>3890</v>
      </c>
      <c r="BF1705" s="35" t="s">
        <v>3891</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69033202</v>
      </c>
      <c r="D1706" s="35" t="s">
        <v>3876</v>
      </c>
      <c r="E1706" s="35" t="s">
        <v>3877</v>
      </c>
      <c r="F1706" s="32">
        <v>1</v>
      </c>
      <c r="G1706" s="32">
        <v>68000015</v>
      </c>
      <c r="H1706" s="32">
        <v>0</v>
      </c>
      <c r="I1706" s="31">
        <v>0</v>
      </c>
      <c r="J1706" s="32">
        <v>1</v>
      </c>
      <c r="K1706" s="32">
        <v>0</v>
      </c>
      <c r="L1706" s="32">
        <v>0</v>
      </c>
      <c r="M1706" s="32">
        <v>0</v>
      </c>
      <c r="N1706" s="32">
        <v>0</v>
      </c>
      <c r="O1706" s="32">
        <v>5</v>
      </c>
      <c r="P1706" s="32">
        <v>11</v>
      </c>
      <c r="Q1706" s="32">
        <v>200005</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200013</v>
      </c>
      <c r="BD1706" s="31">
        <v>1</v>
      </c>
      <c r="BE1706" s="35" t="s">
        <v>3892</v>
      </c>
      <c r="BF1706" s="35" t="s">
        <v>3893</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69033203</v>
      </c>
      <c r="D1707" s="35" t="s">
        <v>3876</v>
      </c>
      <c r="E1707" s="35" t="s">
        <v>3877</v>
      </c>
      <c r="F1707" s="32">
        <v>1</v>
      </c>
      <c r="G1707" s="32">
        <v>68000015</v>
      </c>
      <c r="H1707" s="32">
        <v>0</v>
      </c>
      <c r="I1707" s="31">
        <v>0</v>
      </c>
      <c r="J1707" s="32">
        <v>1</v>
      </c>
      <c r="K1707" s="32">
        <v>0</v>
      </c>
      <c r="L1707" s="32">
        <v>0</v>
      </c>
      <c r="M1707" s="32">
        <v>0</v>
      </c>
      <c r="N1707" s="32">
        <v>0</v>
      </c>
      <c r="O1707" s="32">
        <v>5</v>
      </c>
      <c r="P1707" s="32">
        <v>11</v>
      </c>
      <c r="Q1707" s="32">
        <v>200007</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200007</v>
      </c>
      <c r="BD1707" s="31">
        <v>1</v>
      </c>
      <c r="BE1707" s="35" t="s">
        <v>3894</v>
      </c>
      <c r="BF1707" s="35" t="s">
        <v>3895</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69033204</v>
      </c>
      <c r="D1708" s="35" t="s">
        <v>3876</v>
      </c>
      <c r="E1708" s="35" t="s">
        <v>3877</v>
      </c>
      <c r="F1708" s="32">
        <v>1</v>
      </c>
      <c r="G1708" s="32">
        <v>68000015</v>
      </c>
      <c r="H1708" s="32">
        <v>0</v>
      </c>
      <c r="I1708" s="31">
        <v>0</v>
      </c>
      <c r="J1708" s="32">
        <v>1</v>
      </c>
      <c r="K1708" s="32">
        <v>0</v>
      </c>
      <c r="L1708" s="32">
        <v>0</v>
      </c>
      <c r="M1708" s="32">
        <v>0</v>
      </c>
      <c r="N1708" s="32">
        <v>0</v>
      </c>
      <c r="O1708" s="32">
        <v>5</v>
      </c>
      <c r="P1708" s="32">
        <v>11</v>
      </c>
      <c r="Q1708" s="32">
        <v>200010</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204</v>
      </c>
      <c r="BC1708" s="32">
        <v>200010</v>
      </c>
      <c r="BD1708" s="31">
        <v>1</v>
      </c>
      <c r="BE1708" s="35" t="s">
        <v>3896</v>
      </c>
      <c r="BF1708" s="35" t="s">
        <v>3897</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69033205</v>
      </c>
      <c r="D1709" s="35" t="s">
        <v>3876</v>
      </c>
      <c r="E1709" s="35" t="s">
        <v>3877</v>
      </c>
      <c r="F1709" s="32">
        <v>1</v>
      </c>
      <c r="G1709" s="32">
        <v>68000015</v>
      </c>
      <c r="H1709" s="32">
        <v>0</v>
      </c>
      <c r="I1709" s="31">
        <v>0</v>
      </c>
      <c r="J1709" s="32">
        <v>1</v>
      </c>
      <c r="K1709" s="32">
        <v>0</v>
      </c>
      <c r="L1709" s="32">
        <v>0</v>
      </c>
      <c r="M1709" s="32">
        <v>0</v>
      </c>
      <c r="N1709" s="32">
        <v>0</v>
      </c>
      <c r="O1709" s="32">
        <v>5</v>
      </c>
      <c r="P1709" s="32">
        <v>11</v>
      </c>
      <c r="Q1709" s="32">
        <v>200011</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204</v>
      </c>
      <c r="BC1709" s="32">
        <v>200011</v>
      </c>
      <c r="BD1709" s="31">
        <v>1</v>
      </c>
      <c r="BE1709" s="35" t="s">
        <v>3898</v>
      </c>
      <c r="BF1709" s="35" t="s">
        <v>3899</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69033206</v>
      </c>
      <c r="D1710" s="35" t="s">
        <v>3876</v>
      </c>
      <c r="E1710" s="35" t="s">
        <v>3877</v>
      </c>
      <c r="F1710" s="32">
        <v>1</v>
      </c>
      <c r="G1710" s="32">
        <v>68000015</v>
      </c>
      <c r="H1710" s="32">
        <v>0</v>
      </c>
      <c r="I1710" s="31">
        <v>0</v>
      </c>
      <c r="J1710" s="32">
        <v>1</v>
      </c>
      <c r="K1710" s="32">
        <v>0</v>
      </c>
      <c r="L1710" s="32">
        <v>0</v>
      </c>
      <c r="M1710" s="32">
        <v>0</v>
      </c>
      <c r="N1710" s="32">
        <v>0</v>
      </c>
      <c r="O1710" s="32">
        <v>5</v>
      </c>
      <c r="P1710" s="32">
        <v>11</v>
      </c>
      <c r="Q1710" s="32">
        <v>200012</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204</v>
      </c>
      <c r="BC1710" s="32">
        <v>200012</v>
      </c>
      <c r="BD1710" s="31">
        <v>1</v>
      </c>
      <c r="BE1710" s="35" t="s">
        <v>3900</v>
      </c>
      <c r="BF1710" s="35" t="s">
        <v>3901</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69041001</v>
      </c>
      <c r="D1711" s="35" t="s">
        <v>2838</v>
      </c>
      <c r="E1711" s="35" t="s">
        <v>2839</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3902</v>
      </c>
      <c r="BC1711" s="31">
        <v>0</v>
      </c>
      <c r="BD1711" s="31">
        <v>1</v>
      </c>
      <c r="BE1711" s="270" t="s">
        <v>3903</v>
      </c>
      <c r="BF1711" s="270" t="s">
        <v>3904</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69041002</v>
      </c>
      <c r="D1712" s="35" t="s">
        <v>3905</v>
      </c>
      <c r="E1712" s="35" t="s">
        <v>3906</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3907</v>
      </c>
      <c r="BC1712" s="31">
        <v>0</v>
      </c>
      <c r="BD1712" s="31">
        <v>1</v>
      </c>
      <c r="BE1712" s="270" t="s">
        <v>3908</v>
      </c>
      <c r="BF1712" s="270" t="s">
        <v>3909</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69041003</v>
      </c>
      <c r="D1713" s="35" t="s">
        <v>3910</v>
      </c>
      <c r="E1713" s="35" t="s">
        <v>3911</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3912</v>
      </c>
      <c r="BC1713" s="31">
        <v>0</v>
      </c>
      <c r="BD1713" s="31">
        <v>1</v>
      </c>
      <c r="BE1713" s="270" t="s">
        <v>3913</v>
      </c>
      <c r="BF1713" s="270" t="s">
        <v>3914</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69041004</v>
      </c>
      <c r="D1714" s="35" t="s">
        <v>3915</v>
      </c>
      <c r="E1714" s="35" t="s">
        <v>3916</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35" t="s">
        <v>3917</v>
      </c>
      <c r="BC1714" s="31">
        <v>0</v>
      </c>
      <c r="BD1714" s="31">
        <v>1</v>
      </c>
      <c r="BE1714" s="270" t="s">
        <v>3918</v>
      </c>
      <c r="BF1714" s="270" t="s">
        <v>3919</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69041005</v>
      </c>
      <c r="D1715" s="35" t="s">
        <v>3920</v>
      </c>
      <c r="E1715" s="35" t="s">
        <v>3921</v>
      </c>
      <c r="F1715" s="32">
        <v>1</v>
      </c>
      <c r="G1715" s="32">
        <v>68000015</v>
      </c>
      <c r="H1715" s="32">
        <v>0</v>
      </c>
      <c r="I1715" s="31">
        <v>0</v>
      </c>
      <c r="J1715" s="32">
        <v>1</v>
      </c>
      <c r="K1715" s="32">
        <v>0</v>
      </c>
      <c r="L1715" s="32">
        <v>0</v>
      </c>
      <c r="M1715" s="32">
        <v>0</v>
      </c>
      <c r="N1715" s="32">
        <v>0</v>
      </c>
      <c r="O1715" s="32">
        <v>8</v>
      </c>
      <c r="P1715" s="32">
        <v>0</v>
      </c>
      <c r="Q1715" s="32">
        <v>0</v>
      </c>
      <c r="R1715" s="32">
        <v>0</v>
      </c>
      <c r="S1715" s="19">
        <v>0</v>
      </c>
      <c r="T1715" s="31">
        <v>0</v>
      </c>
      <c r="U1715" s="21">
        <v>1</v>
      </c>
      <c r="V1715" s="32">
        <v>2</v>
      </c>
      <c r="W1715" s="32">
        <v>0</v>
      </c>
      <c r="X1715" s="32">
        <v>0</v>
      </c>
      <c r="Y1715" s="19">
        <v>0</v>
      </c>
      <c r="Z1715" s="32">
        <v>0</v>
      </c>
      <c r="AA1715" s="32">
        <v>0</v>
      </c>
      <c r="AB1715" s="32">
        <v>0</v>
      </c>
      <c r="AC1715" s="32">
        <v>0</v>
      </c>
      <c r="AD1715" s="32">
        <v>1</v>
      </c>
      <c r="AE1715" s="32">
        <v>0</v>
      </c>
      <c r="AF1715" s="32">
        <v>18</v>
      </c>
      <c r="AG1715" s="32">
        <v>0</v>
      </c>
      <c r="AH1715" s="32">
        <v>0</v>
      </c>
      <c r="AI1715" s="19">
        <v>2</v>
      </c>
      <c r="AJ1715" s="19">
        <v>0</v>
      </c>
      <c r="AK1715" s="19">
        <v>0</v>
      </c>
      <c r="AL1715" s="19">
        <v>0</v>
      </c>
      <c r="AM1715" s="32">
        <v>0</v>
      </c>
      <c r="AN1715" s="32">
        <v>0</v>
      </c>
      <c r="AO1715" s="32">
        <v>0</v>
      </c>
      <c r="AP1715" s="32">
        <v>0</v>
      </c>
      <c r="AQ1715" s="32">
        <v>1000</v>
      </c>
      <c r="AR1715" s="32">
        <v>0</v>
      </c>
      <c r="AS1715" s="32">
        <v>0</v>
      </c>
      <c r="AT1715" s="19"/>
      <c r="AU1715" s="32" t="s">
        <v>204</v>
      </c>
      <c r="AV1715" s="32"/>
      <c r="AW1715" s="35" t="s">
        <v>205</v>
      </c>
      <c r="AX1715" s="32">
        <v>0</v>
      </c>
      <c r="AY1715" s="32">
        <v>0</v>
      </c>
      <c r="AZ1715" s="32">
        <v>0</v>
      </c>
      <c r="BA1715" s="35" t="s">
        <v>206</v>
      </c>
      <c r="BB1715" s="35" t="s">
        <v>3922</v>
      </c>
      <c r="BC1715" s="31">
        <v>0</v>
      </c>
      <c r="BD1715" s="31">
        <v>1</v>
      </c>
      <c r="BE1715" s="270" t="s">
        <v>3923</v>
      </c>
      <c r="BF1715" s="270" t="s">
        <v>3924</v>
      </c>
      <c r="BG1715" s="32">
        <v>0</v>
      </c>
      <c r="BH1715" s="21">
        <v>0</v>
      </c>
      <c r="BI1715" s="32">
        <v>0</v>
      </c>
      <c r="BJ1715" s="32">
        <v>0</v>
      </c>
      <c r="BK1715" s="32">
        <v>0</v>
      </c>
      <c r="BL1715" s="32">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69041006</v>
      </c>
      <c r="D1716" s="35" t="s">
        <v>3925</v>
      </c>
      <c r="E1716" s="35" t="s">
        <v>3926</v>
      </c>
      <c r="F1716" s="32">
        <v>1</v>
      </c>
      <c r="G1716" s="32">
        <v>68000015</v>
      </c>
      <c r="H1716" s="32">
        <v>0</v>
      </c>
      <c r="I1716" s="31">
        <v>0</v>
      </c>
      <c r="J1716" s="32">
        <v>1</v>
      </c>
      <c r="K1716" s="32">
        <v>0</v>
      </c>
      <c r="L1716" s="32">
        <v>0</v>
      </c>
      <c r="M1716" s="32">
        <v>0</v>
      </c>
      <c r="N1716" s="32">
        <v>0</v>
      </c>
      <c r="O1716" s="32">
        <v>8</v>
      </c>
      <c r="P1716" s="32">
        <v>0</v>
      </c>
      <c r="Q1716" s="32">
        <v>0</v>
      </c>
      <c r="R1716" s="32">
        <v>0</v>
      </c>
      <c r="S1716" s="19">
        <v>0</v>
      </c>
      <c r="T1716" s="31">
        <v>0</v>
      </c>
      <c r="U1716" s="21">
        <v>1</v>
      </c>
      <c r="V1716" s="32">
        <v>2</v>
      </c>
      <c r="W1716" s="32">
        <v>0</v>
      </c>
      <c r="X1716" s="32">
        <v>0</v>
      </c>
      <c r="Y1716" s="19">
        <v>0</v>
      </c>
      <c r="Z1716" s="32">
        <v>0</v>
      </c>
      <c r="AA1716" s="32">
        <v>0</v>
      </c>
      <c r="AB1716" s="32">
        <v>0</v>
      </c>
      <c r="AC1716" s="32">
        <v>0</v>
      </c>
      <c r="AD1716" s="32">
        <v>1</v>
      </c>
      <c r="AE1716" s="32">
        <v>0</v>
      </c>
      <c r="AF1716" s="32">
        <v>18</v>
      </c>
      <c r="AG1716" s="32">
        <v>0</v>
      </c>
      <c r="AH1716" s="32">
        <v>0</v>
      </c>
      <c r="AI1716" s="19">
        <v>2</v>
      </c>
      <c r="AJ1716" s="19">
        <v>0</v>
      </c>
      <c r="AK1716" s="19">
        <v>0</v>
      </c>
      <c r="AL1716" s="19">
        <v>0</v>
      </c>
      <c r="AM1716" s="32">
        <v>0</v>
      </c>
      <c r="AN1716" s="32">
        <v>0</v>
      </c>
      <c r="AO1716" s="32">
        <v>0</v>
      </c>
      <c r="AP1716" s="32">
        <v>0</v>
      </c>
      <c r="AQ1716" s="32">
        <v>1000</v>
      </c>
      <c r="AR1716" s="32">
        <v>0</v>
      </c>
      <c r="AS1716" s="32">
        <v>0</v>
      </c>
      <c r="AT1716" s="19"/>
      <c r="AU1716" s="32" t="s">
        <v>204</v>
      </c>
      <c r="AV1716" s="32"/>
      <c r="AW1716" s="35" t="s">
        <v>205</v>
      </c>
      <c r="AX1716" s="32">
        <v>0</v>
      </c>
      <c r="AY1716" s="32">
        <v>0</v>
      </c>
      <c r="AZ1716" s="32">
        <v>0</v>
      </c>
      <c r="BA1716" s="35" t="s">
        <v>206</v>
      </c>
      <c r="BB1716" s="35" t="s">
        <v>3927</v>
      </c>
      <c r="BC1716" s="31">
        <v>0</v>
      </c>
      <c r="BD1716" s="31">
        <v>1</v>
      </c>
      <c r="BE1716" s="270" t="s">
        <v>3928</v>
      </c>
      <c r="BF1716" s="270" t="s">
        <v>3929</v>
      </c>
      <c r="BG1716" s="32">
        <v>0</v>
      </c>
      <c r="BH1716" s="21">
        <v>0</v>
      </c>
      <c r="BI1716" s="32">
        <v>0</v>
      </c>
      <c r="BJ1716" s="32">
        <v>0</v>
      </c>
      <c r="BK1716" s="32">
        <v>0</v>
      </c>
      <c r="BL1716" s="32">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69041007</v>
      </c>
      <c r="D1717" s="35" t="s">
        <v>3930</v>
      </c>
      <c r="E1717" s="35" t="s">
        <v>3931</v>
      </c>
      <c r="F1717" s="32">
        <v>1</v>
      </c>
      <c r="G1717" s="32">
        <v>68000015</v>
      </c>
      <c r="H1717" s="32">
        <v>0</v>
      </c>
      <c r="I1717" s="31">
        <v>0</v>
      </c>
      <c r="J1717" s="32">
        <v>1</v>
      </c>
      <c r="K1717" s="32">
        <v>0</v>
      </c>
      <c r="L1717" s="32">
        <v>0</v>
      </c>
      <c r="M1717" s="32">
        <v>0</v>
      </c>
      <c r="N1717" s="32">
        <v>0</v>
      </c>
      <c r="O1717" s="32">
        <v>8</v>
      </c>
      <c r="P1717" s="32">
        <v>0</v>
      </c>
      <c r="Q1717" s="32">
        <v>0</v>
      </c>
      <c r="R1717" s="32">
        <v>0</v>
      </c>
      <c r="S1717" s="19">
        <v>0</v>
      </c>
      <c r="T1717" s="31">
        <v>0</v>
      </c>
      <c r="U1717" s="21">
        <v>1</v>
      </c>
      <c r="V1717" s="32">
        <v>2</v>
      </c>
      <c r="W1717" s="32">
        <v>0</v>
      </c>
      <c r="X1717" s="32">
        <v>0</v>
      </c>
      <c r="Y1717" s="19">
        <v>0</v>
      </c>
      <c r="Z1717" s="32">
        <v>0</v>
      </c>
      <c r="AA1717" s="32">
        <v>0</v>
      </c>
      <c r="AB1717" s="32">
        <v>0</v>
      </c>
      <c r="AC1717" s="32">
        <v>0</v>
      </c>
      <c r="AD1717" s="32">
        <v>1</v>
      </c>
      <c r="AE1717" s="32">
        <v>0</v>
      </c>
      <c r="AF1717" s="32">
        <v>18</v>
      </c>
      <c r="AG1717" s="32">
        <v>0</v>
      </c>
      <c r="AH1717" s="32">
        <v>0</v>
      </c>
      <c r="AI1717" s="19">
        <v>2</v>
      </c>
      <c r="AJ1717" s="19">
        <v>0</v>
      </c>
      <c r="AK1717" s="19">
        <v>0</v>
      </c>
      <c r="AL1717" s="19">
        <v>0</v>
      </c>
      <c r="AM1717" s="32">
        <v>0</v>
      </c>
      <c r="AN1717" s="32">
        <v>0</v>
      </c>
      <c r="AO1717" s="32">
        <v>0</v>
      </c>
      <c r="AP1717" s="32">
        <v>0</v>
      </c>
      <c r="AQ1717" s="32">
        <v>1000</v>
      </c>
      <c r="AR1717" s="32">
        <v>0</v>
      </c>
      <c r="AS1717" s="32">
        <v>0</v>
      </c>
      <c r="AT1717" s="19"/>
      <c r="AU1717" s="32" t="s">
        <v>204</v>
      </c>
      <c r="AV1717" s="32"/>
      <c r="AW1717" s="35" t="s">
        <v>205</v>
      </c>
      <c r="AX1717" s="32">
        <v>0</v>
      </c>
      <c r="AY1717" s="32">
        <v>0</v>
      </c>
      <c r="AZ1717" s="32">
        <v>0</v>
      </c>
      <c r="BA1717" s="35" t="s">
        <v>206</v>
      </c>
      <c r="BB1717" s="21" t="s">
        <v>3420</v>
      </c>
      <c r="BC1717" s="31">
        <v>0</v>
      </c>
      <c r="BD1717" s="31">
        <v>1</v>
      </c>
      <c r="BE1717" s="270" t="s">
        <v>3421</v>
      </c>
      <c r="BF1717" s="270" t="s">
        <v>3932</v>
      </c>
      <c r="BG1717" s="32">
        <v>0</v>
      </c>
      <c r="BH1717" s="21">
        <v>0</v>
      </c>
      <c r="BI1717" s="32">
        <v>0</v>
      </c>
      <c r="BJ1717" s="32">
        <v>0</v>
      </c>
      <c r="BK1717" s="32">
        <v>0</v>
      </c>
      <c r="BL1717" s="32">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69051001</v>
      </c>
      <c r="D1718" s="260" t="s">
        <v>604</v>
      </c>
      <c r="E1718" s="260" t="s">
        <v>1168</v>
      </c>
      <c r="F1718" s="69">
        <v>1</v>
      </c>
      <c r="G1718" s="69">
        <v>61011101</v>
      </c>
      <c r="H1718" s="59">
        <v>0</v>
      </c>
      <c r="I1718" s="59">
        <v>0</v>
      </c>
      <c r="J1718" s="69">
        <v>1</v>
      </c>
      <c r="K1718" s="69">
        <v>0</v>
      </c>
      <c r="L1718" s="59">
        <v>0</v>
      </c>
      <c r="M1718" s="59">
        <v>0</v>
      </c>
      <c r="N1718" s="59" t="s">
        <v>3933</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3934</v>
      </c>
      <c r="BF1718" s="260" t="s">
        <v>3935</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69051002</v>
      </c>
      <c r="D1719" s="260" t="s">
        <v>538</v>
      </c>
      <c r="E1719" s="260" t="s">
        <v>261</v>
      </c>
      <c r="F1719" s="69">
        <v>1</v>
      </c>
      <c r="G1719" s="69">
        <v>61011201</v>
      </c>
      <c r="H1719" s="59">
        <v>0</v>
      </c>
      <c r="I1719" s="59">
        <v>0</v>
      </c>
      <c r="J1719" s="69">
        <v>1</v>
      </c>
      <c r="K1719" s="69">
        <v>0</v>
      </c>
      <c r="L1719" s="59">
        <v>0</v>
      </c>
      <c r="M1719" s="59">
        <v>0</v>
      </c>
      <c r="N1719" s="59" t="s">
        <v>3936</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3937</v>
      </c>
      <c r="BF1719" s="260" t="s">
        <v>3938</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69051003</v>
      </c>
      <c r="D1720" s="260" t="s">
        <v>1376</v>
      </c>
      <c r="E1720" s="260" t="s">
        <v>1646</v>
      </c>
      <c r="F1720" s="69">
        <v>1</v>
      </c>
      <c r="G1720" s="69">
        <v>61011301</v>
      </c>
      <c r="H1720" s="59">
        <v>0</v>
      </c>
      <c r="I1720" s="59">
        <v>0</v>
      </c>
      <c r="J1720" s="69">
        <v>1</v>
      </c>
      <c r="K1720" s="69">
        <v>0</v>
      </c>
      <c r="L1720" s="59">
        <v>0</v>
      </c>
      <c r="M1720" s="59">
        <v>0</v>
      </c>
      <c r="N1720" s="59" t="s">
        <v>3939</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3940</v>
      </c>
      <c r="BF1720" s="260" t="s">
        <v>3941</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69051011</v>
      </c>
      <c r="D1721" s="260" t="s">
        <v>3942</v>
      </c>
      <c r="E1721" s="260" t="s">
        <v>3943</v>
      </c>
      <c r="F1721" s="69">
        <v>1</v>
      </c>
      <c r="G1721" s="69">
        <v>61021401</v>
      </c>
      <c r="H1721" s="59">
        <v>0</v>
      </c>
      <c r="I1721" s="59">
        <v>0</v>
      </c>
      <c r="J1721" s="69">
        <v>1</v>
      </c>
      <c r="K1721" s="69">
        <v>0</v>
      </c>
      <c r="L1721" s="59">
        <v>0</v>
      </c>
      <c r="M1721" s="59">
        <v>0</v>
      </c>
      <c r="N1721" s="59" t="s">
        <v>3598</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3596</v>
      </c>
      <c r="BF1721" s="260" t="s">
        <v>3944</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69051012</v>
      </c>
      <c r="D1722" s="260" t="s">
        <v>3945</v>
      </c>
      <c r="E1722" s="260" t="s">
        <v>3946</v>
      </c>
      <c r="F1722" s="69">
        <v>1</v>
      </c>
      <c r="G1722" s="69">
        <v>61021201</v>
      </c>
      <c r="H1722" s="59">
        <v>0</v>
      </c>
      <c r="I1722" s="59">
        <v>0</v>
      </c>
      <c r="J1722" s="69">
        <v>1</v>
      </c>
      <c r="K1722" s="69">
        <v>0</v>
      </c>
      <c r="L1722" s="59">
        <v>0</v>
      </c>
      <c r="M1722" s="59">
        <v>0</v>
      </c>
      <c r="N1722" s="59" t="s">
        <v>3601</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3599</v>
      </c>
      <c r="BF1722" s="260" t="s">
        <v>3947</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69051013</v>
      </c>
      <c r="D1723" s="260" t="s">
        <v>3948</v>
      </c>
      <c r="E1723" s="260" t="s">
        <v>3949</v>
      </c>
      <c r="F1723" s="69">
        <v>1</v>
      </c>
      <c r="G1723" s="69">
        <v>61021301</v>
      </c>
      <c r="H1723" s="59">
        <v>0</v>
      </c>
      <c r="I1723" s="59">
        <v>0</v>
      </c>
      <c r="J1723" s="69">
        <v>1</v>
      </c>
      <c r="K1723" s="69">
        <v>0</v>
      </c>
      <c r="L1723" s="59">
        <v>0</v>
      </c>
      <c r="M1723" s="59">
        <v>0</v>
      </c>
      <c r="N1723" s="59" t="s">
        <v>3604</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3602</v>
      </c>
      <c r="BF1723" s="260" t="s">
        <v>3950</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69051014</v>
      </c>
      <c r="D1724" s="260" t="s">
        <v>3951</v>
      </c>
      <c r="E1724" s="260" t="s">
        <v>3952</v>
      </c>
      <c r="F1724" s="69">
        <v>1</v>
      </c>
      <c r="G1724" s="69">
        <v>61021402</v>
      </c>
      <c r="H1724" s="59">
        <v>0</v>
      </c>
      <c r="I1724" s="59">
        <v>0</v>
      </c>
      <c r="J1724" s="69">
        <v>1</v>
      </c>
      <c r="K1724" s="69">
        <v>0</v>
      </c>
      <c r="L1724" s="59">
        <v>0</v>
      </c>
      <c r="M1724" s="59">
        <v>0</v>
      </c>
      <c r="N1724" s="59" t="s">
        <v>3607</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3605</v>
      </c>
      <c r="BF1724" s="260" t="s">
        <v>3953</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69051021</v>
      </c>
      <c r="D1725" s="260" t="s">
        <v>3954</v>
      </c>
      <c r="E1725" s="260" t="s">
        <v>564</v>
      </c>
      <c r="F1725" s="69">
        <v>1</v>
      </c>
      <c r="G1725" s="69">
        <v>61022101</v>
      </c>
      <c r="H1725" s="59">
        <v>0</v>
      </c>
      <c r="I1725" s="59">
        <v>0</v>
      </c>
      <c r="J1725" s="69">
        <v>1</v>
      </c>
      <c r="K1725" s="69">
        <v>0</v>
      </c>
      <c r="L1725" s="59">
        <v>0</v>
      </c>
      <c r="M1725" s="59">
        <v>0</v>
      </c>
      <c r="N1725" s="59" t="s">
        <v>3610</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3608</v>
      </c>
      <c r="BF1725" s="260" t="s">
        <v>3955</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69051022</v>
      </c>
      <c r="D1726" s="260" t="s">
        <v>3956</v>
      </c>
      <c r="E1726" s="260" t="s">
        <v>3957</v>
      </c>
      <c r="F1726" s="69">
        <v>1</v>
      </c>
      <c r="G1726" s="69">
        <v>61022201</v>
      </c>
      <c r="H1726" s="59">
        <v>0</v>
      </c>
      <c r="I1726" s="59">
        <v>0</v>
      </c>
      <c r="J1726" s="69">
        <v>1</v>
      </c>
      <c r="K1726" s="69">
        <v>0</v>
      </c>
      <c r="L1726" s="59">
        <v>0</v>
      </c>
      <c r="M1726" s="59">
        <v>0</v>
      </c>
      <c r="N1726" s="59" t="s">
        <v>3613</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3611</v>
      </c>
      <c r="BF1726" s="260" t="s">
        <v>3958</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69051023</v>
      </c>
      <c r="D1727" s="260" t="s">
        <v>3959</v>
      </c>
      <c r="E1727" s="260" t="s">
        <v>1738</v>
      </c>
      <c r="F1727" s="69">
        <v>1</v>
      </c>
      <c r="G1727" s="69">
        <v>61022301</v>
      </c>
      <c r="H1727" s="59">
        <v>0</v>
      </c>
      <c r="I1727" s="59">
        <v>0</v>
      </c>
      <c r="J1727" s="69">
        <v>1</v>
      </c>
      <c r="K1727" s="69">
        <v>0</v>
      </c>
      <c r="L1727" s="59">
        <v>0</v>
      </c>
      <c r="M1727" s="59">
        <v>0</v>
      </c>
      <c r="N1727" s="59" t="s">
        <v>3616</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3614</v>
      </c>
      <c r="BF1727" s="260" t="s">
        <v>3960</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69051024</v>
      </c>
      <c r="D1728" s="260" t="s">
        <v>3961</v>
      </c>
      <c r="E1728" s="260" t="s">
        <v>1725</v>
      </c>
      <c r="F1728" s="69">
        <v>1</v>
      </c>
      <c r="G1728" s="69">
        <v>61022401</v>
      </c>
      <c r="H1728" s="59">
        <v>0</v>
      </c>
      <c r="I1728" s="59">
        <v>0</v>
      </c>
      <c r="J1728" s="69">
        <v>1</v>
      </c>
      <c r="K1728" s="69">
        <v>0</v>
      </c>
      <c r="L1728" s="59">
        <v>0</v>
      </c>
      <c r="M1728" s="59">
        <v>0</v>
      </c>
      <c r="N1728" s="59" t="s">
        <v>3619</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3617</v>
      </c>
      <c r="BF1728" s="260" t="s">
        <v>3962</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69051031</v>
      </c>
      <c r="D1729" s="260" t="s">
        <v>3963</v>
      </c>
      <c r="E1729" s="260" t="s">
        <v>1760</v>
      </c>
      <c r="F1729" s="69">
        <v>1</v>
      </c>
      <c r="G1729" s="69">
        <v>61023101</v>
      </c>
      <c r="H1729" s="59">
        <v>0</v>
      </c>
      <c r="I1729" s="59">
        <v>0</v>
      </c>
      <c r="J1729" s="69">
        <v>1</v>
      </c>
      <c r="K1729" s="69">
        <v>0</v>
      </c>
      <c r="L1729" s="59">
        <v>0</v>
      </c>
      <c r="M1729" s="59">
        <v>0</v>
      </c>
      <c r="N1729" s="59" t="s">
        <v>3622</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3620</v>
      </c>
      <c r="BF1729" s="260" t="s">
        <v>3964</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69051032</v>
      </c>
      <c r="D1730" s="260" t="s">
        <v>3965</v>
      </c>
      <c r="E1730" s="260" t="s">
        <v>1768</v>
      </c>
      <c r="F1730" s="69">
        <v>1</v>
      </c>
      <c r="G1730" s="69">
        <v>61023201</v>
      </c>
      <c r="H1730" s="59">
        <v>0</v>
      </c>
      <c r="I1730" s="59">
        <v>0</v>
      </c>
      <c r="J1730" s="69">
        <v>1</v>
      </c>
      <c r="K1730" s="69">
        <v>0</v>
      </c>
      <c r="L1730" s="59">
        <v>0</v>
      </c>
      <c r="M1730" s="59">
        <v>0</v>
      </c>
      <c r="N1730" s="59" t="s">
        <v>3625</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3623</v>
      </c>
      <c r="BF1730" s="260" t="s">
        <v>3966</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69051033</v>
      </c>
      <c r="D1731" s="260" t="s">
        <v>3967</v>
      </c>
      <c r="E1731" s="260" t="s">
        <v>1774</v>
      </c>
      <c r="F1731" s="69">
        <v>1</v>
      </c>
      <c r="G1731" s="69">
        <v>61023301</v>
      </c>
      <c r="H1731" s="59">
        <v>0</v>
      </c>
      <c r="I1731" s="59">
        <v>0</v>
      </c>
      <c r="J1731" s="69">
        <v>1</v>
      </c>
      <c r="K1731" s="69">
        <v>0</v>
      </c>
      <c r="L1731" s="59">
        <v>0</v>
      </c>
      <c r="M1731" s="59">
        <v>0</v>
      </c>
      <c r="N1731" s="59" t="s">
        <v>3628</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3626</v>
      </c>
      <c r="BF1731" s="260" t="s">
        <v>3968</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69051034</v>
      </c>
      <c r="D1732" s="260" t="s">
        <v>3969</v>
      </c>
      <c r="E1732" s="260" t="s">
        <v>3970</v>
      </c>
      <c r="F1732" s="69">
        <v>1</v>
      </c>
      <c r="G1732" s="69">
        <v>61023401</v>
      </c>
      <c r="H1732" s="59">
        <v>0</v>
      </c>
      <c r="I1732" s="59">
        <v>0</v>
      </c>
      <c r="J1732" s="69">
        <v>1</v>
      </c>
      <c r="K1732" s="69">
        <v>0</v>
      </c>
      <c r="L1732" s="59">
        <v>0</v>
      </c>
      <c r="M1732" s="59">
        <v>0</v>
      </c>
      <c r="N1732" s="59" t="s">
        <v>3631</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3629</v>
      </c>
      <c r="BF1732" s="260" t="s">
        <v>3971</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69052001</v>
      </c>
      <c r="D1733" s="260" t="s">
        <v>3972</v>
      </c>
      <c r="E1733" s="260" t="s">
        <v>1801</v>
      </c>
      <c r="F1733" s="69">
        <v>1</v>
      </c>
      <c r="G1733" s="69">
        <v>62011101</v>
      </c>
      <c r="H1733" s="59">
        <v>0</v>
      </c>
      <c r="I1733" s="59">
        <v>0</v>
      </c>
      <c r="J1733" s="69">
        <v>1</v>
      </c>
      <c r="K1733" s="69">
        <v>0</v>
      </c>
      <c r="L1733" s="59">
        <v>0</v>
      </c>
      <c r="M1733" s="59">
        <v>0</v>
      </c>
      <c r="N1733" s="59" t="s">
        <v>3973</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3974</v>
      </c>
      <c r="BF1733" s="260" t="s">
        <v>3975</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69052002</v>
      </c>
      <c r="D1734" s="260" t="s">
        <v>3976</v>
      </c>
      <c r="E1734" s="260" t="s">
        <v>1809</v>
      </c>
      <c r="F1734" s="69">
        <v>1</v>
      </c>
      <c r="G1734" s="69">
        <v>62011201</v>
      </c>
      <c r="H1734" s="59">
        <v>0</v>
      </c>
      <c r="I1734" s="59">
        <v>0</v>
      </c>
      <c r="J1734" s="69">
        <v>1</v>
      </c>
      <c r="K1734" s="69">
        <v>0</v>
      </c>
      <c r="L1734" s="59">
        <v>0</v>
      </c>
      <c r="M1734" s="59">
        <v>0</v>
      </c>
      <c r="N1734" s="59" t="s">
        <v>3977</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3978</v>
      </c>
      <c r="BF1734" s="260" t="s">
        <v>3979</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69052003</v>
      </c>
      <c r="D1735" s="260" t="s">
        <v>3980</v>
      </c>
      <c r="E1735" s="260" t="s">
        <v>1817</v>
      </c>
      <c r="F1735" s="69">
        <v>1</v>
      </c>
      <c r="G1735" s="69">
        <v>62011301</v>
      </c>
      <c r="H1735" s="59">
        <v>0</v>
      </c>
      <c r="I1735" s="59">
        <v>0</v>
      </c>
      <c r="J1735" s="69">
        <v>1</v>
      </c>
      <c r="K1735" s="69">
        <v>0</v>
      </c>
      <c r="L1735" s="59">
        <v>0</v>
      </c>
      <c r="M1735" s="59">
        <v>0</v>
      </c>
      <c r="N1735" s="59" t="s">
        <v>3981</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3982</v>
      </c>
      <c r="BF1735" s="260" t="s">
        <v>3983</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69052011</v>
      </c>
      <c r="D1736" s="260" t="s">
        <v>3984</v>
      </c>
      <c r="E1736" s="260" t="s">
        <v>1674</v>
      </c>
      <c r="F1736" s="69">
        <v>1</v>
      </c>
      <c r="G1736" s="69">
        <v>62021101</v>
      </c>
      <c r="H1736" s="59">
        <v>0</v>
      </c>
      <c r="I1736" s="59">
        <v>0</v>
      </c>
      <c r="J1736" s="69">
        <v>1</v>
      </c>
      <c r="K1736" s="69">
        <v>0</v>
      </c>
      <c r="L1736" s="59">
        <v>0</v>
      </c>
      <c r="M1736" s="59">
        <v>0</v>
      </c>
      <c r="N1736" s="59" t="s">
        <v>3649</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3647</v>
      </c>
      <c r="BF1736" s="260" t="s">
        <v>3985</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69052012</v>
      </c>
      <c r="D1737" s="260" t="s">
        <v>3986</v>
      </c>
      <c r="E1737" s="260" t="s">
        <v>1331</v>
      </c>
      <c r="F1737" s="69">
        <v>1</v>
      </c>
      <c r="G1737" s="69">
        <v>62021301</v>
      </c>
      <c r="H1737" s="59">
        <v>0</v>
      </c>
      <c r="I1737" s="59">
        <v>0</v>
      </c>
      <c r="J1737" s="69">
        <v>1</v>
      </c>
      <c r="K1737" s="69">
        <v>0</v>
      </c>
      <c r="L1737" s="59">
        <v>0</v>
      </c>
      <c r="M1737" s="59">
        <v>0</v>
      </c>
      <c r="N1737" s="59" t="s">
        <v>3652</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3650</v>
      </c>
      <c r="BF1737" s="260" t="s">
        <v>3987</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69052013</v>
      </c>
      <c r="D1738" s="260" t="s">
        <v>3988</v>
      </c>
      <c r="E1738" s="260" t="s">
        <v>374</v>
      </c>
      <c r="F1738" s="69">
        <v>1</v>
      </c>
      <c r="G1738" s="69">
        <v>62021401</v>
      </c>
      <c r="H1738" s="59">
        <v>0</v>
      </c>
      <c r="I1738" s="59">
        <v>0</v>
      </c>
      <c r="J1738" s="69">
        <v>1</v>
      </c>
      <c r="K1738" s="69">
        <v>0</v>
      </c>
      <c r="L1738" s="59">
        <v>0</v>
      </c>
      <c r="M1738" s="59">
        <v>0</v>
      </c>
      <c r="N1738" s="59" t="s">
        <v>3655</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3653</v>
      </c>
      <c r="BF1738" s="260" t="s">
        <v>3989</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69052014</v>
      </c>
      <c r="D1739" s="260" t="s">
        <v>3990</v>
      </c>
      <c r="E1739" s="260" t="s">
        <v>3991</v>
      </c>
      <c r="F1739" s="69">
        <v>1</v>
      </c>
      <c r="G1739" s="69">
        <v>62021501</v>
      </c>
      <c r="H1739" s="59">
        <v>0</v>
      </c>
      <c r="I1739" s="59">
        <v>0</v>
      </c>
      <c r="J1739" s="69">
        <v>1</v>
      </c>
      <c r="K1739" s="69">
        <v>0</v>
      </c>
      <c r="L1739" s="59">
        <v>0</v>
      </c>
      <c r="M1739" s="59">
        <v>0</v>
      </c>
      <c r="N1739" s="59" t="s">
        <v>3658</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3656</v>
      </c>
      <c r="BF1739" s="260" t="s">
        <v>3992</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69052021</v>
      </c>
      <c r="D1740" s="260" t="s">
        <v>3993</v>
      </c>
      <c r="E1740" s="260" t="s">
        <v>3994</v>
      </c>
      <c r="F1740" s="69">
        <v>1</v>
      </c>
      <c r="G1740" s="69">
        <v>62022101</v>
      </c>
      <c r="H1740" s="59">
        <v>0</v>
      </c>
      <c r="I1740" s="59">
        <v>0</v>
      </c>
      <c r="J1740" s="69">
        <v>1</v>
      </c>
      <c r="K1740" s="69">
        <v>0</v>
      </c>
      <c r="L1740" s="59">
        <v>0</v>
      </c>
      <c r="M1740" s="59">
        <v>0</v>
      </c>
      <c r="N1740" s="59" t="s">
        <v>3661</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3659</v>
      </c>
      <c r="BF1740" s="260" t="s">
        <v>3995</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69052022</v>
      </c>
      <c r="D1741" s="260" t="s">
        <v>3996</v>
      </c>
      <c r="E1741" s="260" t="s">
        <v>3997</v>
      </c>
      <c r="F1741" s="69">
        <v>1</v>
      </c>
      <c r="G1741" s="69">
        <v>62022201</v>
      </c>
      <c r="H1741" s="59">
        <v>0</v>
      </c>
      <c r="I1741" s="59">
        <v>0</v>
      </c>
      <c r="J1741" s="69">
        <v>1</v>
      </c>
      <c r="K1741" s="69">
        <v>0</v>
      </c>
      <c r="L1741" s="59">
        <v>0</v>
      </c>
      <c r="M1741" s="59">
        <v>0</v>
      </c>
      <c r="N1741" s="59" t="s">
        <v>3664</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3662</v>
      </c>
      <c r="BF1741" s="260" t="s">
        <v>3998</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69052023</v>
      </c>
      <c r="D1742" s="260" t="s">
        <v>3999</v>
      </c>
      <c r="E1742" s="260" t="s">
        <v>1919</v>
      </c>
      <c r="F1742" s="69">
        <v>1</v>
      </c>
      <c r="G1742" s="69">
        <v>62022301</v>
      </c>
      <c r="H1742" s="59">
        <v>0</v>
      </c>
      <c r="I1742" s="59">
        <v>0</v>
      </c>
      <c r="J1742" s="69">
        <v>1</v>
      </c>
      <c r="K1742" s="69">
        <v>0</v>
      </c>
      <c r="L1742" s="59">
        <v>0</v>
      </c>
      <c r="M1742" s="59">
        <v>0</v>
      </c>
      <c r="N1742" s="59" t="s">
        <v>3667</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3665</v>
      </c>
      <c r="BF1742" s="260" t="s">
        <v>4000</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69052024</v>
      </c>
      <c r="D1743" s="260" t="s">
        <v>4001</v>
      </c>
      <c r="E1743" s="260" t="s">
        <v>4002</v>
      </c>
      <c r="F1743" s="69">
        <v>1</v>
      </c>
      <c r="G1743" s="69">
        <v>62022401</v>
      </c>
      <c r="H1743" s="59">
        <v>0</v>
      </c>
      <c r="I1743" s="59">
        <v>0</v>
      </c>
      <c r="J1743" s="69">
        <v>1</v>
      </c>
      <c r="K1743" s="69">
        <v>0</v>
      </c>
      <c r="L1743" s="59">
        <v>0</v>
      </c>
      <c r="M1743" s="59">
        <v>0</v>
      </c>
      <c r="N1743" s="59" t="s">
        <v>3670</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3668</v>
      </c>
      <c r="BF1743" s="260" t="s">
        <v>4003</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69052031</v>
      </c>
      <c r="D1744" s="260" t="s">
        <v>4004</v>
      </c>
      <c r="E1744" s="260" t="s">
        <v>347</v>
      </c>
      <c r="F1744" s="69">
        <v>1</v>
      </c>
      <c r="G1744" s="69">
        <v>62021101</v>
      </c>
      <c r="H1744" s="59">
        <v>0</v>
      </c>
      <c r="I1744" s="59">
        <v>0</v>
      </c>
      <c r="J1744" s="69">
        <v>1</v>
      </c>
      <c r="K1744" s="69">
        <v>0</v>
      </c>
      <c r="L1744" s="59">
        <v>0</v>
      </c>
      <c r="M1744" s="59">
        <v>0</v>
      </c>
      <c r="N1744" s="59" t="s">
        <v>3673</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3671</v>
      </c>
      <c r="BF1744" s="260" t="s">
        <v>4005</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32">
        <v>69052032</v>
      </c>
      <c r="D1745" s="260" t="s">
        <v>4006</v>
      </c>
      <c r="E1745" s="260" t="s">
        <v>4007</v>
      </c>
      <c r="F1745" s="69">
        <v>1</v>
      </c>
      <c r="G1745" s="69">
        <v>62023201</v>
      </c>
      <c r="H1745" s="59">
        <v>0</v>
      </c>
      <c r="I1745" s="59">
        <v>0</v>
      </c>
      <c r="J1745" s="69">
        <v>1</v>
      </c>
      <c r="K1745" s="69">
        <v>0</v>
      </c>
      <c r="L1745" s="59">
        <v>0</v>
      </c>
      <c r="M1745" s="59">
        <v>0</v>
      </c>
      <c r="N1745" s="59" t="s">
        <v>3676</v>
      </c>
      <c r="O1745" s="59">
        <v>3</v>
      </c>
      <c r="P1745" s="59">
        <v>0</v>
      </c>
      <c r="Q1745" s="59">
        <v>0</v>
      </c>
      <c r="R1745" s="59">
        <v>0</v>
      </c>
      <c r="S1745" s="19">
        <v>0</v>
      </c>
      <c r="T1745" s="59">
        <v>0</v>
      </c>
      <c r="U1745" s="21">
        <v>1</v>
      </c>
      <c r="V1745" s="59">
        <v>0</v>
      </c>
      <c r="W1745" s="59">
        <v>0</v>
      </c>
      <c r="X1745" s="59">
        <v>0</v>
      </c>
      <c r="Y1745" s="19">
        <v>0</v>
      </c>
      <c r="Z1745" s="59">
        <v>0</v>
      </c>
      <c r="AA1745" s="59">
        <v>0</v>
      </c>
      <c r="AB1745" s="59">
        <v>0</v>
      </c>
      <c r="AC1745" s="59">
        <v>0</v>
      </c>
      <c r="AD1745" s="69">
        <v>0</v>
      </c>
      <c r="AE1745" s="59">
        <v>0</v>
      </c>
      <c r="AF1745" s="59">
        <v>0</v>
      </c>
      <c r="AG1745" s="59">
        <v>0</v>
      </c>
      <c r="AH1745" s="59">
        <v>0</v>
      </c>
      <c r="AI1745" s="59">
        <v>0</v>
      </c>
      <c r="AJ1745" s="59">
        <v>0</v>
      </c>
      <c r="AK1745" s="19">
        <v>0</v>
      </c>
      <c r="AL1745" s="59">
        <v>0</v>
      </c>
      <c r="AM1745" s="59">
        <v>0</v>
      </c>
      <c r="AN1745" s="59">
        <v>0</v>
      </c>
      <c r="AO1745" s="59">
        <v>0</v>
      </c>
      <c r="AP1745" s="59">
        <v>0</v>
      </c>
      <c r="AQ1745" s="59">
        <v>0</v>
      </c>
      <c r="AR1745" s="59">
        <v>0</v>
      </c>
      <c r="AS1745" s="59">
        <v>0</v>
      </c>
      <c r="AT1745" s="261">
        <v>0</v>
      </c>
      <c r="AU1745" s="59">
        <v>0</v>
      </c>
      <c r="AV1745" s="59"/>
      <c r="AW1745" s="260">
        <v>0</v>
      </c>
      <c r="AX1745" s="59">
        <v>0</v>
      </c>
      <c r="AY1745" s="59">
        <v>0</v>
      </c>
      <c r="AZ1745" s="59">
        <v>0</v>
      </c>
      <c r="BA1745" s="20" t="s">
        <v>206</v>
      </c>
      <c r="BB1745" s="59">
        <v>0</v>
      </c>
      <c r="BC1745" s="262">
        <v>0</v>
      </c>
      <c r="BD1745" s="31">
        <v>1</v>
      </c>
      <c r="BE1745" s="260" t="s">
        <v>3674</v>
      </c>
      <c r="BF1745" s="260" t="s">
        <v>4008</v>
      </c>
      <c r="BG1745" s="59">
        <v>0</v>
      </c>
      <c r="BH1745" s="70">
        <v>0</v>
      </c>
      <c r="BI1745" s="19">
        <v>0</v>
      </c>
      <c r="BJ1745" s="59">
        <v>0</v>
      </c>
      <c r="BK1745" s="59">
        <v>0</v>
      </c>
      <c r="BL1745" s="59">
        <v>0</v>
      </c>
      <c r="BM1745" s="25">
        <v>0</v>
      </c>
      <c r="BN1745" s="19">
        <v>0</v>
      </c>
      <c r="BO1745" s="19">
        <v>0</v>
      </c>
      <c r="BP1745" s="19">
        <v>0</v>
      </c>
      <c r="BQ1745" s="19">
        <v>0</v>
      </c>
      <c r="BR1745" s="19">
        <v>0</v>
      </c>
      <c r="BS1745" s="19">
        <v>0</v>
      </c>
      <c r="BT1745" s="19">
        <v>0</v>
      </c>
      <c r="BU1745" s="23">
        <v>0</v>
      </c>
      <c r="BV1745" s="23"/>
      <c r="BW1745" s="23"/>
      <c r="BX1745" s="23"/>
      <c r="BY1745" s="23"/>
      <c r="BZ1745" s="23"/>
    </row>
    <row r="1746" spans="3:78" ht="20.100000000000001" customHeight="1">
      <c r="C1746" s="32">
        <v>69052033</v>
      </c>
      <c r="D1746" s="260" t="s">
        <v>4009</v>
      </c>
      <c r="E1746" s="260" t="s">
        <v>1969</v>
      </c>
      <c r="F1746" s="69">
        <v>1</v>
      </c>
      <c r="G1746" s="69">
        <v>62023301</v>
      </c>
      <c r="H1746" s="59">
        <v>0</v>
      </c>
      <c r="I1746" s="59">
        <v>0</v>
      </c>
      <c r="J1746" s="69">
        <v>1</v>
      </c>
      <c r="K1746" s="69">
        <v>0</v>
      </c>
      <c r="L1746" s="59">
        <v>0</v>
      </c>
      <c r="M1746" s="59">
        <v>0</v>
      </c>
      <c r="N1746" s="59" t="s">
        <v>3679</v>
      </c>
      <c r="O1746" s="59">
        <v>3</v>
      </c>
      <c r="P1746" s="59">
        <v>0</v>
      </c>
      <c r="Q1746" s="59">
        <v>0</v>
      </c>
      <c r="R1746" s="59">
        <v>0</v>
      </c>
      <c r="S1746" s="19">
        <v>0</v>
      </c>
      <c r="T1746" s="59">
        <v>0</v>
      </c>
      <c r="U1746" s="21">
        <v>1</v>
      </c>
      <c r="V1746" s="59">
        <v>0</v>
      </c>
      <c r="W1746" s="59">
        <v>0</v>
      </c>
      <c r="X1746" s="59">
        <v>0</v>
      </c>
      <c r="Y1746" s="19">
        <v>0</v>
      </c>
      <c r="Z1746" s="59">
        <v>0</v>
      </c>
      <c r="AA1746" s="59">
        <v>0</v>
      </c>
      <c r="AB1746" s="59">
        <v>0</v>
      </c>
      <c r="AC1746" s="59">
        <v>0</v>
      </c>
      <c r="AD1746" s="69">
        <v>0</v>
      </c>
      <c r="AE1746" s="59">
        <v>0</v>
      </c>
      <c r="AF1746" s="59">
        <v>0</v>
      </c>
      <c r="AG1746" s="59">
        <v>0</v>
      </c>
      <c r="AH1746" s="59">
        <v>0</v>
      </c>
      <c r="AI1746" s="59">
        <v>0</v>
      </c>
      <c r="AJ1746" s="59">
        <v>0</v>
      </c>
      <c r="AK1746" s="19">
        <v>0</v>
      </c>
      <c r="AL1746" s="59">
        <v>0</v>
      </c>
      <c r="AM1746" s="59">
        <v>0</v>
      </c>
      <c r="AN1746" s="59">
        <v>0</v>
      </c>
      <c r="AO1746" s="59">
        <v>0</v>
      </c>
      <c r="AP1746" s="59">
        <v>0</v>
      </c>
      <c r="AQ1746" s="59">
        <v>0</v>
      </c>
      <c r="AR1746" s="59">
        <v>0</v>
      </c>
      <c r="AS1746" s="59">
        <v>0</v>
      </c>
      <c r="AT1746" s="261">
        <v>0</v>
      </c>
      <c r="AU1746" s="59">
        <v>0</v>
      </c>
      <c r="AV1746" s="59"/>
      <c r="AW1746" s="260">
        <v>0</v>
      </c>
      <c r="AX1746" s="59">
        <v>0</v>
      </c>
      <c r="AY1746" s="59">
        <v>0</v>
      </c>
      <c r="AZ1746" s="59">
        <v>0</v>
      </c>
      <c r="BA1746" s="20" t="s">
        <v>206</v>
      </c>
      <c r="BB1746" s="59">
        <v>0</v>
      </c>
      <c r="BC1746" s="262">
        <v>0</v>
      </c>
      <c r="BD1746" s="31">
        <v>1</v>
      </c>
      <c r="BE1746" s="260" t="s">
        <v>3677</v>
      </c>
      <c r="BF1746" s="260" t="s">
        <v>4010</v>
      </c>
      <c r="BG1746" s="59">
        <v>0</v>
      </c>
      <c r="BH1746" s="70">
        <v>0</v>
      </c>
      <c r="BI1746" s="19">
        <v>0</v>
      </c>
      <c r="BJ1746" s="59">
        <v>0</v>
      </c>
      <c r="BK1746" s="59">
        <v>0</v>
      </c>
      <c r="BL1746" s="59">
        <v>0</v>
      </c>
      <c r="BM1746" s="25">
        <v>0</v>
      </c>
      <c r="BN1746" s="19">
        <v>0</v>
      </c>
      <c r="BO1746" s="19">
        <v>0</v>
      </c>
      <c r="BP1746" s="19">
        <v>0</v>
      </c>
      <c r="BQ1746" s="19">
        <v>0</v>
      </c>
      <c r="BR1746" s="19">
        <v>0</v>
      </c>
      <c r="BS1746" s="19">
        <v>0</v>
      </c>
      <c r="BT1746" s="19">
        <v>0</v>
      </c>
      <c r="BU1746" s="23">
        <v>0</v>
      </c>
      <c r="BV1746" s="23"/>
      <c r="BW1746" s="23"/>
      <c r="BX1746" s="23"/>
      <c r="BY1746" s="23"/>
      <c r="BZ1746" s="23"/>
    </row>
    <row r="1747" spans="3:78" ht="20.100000000000001" customHeight="1">
      <c r="C1747" s="32">
        <v>69052034</v>
      </c>
      <c r="D1747" s="260" t="s">
        <v>4011</v>
      </c>
      <c r="E1747" s="260" t="s">
        <v>4012</v>
      </c>
      <c r="F1747" s="69">
        <v>1</v>
      </c>
      <c r="G1747" s="69">
        <v>62023401</v>
      </c>
      <c r="H1747" s="59">
        <v>0</v>
      </c>
      <c r="I1747" s="59">
        <v>0</v>
      </c>
      <c r="J1747" s="69">
        <v>1</v>
      </c>
      <c r="K1747" s="69">
        <v>0</v>
      </c>
      <c r="L1747" s="59">
        <v>0</v>
      </c>
      <c r="M1747" s="59">
        <v>0</v>
      </c>
      <c r="N1747" s="59" t="s">
        <v>3682</v>
      </c>
      <c r="O1747" s="59">
        <v>3</v>
      </c>
      <c r="P1747" s="59">
        <v>0</v>
      </c>
      <c r="Q1747" s="59">
        <v>0</v>
      </c>
      <c r="R1747" s="59">
        <v>0</v>
      </c>
      <c r="S1747" s="19">
        <v>0</v>
      </c>
      <c r="T1747" s="59">
        <v>0</v>
      </c>
      <c r="U1747" s="21">
        <v>1</v>
      </c>
      <c r="V1747" s="59">
        <v>0</v>
      </c>
      <c r="W1747" s="59">
        <v>0</v>
      </c>
      <c r="X1747" s="59">
        <v>0</v>
      </c>
      <c r="Y1747" s="19">
        <v>0</v>
      </c>
      <c r="Z1747" s="59">
        <v>0</v>
      </c>
      <c r="AA1747" s="59">
        <v>0</v>
      </c>
      <c r="AB1747" s="59">
        <v>0</v>
      </c>
      <c r="AC1747" s="59">
        <v>0</v>
      </c>
      <c r="AD1747" s="69">
        <v>0</v>
      </c>
      <c r="AE1747" s="59">
        <v>0</v>
      </c>
      <c r="AF1747" s="59">
        <v>0</v>
      </c>
      <c r="AG1747" s="59">
        <v>0</v>
      </c>
      <c r="AH1747" s="59">
        <v>0</v>
      </c>
      <c r="AI1747" s="59">
        <v>0</v>
      </c>
      <c r="AJ1747" s="59">
        <v>0</v>
      </c>
      <c r="AK1747" s="19">
        <v>0</v>
      </c>
      <c r="AL1747" s="59">
        <v>0</v>
      </c>
      <c r="AM1747" s="59">
        <v>0</v>
      </c>
      <c r="AN1747" s="59">
        <v>0</v>
      </c>
      <c r="AO1747" s="59">
        <v>0</v>
      </c>
      <c r="AP1747" s="59">
        <v>0</v>
      </c>
      <c r="AQ1747" s="59">
        <v>0</v>
      </c>
      <c r="AR1747" s="59">
        <v>0</v>
      </c>
      <c r="AS1747" s="59">
        <v>0</v>
      </c>
      <c r="AT1747" s="261">
        <v>0</v>
      </c>
      <c r="AU1747" s="59">
        <v>0</v>
      </c>
      <c r="AV1747" s="59"/>
      <c r="AW1747" s="260">
        <v>0</v>
      </c>
      <c r="AX1747" s="59">
        <v>0</v>
      </c>
      <c r="AY1747" s="59">
        <v>0</v>
      </c>
      <c r="AZ1747" s="59">
        <v>0</v>
      </c>
      <c r="BA1747" s="20" t="s">
        <v>206</v>
      </c>
      <c r="BB1747" s="59">
        <v>0</v>
      </c>
      <c r="BC1747" s="262">
        <v>0</v>
      </c>
      <c r="BD1747" s="31">
        <v>1</v>
      </c>
      <c r="BE1747" s="260" t="s">
        <v>3680</v>
      </c>
      <c r="BF1747" s="260" t="s">
        <v>4013</v>
      </c>
      <c r="BG1747" s="59">
        <v>0</v>
      </c>
      <c r="BH1747" s="70">
        <v>0</v>
      </c>
      <c r="BI1747" s="19">
        <v>0</v>
      </c>
      <c r="BJ1747" s="59">
        <v>0</v>
      </c>
      <c r="BK1747" s="59">
        <v>0</v>
      </c>
      <c r="BL1747" s="59">
        <v>0</v>
      </c>
      <c r="BM1747" s="25">
        <v>0</v>
      </c>
      <c r="BN1747" s="19">
        <v>0</v>
      </c>
      <c r="BO1747" s="19">
        <v>0</v>
      </c>
      <c r="BP1747" s="19">
        <v>0</v>
      </c>
      <c r="BQ1747" s="19">
        <v>0</v>
      </c>
      <c r="BR1747" s="19">
        <v>0</v>
      </c>
      <c r="BS1747" s="19">
        <v>0</v>
      </c>
      <c r="BT1747" s="19">
        <v>0</v>
      </c>
      <c r="BU1747" s="23">
        <v>0</v>
      </c>
      <c r="BV1747" s="23"/>
      <c r="BW1747" s="23"/>
      <c r="BX1747" s="23"/>
      <c r="BY1747" s="23"/>
      <c r="BZ1747" s="23"/>
    </row>
    <row r="1748" spans="3:78" ht="20.100000000000001" customHeight="1">
      <c r="C1748" s="176">
        <v>69053001</v>
      </c>
      <c r="D1748" s="271" t="s">
        <v>1405</v>
      </c>
      <c r="E1748" s="271" t="s">
        <v>1992</v>
      </c>
      <c r="F1748" s="272">
        <v>1</v>
      </c>
      <c r="G1748" s="69">
        <v>63011101</v>
      </c>
      <c r="H1748" s="273">
        <v>0</v>
      </c>
      <c r="I1748" s="273">
        <v>0</v>
      </c>
      <c r="J1748" s="272">
        <v>1</v>
      </c>
      <c r="K1748" s="272">
        <v>0</v>
      </c>
      <c r="L1748" s="273">
        <v>0</v>
      </c>
      <c r="M1748" s="273">
        <v>0</v>
      </c>
      <c r="N1748" s="273" t="s">
        <v>4014</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4015</v>
      </c>
      <c r="BF1748" s="273" t="s">
        <v>4016</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69053002</v>
      </c>
      <c r="D1749" s="271" t="s">
        <v>1413</v>
      </c>
      <c r="E1749" s="271" t="s">
        <v>2006</v>
      </c>
      <c r="F1749" s="272">
        <v>1</v>
      </c>
      <c r="G1749" s="69">
        <v>63011201</v>
      </c>
      <c r="H1749" s="273">
        <v>0</v>
      </c>
      <c r="I1749" s="273">
        <v>0</v>
      </c>
      <c r="J1749" s="272">
        <v>1</v>
      </c>
      <c r="K1749" s="272">
        <v>0</v>
      </c>
      <c r="L1749" s="273">
        <v>0</v>
      </c>
      <c r="M1749" s="273">
        <v>0</v>
      </c>
      <c r="N1749" s="273" t="s">
        <v>4017</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4018</v>
      </c>
      <c r="BF1749" s="273" t="s">
        <v>4019</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69053003</v>
      </c>
      <c r="D1750" s="271" t="s">
        <v>1421</v>
      </c>
      <c r="E1750" s="271" t="s">
        <v>2068</v>
      </c>
      <c r="F1750" s="272">
        <v>1</v>
      </c>
      <c r="G1750" s="69">
        <v>63011301</v>
      </c>
      <c r="H1750" s="273">
        <v>0</v>
      </c>
      <c r="I1750" s="273">
        <v>0</v>
      </c>
      <c r="J1750" s="272">
        <v>1</v>
      </c>
      <c r="K1750" s="272">
        <v>0</v>
      </c>
      <c r="L1750" s="273">
        <v>0</v>
      </c>
      <c r="M1750" s="273">
        <v>0</v>
      </c>
      <c r="N1750" s="273" t="s">
        <v>4020</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4021</v>
      </c>
      <c r="BF1750" s="273" t="s">
        <v>4022</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69053011</v>
      </c>
      <c r="D1751" s="271" t="s">
        <v>2083</v>
      </c>
      <c r="E1751" s="271" t="s">
        <v>2084</v>
      </c>
      <c r="F1751" s="272">
        <v>1</v>
      </c>
      <c r="G1751" s="69">
        <v>63021101</v>
      </c>
      <c r="H1751" s="273">
        <v>0</v>
      </c>
      <c r="I1751" s="273">
        <v>0</v>
      </c>
      <c r="J1751" s="272">
        <v>1</v>
      </c>
      <c r="K1751" s="272">
        <v>0</v>
      </c>
      <c r="L1751" s="273">
        <v>0</v>
      </c>
      <c r="M1751" s="273">
        <v>0</v>
      </c>
      <c r="N1751" s="273" t="s">
        <v>3699</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3697</v>
      </c>
      <c r="BF1751" s="273" t="s">
        <v>4023</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69053012</v>
      </c>
      <c r="D1752" s="271" t="s">
        <v>2107</v>
      </c>
      <c r="E1752" s="271" t="s">
        <v>2108</v>
      </c>
      <c r="F1752" s="272">
        <v>1</v>
      </c>
      <c r="G1752" s="69">
        <v>63021201</v>
      </c>
      <c r="H1752" s="273">
        <v>0</v>
      </c>
      <c r="I1752" s="273">
        <v>0</v>
      </c>
      <c r="J1752" s="272">
        <v>1</v>
      </c>
      <c r="K1752" s="272">
        <v>0</v>
      </c>
      <c r="L1752" s="273">
        <v>0</v>
      </c>
      <c r="M1752" s="273">
        <v>0</v>
      </c>
      <c r="N1752" s="273" t="s">
        <v>3702</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3700</v>
      </c>
      <c r="BF1752" s="273" t="s">
        <v>4024</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69053013</v>
      </c>
      <c r="D1753" s="271" t="s">
        <v>2131</v>
      </c>
      <c r="E1753" s="271" t="s">
        <v>2132</v>
      </c>
      <c r="F1753" s="272">
        <v>1</v>
      </c>
      <c r="G1753" s="69">
        <v>63021301</v>
      </c>
      <c r="H1753" s="273">
        <v>0</v>
      </c>
      <c r="I1753" s="273">
        <v>0</v>
      </c>
      <c r="J1753" s="272">
        <v>1</v>
      </c>
      <c r="K1753" s="272">
        <v>0</v>
      </c>
      <c r="L1753" s="273">
        <v>0</v>
      </c>
      <c r="M1753" s="273">
        <v>0</v>
      </c>
      <c r="N1753" s="273" t="s">
        <v>3705</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3703</v>
      </c>
      <c r="BF1753" s="273" t="s">
        <v>4025</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69053014</v>
      </c>
      <c r="D1754" s="271" t="s">
        <v>2133</v>
      </c>
      <c r="E1754" s="271" t="s">
        <v>2134</v>
      </c>
      <c r="F1754" s="272">
        <v>1</v>
      </c>
      <c r="G1754" s="69">
        <v>63021401</v>
      </c>
      <c r="H1754" s="273">
        <v>0</v>
      </c>
      <c r="I1754" s="273">
        <v>0</v>
      </c>
      <c r="J1754" s="272">
        <v>1</v>
      </c>
      <c r="K1754" s="272">
        <v>0</v>
      </c>
      <c r="L1754" s="273">
        <v>0</v>
      </c>
      <c r="M1754" s="273">
        <v>0</v>
      </c>
      <c r="N1754" s="273" t="s">
        <v>3708</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3706</v>
      </c>
      <c r="BF1754" s="273" t="s">
        <v>4026</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69053021</v>
      </c>
      <c r="D1755" s="271" t="s">
        <v>2157</v>
      </c>
      <c r="E1755" s="271" t="s">
        <v>2158</v>
      </c>
      <c r="F1755" s="272">
        <v>1</v>
      </c>
      <c r="G1755" s="69">
        <v>63022101</v>
      </c>
      <c r="H1755" s="273">
        <v>0</v>
      </c>
      <c r="I1755" s="273">
        <v>0</v>
      </c>
      <c r="J1755" s="272">
        <v>1</v>
      </c>
      <c r="K1755" s="272">
        <v>0</v>
      </c>
      <c r="L1755" s="273">
        <v>0</v>
      </c>
      <c r="M1755" s="273">
        <v>0</v>
      </c>
      <c r="N1755" s="273" t="s">
        <v>3711</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3709</v>
      </c>
      <c r="BF1755" s="273" t="s">
        <v>4027</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69053022</v>
      </c>
      <c r="D1756" s="271" t="s">
        <v>2164</v>
      </c>
      <c r="E1756" s="271" t="s">
        <v>2165</v>
      </c>
      <c r="F1756" s="272">
        <v>1</v>
      </c>
      <c r="G1756" s="69">
        <v>63022201</v>
      </c>
      <c r="H1756" s="273">
        <v>0</v>
      </c>
      <c r="I1756" s="273">
        <v>0</v>
      </c>
      <c r="J1756" s="272">
        <v>1</v>
      </c>
      <c r="K1756" s="272">
        <v>0</v>
      </c>
      <c r="L1756" s="273">
        <v>0</v>
      </c>
      <c r="M1756" s="273">
        <v>0</v>
      </c>
      <c r="N1756" s="273" t="s">
        <v>3714</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3712</v>
      </c>
      <c r="BF1756" s="273" t="s">
        <v>4028</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69053023</v>
      </c>
      <c r="D1757" s="271" t="s">
        <v>1126</v>
      </c>
      <c r="E1757" s="271" t="s">
        <v>1127</v>
      </c>
      <c r="F1757" s="272">
        <v>1</v>
      </c>
      <c r="G1757" s="69">
        <v>63022301</v>
      </c>
      <c r="H1757" s="273">
        <v>0</v>
      </c>
      <c r="I1757" s="273">
        <v>0</v>
      </c>
      <c r="J1757" s="272">
        <v>1</v>
      </c>
      <c r="K1757" s="272">
        <v>0</v>
      </c>
      <c r="L1757" s="273">
        <v>0</v>
      </c>
      <c r="M1757" s="273">
        <v>0</v>
      </c>
      <c r="N1757" s="273" t="s">
        <v>3717</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3715</v>
      </c>
      <c r="BF1757" s="273" t="s">
        <v>4029</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69053024</v>
      </c>
      <c r="D1758" s="271" t="s">
        <v>2177</v>
      </c>
      <c r="E1758" s="271" t="s">
        <v>2178</v>
      </c>
      <c r="F1758" s="272">
        <v>1</v>
      </c>
      <c r="G1758" s="69">
        <v>63022401</v>
      </c>
      <c r="H1758" s="273">
        <v>0</v>
      </c>
      <c r="I1758" s="273">
        <v>0</v>
      </c>
      <c r="J1758" s="272">
        <v>1</v>
      </c>
      <c r="K1758" s="272">
        <v>0</v>
      </c>
      <c r="L1758" s="273">
        <v>0</v>
      </c>
      <c r="M1758" s="273">
        <v>0</v>
      </c>
      <c r="N1758" s="273" t="s">
        <v>3720</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3718</v>
      </c>
      <c r="BF1758" s="273" t="s">
        <v>4030</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69053031</v>
      </c>
      <c r="D1759" s="271" t="s">
        <v>2185</v>
      </c>
      <c r="E1759" s="271" t="s">
        <v>2186</v>
      </c>
      <c r="F1759" s="272">
        <v>1</v>
      </c>
      <c r="G1759" s="69">
        <v>63021101</v>
      </c>
      <c r="H1759" s="273">
        <v>0</v>
      </c>
      <c r="I1759" s="273">
        <v>0</v>
      </c>
      <c r="J1759" s="272">
        <v>1</v>
      </c>
      <c r="K1759" s="272">
        <v>0</v>
      </c>
      <c r="L1759" s="273">
        <v>0</v>
      </c>
      <c r="M1759" s="273">
        <v>0</v>
      </c>
      <c r="N1759" s="273" t="s">
        <v>3723</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3721</v>
      </c>
      <c r="BF1759" s="273" t="s">
        <v>4031</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176">
        <v>69053032</v>
      </c>
      <c r="D1760" s="271" t="s">
        <v>2208</v>
      </c>
      <c r="E1760" s="271" t="s">
        <v>2209</v>
      </c>
      <c r="F1760" s="272">
        <v>1</v>
      </c>
      <c r="G1760" s="69">
        <v>63023201</v>
      </c>
      <c r="H1760" s="273">
        <v>0</v>
      </c>
      <c r="I1760" s="273">
        <v>0</v>
      </c>
      <c r="J1760" s="272">
        <v>1</v>
      </c>
      <c r="K1760" s="272">
        <v>0</v>
      </c>
      <c r="L1760" s="273">
        <v>0</v>
      </c>
      <c r="M1760" s="273">
        <v>0</v>
      </c>
      <c r="N1760" s="273" t="s">
        <v>3726</v>
      </c>
      <c r="O1760" s="273">
        <v>3</v>
      </c>
      <c r="P1760" s="273">
        <v>0</v>
      </c>
      <c r="Q1760" s="273">
        <v>0</v>
      </c>
      <c r="R1760" s="273">
        <v>0</v>
      </c>
      <c r="S1760" s="175">
        <v>0</v>
      </c>
      <c r="T1760" s="273">
        <v>0</v>
      </c>
      <c r="U1760" s="172">
        <v>1</v>
      </c>
      <c r="V1760" s="273">
        <v>0</v>
      </c>
      <c r="W1760" s="273">
        <v>0</v>
      </c>
      <c r="X1760" s="273">
        <v>0</v>
      </c>
      <c r="Y1760" s="19">
        <v>0</v>
      </c>
      <c r="Z1760" s="273">
        <v>0</v>
      </c>
      <c r="AA1760" s="273">
        <v>0</v>
      </c>
      <c r="AB1760" s="273">
        <v>0</v>
      </c>
      <c r="AC1760" s="273">
        <v>0</v>
      </c>
      <c r="AD1760" s="272">
        <v>0</v>
      </c>
      <c r="AE1760" s="273">
        <v>0</v>
      </c>
      <c r="AF1760" s="273">
        <v>0</v>
      </c>
      <c r="AG1760" s="273">
        <v>0</v>
      </c>
      <c r="AH1760" s="273">
        <v>0</v>
      </c>
      <c r="AI1760" s="273">
        <v>0</v>
      </c>
      <c r="AJ1760" s="273">
        <v>0</v>
      </c>
      <c r="AK1760" s="175">
        <v>0</v>
      </c>
      <c r="AL1760" s="273">
        <v>0</v>
      </c>
      <c r="AM1760" s="273">
        <v>0</v>
      </c>
      <c r="AN1760" s="273">
        <v>0</v>
      </c>
      <c r="AO1760" s="273">
        <v>0</v>
      </c>
      <c r="AP1760" s="273">
        <v>0</v>
      </c>
      <c r="AQ1760" s="273">
        <v>0</v>
      </c>
      <c r="AR1760" s="273">
        <v>0</v>
      </c>
      <c r="AS1760" s="273">
        <v>0</v>
      </c>
      <c r="AT1760" s="274">
        <v>0</v>
      </c>
      <c r="AU1760" s="273">
        <v>0</v>
      </c>
      <c r="AV1760" s="273"/>
      <c r="AW1760" s="271">
        <v>0</v>
      </c>
      <c r="AX1760" s="273">
        <v>0</v>
      </c>
      <c r="AY1760" s="273">
        <v>0</v>
      </c>
      <c r="AZ1760" s="273">
        <v>0</v>
      </c>
      <c r="BA1760" s="202" t="s">
        <v>206</v>
      </c>
      <c r="BB1760" s="273">
        <v>0</v>
      </c>
      <c r="BC1760" s="275">
        <v>0</v>
      </c>
      <c r="BD1760" s="174">
        <v>1</v>
      </c>
      <c r="BE1760" s="273" t="s">
        <v>3724</v>
      </c>
      <c r="BF1760" s="273" t="s">
        <v>4032</v>
      </c>
      <c r="BG1760" s="273">
        <v>0</v>
      </c>
      <c r="BH1760" s="276">
        <v>0</v>
      </c>
      <c r="BI1760" s="175">
        <v>0</v>
      </c>
      <c r="BJ1760" s="273">
        <v>0</v>
      </c>
      <c r="BK1760" s="273">
        <v>0</v>
      </c>
      <c r="BL1760" s="273">
        <v>0</v>
      </c>
      <c r="BM1760" s="178">
        <v>0</v>
      </c>
      <c r="BN1760" s="175">
        <v>0</v>
      </c>
      <c r="BO1760" s="175">
        <v>0</v>
      </c>
      <c r="BP1760" s="175">
        <v>0</v>
      </c>
      <c r="BQ1760" s="175">
        <v>0</v>
      </c>
      <c r="BR1760" s="175">
        <v>0</v>
      </c>
      <c r="BS1760" s="175">
        <v>0</v>
      </c>
      <c r="BT1760" s="19">
        <v>0</v>
      </c>
      <c r="BU1760" s="23">
        <v>0</v>
      </c>
      <c r="BV1760" s="23"/>
      <c r="BW1760" s="23"/>
      <c r="BX1760" s="23"/>
      <c r="BY1760" s="23"/>
      <c r="BZ1760" s="23"/>
    </row>
    <row r="1761" spans="3:78" ht="20.100000000000001" customHeight="1">
      <c r="C1761" s="176">
        <v>69053033</v>
      </c>
      <c r="D1761" s="271" t="s">
        <v>2215</v>
      </c>
      <c r="E1761" s="271" t="s">
        <v>2216</v>
      </c>
      <c r="F1761" s="272">
        <v>1</v>
      </c>
      <c r="G1761" s="69">
        <v>63023301</v>
      </c>
      <c r="H1761" s="273">
        <v>0</v>
      </c>
      <c r="I1761" s="273">
        <v>0</v>
      </c>
      <c r="J1761" s="272">
        <v>1</v>
      </c>
      <c r="K1761" s="272">
        <v>0</v>
      </c>
      <c r="L1761" s="273">
        <v>0</v>
      </c>
      <c r="M1761" s="273">
        <v>0</v>
      </c>
      <c r="N1761" s="273" t="s">
        <v>3729</v>
      </c>
      <c r="O1761" s="273">
        <v>3</v>
      </c>
      <c r="P1761" s="273">
        <v>0</v>
      </c>
      <c r="Q1761" s="273">
        <v>0</v>
      </c>
      <c r="R1761" s="273">
        <v>0</v>
      </c>
      <c r="S1761" s="175">
        <v>0</v>
      </c>
      <c r="T1761" s="273">
        <v>0</v>
      </c>
      <c r="U1761" s="172">
        <v>1</v>
      </c>
      <c r="V1761" s="273">
        <v>0</v>
      </c>
      <c r="W1761" s="273">
        <v>0</v>
      </c>
      <c r="X1761" s="273">
        <v>0</v>
      </c>
      <c r="Y1761" s="19">
        <v>0</v>
      </c>
      <c r="Z1761" s="273">
        <v>0</v>
      </c>
      <c r="AA1761" s="273">
        <v>0</v>
      </c>
      <c r="AB1761" s="273">
        <v>0</v>
      </c>
      <c r="AC1761" s="273">
        <v>0</v>
      </c>
      <c r="AD1761" s="272">
        <v>0</v>
      </c>
      <c r="AE1761" s="273">
        <v>0</v>
      </c>
      <c r="AF1761" s="273">
        <v>0</v>
      </c>
      <c r="AG1761" s="273">
        <v>0</v>
      </c>
      <c r="AH1761" s="273">
        <v>0</v>
      </c>
      <c r="AI1761" s="273">
        <v>0</v>
      </c>
      <c r="AJ1761" s="273">
        <v>0</v>
      </c>
      <c r="AK1761" s="175">
        <v>0</v>
      </c>
      <c r="AL1761" s="273">
        <v>0</v>
      </c>
      <c r="AM1761" s="273">
        <v>0</v>
      </c>
      <c r="AN1761" s="273">
        <v>0</v>
      </c>
      <c r="AO1761" s="273">
        <v>0</v>
      </c>
      <c r="AP1761" s="273">
        <v>0</v>
      </c>
      <c r="AQ1761" s="273">
        <v>0</v>
      </c>
      <c r="AR1761" s="273">
        <v>0</v>
      </c>
      <c r="AS1761" s="273">
        <v>0</v>
      </c>
      <c r="AT1761" s="274">
        <v>0</v>
      </c>
      <c r="AU1761" s="273">
        <v>0</v>
      </c>
      <c r="AV1761" s="273"/>
      <c r="AW1761" s="271">
        <v>0</v>
      </c>
      <c r="AX1761" s="273">
        <v>0</v>
      </c>
      <c r="AY1761" s="273">
        <v>0</v>
      </c>
      <c r="AZ1761" s="273">
        <v>0</v>
      </c>
      <c r="BA1761" s="202" t="s">
        <v>206</v>
      </c>
      <c r="BB1761" s="273">
        <v>0</v>
      </c>
      <c r="BC1761" s="275">
        <v>0</v>
      </c>
      <c r="BD1761" s="174">
        <v>1</v>
      </c>
      <c r="BE1761" s="273" t="s">
        <v>3727</v>
      </c>
      <c r="BF1761" s="273" t="s">
        <v>4033</v>
      </c>
      <c r="BG1761" s="273">
        <v>0</v>
      </c>
      <c r="BH1761" s="276">
        <v>0</v>
      </c>
      <c r="BI1761" s="175">
        <v>0</v>
      </c>
      <c r="BJ1761" s="273">
        <v>0</v>
      </c>
      <c r="BK1761" s="273">
        <v>0</v>
      </c>
      <c r="BL1761" s="273">
        <v>0</v>
      </c>
      <c r="BM1761" s="178">
        <v>0</v>
      </c>
      <c r="BN1761" s="175">
        <v>0</v>
      </c>
      <c r="BO1761" s="175">
        <v>0</v>
      </c>
      <c r="BP1761" s="175">
        <v>0</v>
      </c>
      <c r="BQ1761" s="175">
        <v>0</v>
      </c>
      <c r="BR1761" s="175">
        <v>0</v>
      </c>
      <c r="BS1761" s="175">
        <v>0</v>
      </c>
      <c r="BT1761" s="19">
        <v>0</v>
      </c>
      <c r="BU1761" s="23">
        <v>0</v>
      </c>
      <c r="BV1761" s="23"/>
      <c r="BW1761" s="23"/>
      <c r="BX1761" s="23"/>
      <c r="BY1761" s="23"/>
      <c r="BZ1761" s="23"/>
    </row>
    <row r="1762" spans="3:78" ht="20.100000000000001" customHeight="1">
      <c r="C1762" s="176">
        <v>69053034</v>
      </c>
      <c r="D1762" s="271" t="s">
        <v>2222</v>
      </c>
      <c r="E1762" s="271" t="s">
        <v>2223</v>
      </c>
      <c r="F1762" s="272">
        <v>1</v>
      </c>
      <c r="G1762" s="69">
        <v>63023401</v>
      </c>
      <c r="H1762" s="273">
        <v>0</v>
      </c>
      <c r="I1762" s="273">
        <v>0</v>
      </c>
      <c r="J1762" s="272">
        <v>1</v>
      </c>
      <c r="K1762" s="272">
        <v>0</v>
      </c>
      <c r="L1762" s="273">
        <v>0</v>
      </c>
      <c r="M1762" s="273">
        <v>0</v>
      </c>
      <c r="N1762" s="273" t="s">
        <v>3732</v>
      </c>
      <c r="O1762" s="273">
        <v>3</v>
      </c>
      <c r="P1762" s="273">
        <v>0</v>
      </c>
      <c r="Q1762" s="273">
        <v>0</v>
      </c>
      <c r="R1762" s="273">
        <v>0</v>
      </c>
      <c r="S1762" s="175">
        <v>0</v>
      </c>
      <c r="T1762" s="273">
        <v>0</v>
      </c>
      <c r="U1762" s="172">
        <v>1</v>
      </c>
      <c r="V1762" s="273">
        <v>0</v>
      </c>
      <c r="W1762" s="273">
        <v>0</v>
      </c>
      <c r="X1762" s="273">
        <v>0</v>
      </c>
      <c r="Y1762" s="19">
        <v>0</v>
      </c>
      <c r="Z1762" s="273">
        <v>0</v>
      </c>
      <c r="AA1762" s="273">
        <v>0</v>
      </c>
      <c r="AB1762" s="273">
        <v>0</v>
      </c>
      <c r="AC1762" s="273">
        <v>0</v>
      </c>
      <c r="AD1762" s="272">
        <v>0</v>
      </c>
      <c r="AE1762" s="273">
        <v>0</v>
      </c>
      <c r="AF1762" s="273">
        <v>0</v>
      </c>
      <c r="AG1762" s="273">
        <v>0</v>
      </c>
      <c r="AH1762" s="273">
        <v>0</v>
      </c>
      <c r="AI1762" s="273">
        <v>0</v>
      </c>
      <c r="AJ1762" s="273">
        <v>0</v>
      </c>
      <c r="AK1762" s="175">
        <v>0</v>
      </c>
      <c r="AL1762" s="273">
        <v>0</v>
      </c>
      <c r="AM1762" s="273">
        <v>0</v>
      </c>
      <c r="AN1762" s="273">
        <v>0</v>
      </c>
      <c r="AO1762" s="273">
        <v>0</v>
      </c>
      <c r="AP1762" s="273">
        <v>0</v>
      </c>
      <c r="AQ1762" s="273">
        <v>0</v>
      </c>
      <c r="AR1762" s="273">
        <v>0</v>
      </c>
      <c r="AS1762" s="273">
        <v>0</v>
      </c>
      <c r="AT1762" s="274">
        <v>0</v>
      </c>
      <c r="AU1762" s="273">
        <v>0</v>
      </c>
      <c r="AV1762" s="273"/>
      <c r="AW1762" s="271">
        <v>0</v>
      </c>
      <c r="AX1762" s="273">
        <v>0</v>
      </c>
      <c r="AY1762" s="273">
        <v>0</v>
      </c>
      <c r="AZ1762" s="273">
        <v>0</v>
      </c>
      <c r="BA1762" s="202" t="s">
        <v>206</v>
      </c>
      <c r="BB1762" s="273">
        <v>0</v>
      </c>
      <c r="BC1762" s="275">
        <v>0</v>
      </c>
      <c r="BD1762" s="174">
        <v>1</v>
      </c>
      <c r="BE1762" s="273" t="s">
        <v>3730</v>
      </c>
      <c r="BF1762" s="273" t="s">
        <v>4034</v>
      </c>
      <c r="BG1762" s="273">
        <v>0</v>
      </c>
      <c r="BH1762" s="276">
        <v>0</v>
      </c>
      <c r="BI1762" s="175">
        <v>0</v>
      </c>
      <c r="BJ1762" s="273">
        <v>0</v>
      </c>
      <c r="BK1762" s="273">
        <v>0</v>
      </c>
      <c r="BL1762" s="273">
        <v>0</v>
      </c>
      <c r="BM1762" s="178">
        <v>0</v>
      </c>
      <c r="BN1762" s="175">
        <v>0</v>
      </c>
      <c r="BO1762" s="175">
        <v>0</v>
      </c>
      <c r="BP1762" s="175">
        <v>0</v>
      </c>
      <c r="BQ1762" s="175">
        <v>0</v>
      </c>
      <c r="BR1762" s="175">
        <v>0</v>
      </c>
      <c r="BS1762" s="175">
        <v>0</v>
      </c>
      <c r="BT1762" s="19">
        <v>0</v>
      </c>
      <c r="BU1762" s="23">
        <v>0</v>
      </c>
      <c r="BV1762" s="23"/>
      <c r="BW1762" s="23"/>
      <c r="BX1762" s="23"/>
      <c r="BY1762" s="23"/>
      <c r="BZ1762" s="23"/>
    </row>
    <row r="1763" spans="3:78" ht="20.100000000000001" customHeight="1">
      <c r="C1763" s="32">
        <v>69054001</v>
      </c>
      <c r="D1763" s="260" t="s">
        <v>1429</v>
      </c>
      <c r="E1763" s="260" t="s">
        <v>2262</v>
      </c>
      <c r="F1763" s="69">
        <v>1</v>
      </c>
      <c r="G1763" s="69">
        <v>64011101</v>
      </c>
      <c r="H1763" s="59">
        <v>0</v>
      </c>
      <c r="I1763" s="59">
        <v>0</v>
      </c>
      <c r="J1763" s="69">
        <v>1</v>
      </c>
      <c r="K1763" s="69">
        <v>0</v>
      </c>
      <c r="L1763" s="59">
        <v>0</v>
      </c>
      <c r="M1763" s="59">
        <v>0</v>
      </c>
      <c r="N1763" s="59" t="s">
        <v>4035</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260" t="s">
        <v>4036</v>
      </c>
      <c r="BF1763" s="260" t="s">
        <v>4037</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69054002</v>
      </c>
      <c r="D1764" s="260" t="s">
        <v>1436</v>
      </c>
      <c r="E1764" s="260" t="s">
        <v>1437</v>
      </c>
      <c r="F1764" s="69">
        <v>1</v>
      </c>
      <c r="G1764" s="69">
        <v>64011201</v>
      </c>
      <c r="H1764" s="59">
        <v>0</v>
      </c>
      <c r="I1764" s="59">
        <v>0</v>
      </c>
      <c r="J1764" s="69">
        <v>1</v>
      </c>
      <c r="K1764" s="69">
        <v>0</v>
      </c>
      <c r="L1764" s="59">
        <v>0</v>
      </c>
      <c r="M1764" s="59">
        <v>0</v>
      </c>
      <c r="N1764" s="59" t="s">
        <v>4038</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260" t="s">
        <v>4039</v>
      </c>
      <c r="BF1764" s="260" t="s">
        <v>4040</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69054003</v>
      </c>
      <c r="D1765" s="260" t="s">
        <v>2277</v>
      </c>
      <c r="E1765" s="260" t="s">
        <v>2278</v>
      </c>
      <c r="F1765" s="69">
        <v>1</v>
      </c>
      <c r="G1765" s="69">
        <v>64011301</v>
      </c>
      <c r="H1765" s="59">
        <v>0</v>
      </c>
      <c r="I1765" s="59">
        <v>0</v>
      </c>
      <c r="J1765" s="69">
        <v>1</v>
      </c>
      <c r="K1765" s="69">
        <v>0</v>
      </c>
      <c r="L1765" s="59">
        <v>0</v>
      </c>
      <c r="M1765" s="59">
        <v>0</v>
      </c>
      <c r="N1765" s="59" t="s">
        <v>4041</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260" t="s">
        <v>4042</v>
      </c>
      <c r="BF1765" s="260" t="s">
        <v>4043</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69054011</v>
      </c>
      <c r="D1766" s="260" t="s">
        <v>2336</v>
      </c>
      <c r="E1766" s="260" t="s">
        <v>2337</v>
      </c>
      <c r="F1766" s="69">
        <v>1</v>
      </c>
      <c r="G1766" s="69">
        <v>64013101</v>
      </c>
      <c r="H1766" s="59">
        <v>0</v>
      </c>
      <c r="I1766" s="59">
        <v>0</v>
      </c>
      <c r="J1766" s="69">
        <v>1</v>
      </c>
      <c r="K1766" s="69">
        <v>0</v>
      </c>
      <c r="L1766" s="59">
        <v>0</v>
      </c>
      <c r="M1766" s="59">
        <v>0</v>
      </c>
      <c r="N1766" s="59" t="s">
        <v>4044</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4045</v>
      </c>
      <c r="BF1766" s="59" t="s">
        <v>4046</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69054012</v>
      </c>
      <c r="D1767" s="260" t="s">
        <v>2343</v>
      </c>
      <c r="E1767" s="260" t="s">
        <v>2344</v>
      </c>
      <c r="F1767" s="69">
        <v>1</v>
      </c>
      <c r="G1767" s="69">
        <v>64013201</v>
      </c>
      <c r="H1767" s="59">
        <v>0</v>
      </c>
      <c r="I1767" s="59">
        <v>0</v>
      </c>
      <c r="J1767" s="69">
        <v>1</v>
      </c>
      <c r="K1767" s="69">
        <v>0</v>
      </c>
      <c r="L1767" s="59">
        <v>0</v>
      </c>
      <c r="M1767" s="59">
        <v>0</v>
      </c>
      <c r="N1767" s="59" t="s">
        <v>4047</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4048</v>
      </c>
      <c r="BF1767" s="59" t="s">
        <v>4049</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69054013</v>
      </c>
      <c r="D1768" s="260" t="s">
        <v>2350</v>
      </c>
      <c r="E1768" s="260" t="s">
        <v>2351</v>
      </c>
      <c r="F1768" s="69">
        <v>1</v>
      </c>
      <c r="G1768" s="69">
        <v>64013301</v>
      </c>
      <c r="H1768" s="59">
        <v>0</v>
      </c>
      <c r="I1768" s="59">
        <v>0</v>
      </c>
      <c r="J1768" s="69">
        <v>1</v>
      </c>
      <c r="K1768" s="69">
        <v>0</v>
      </c>
      <c r="L1768" s="59">
        <v>0</v>
      </c>
      <c r="M1768" s="59">
        <v>0</v>
      </c>
      <c r="N1768" s="59" t="s">
        <v>4050</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4051</v>
      </c>
      <c r="BF1768" s="59" t="s">
        <v>4052</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69054014</v>
      </c>
      <c r="D1769" s="260" t="s">
        <v>2370</v>
      </c>
      <c r="E1769" s="260" t="s">
        <v>2371</v>
      </c>
      <c r="F1769" s="69">
        <v>1</v>
      </c>
      <c r="G1769" s="69">
        <v>64013401</v>
      </c>
      <c r="H1769" s="59">
        <v>0</v>
      </c>
      <c r="I1769" s="59">
        <v>0</v>
      </c>
      <c r="J1769" s="69">
        <v>1</v>
      </c>
      <c r="K1769" s="69">
        <v>0</v>
      </c>
      <c r="L1769" s="59">
        <v>0</v>
      </c>
      <c r="M1769" s="59">
        <v>0</v>
      </c>
      <c r="N1769" s="59" t="s">
        <v>4053</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4054</v>
      </c>
      <c r="BF1769" s="59" t="s">
        <v>4055</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69054021</v>
      </c>
      <c r="D1770" s="260" t="s">
        <v>2385</v>
      </c>
      <c r="E1770" s="260" t="s">
        <v>2386</v>
      </c>
      <c r="F1770" s="69">
        <v>1</v>
      </c>
      <c r="G1770" s="69">
        <v>64014101</v>
      </c>
      <c r="H1770" s="59">
        <v>0</v>
      </c>
      <c r="I1770" s="59">
        <v>0</v>
      </c>
      <c r="J1770" s="69">
        <v>1</v>
      </c>
      <c r="K1770" s="69">
        <v>0</v>
      </c>
      <c r="L1770" s="59">
        <v>0</v>
      </c>
      <c r="M1770" s="59">
        <v>0</v>
      </c>
      <c r="N1770" s="59" t="s">
        <v>4056</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4057</v>
      </c>
      <c r="BF1770" s="59" t="s">
        <v>4058</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69054022</v>
      </c>
      <c r="D1771" s="260" t="s">
        <v>2392</v>
      </c>
      <c r="E1771" s="260" t="s">
        <v>2393</v>
      </c>
      <c r="F1771" s="69">
        <v>1</v>
      </c>
      <c r="G1771" s="69">
        <v>64014201</v>
      </c>
      <c r="H1771" s="59">
        <v>0</v>
      </c>
      <c r="I1771" s="59">
        <v>0</v>
      </c>
      <c r="J1771" s="69">
        <v>1</v>
      </c>
      <c r="K1771" s="69">
        <v>0</v>
      </c>
      <c r="L1771" s="59">
        <v>0</v>
      </c>
      <c r="M1771" s="59">
        <v>0</v>
      </c>
      <c r="N1771" s="59" t="s">
        <v>4059</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4060</v>
      </c>
      <c r="BF1771" s="59" t="s">
        <v>4061</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69054023</v>
      </c>
      <c r="D1772" s="260" t="s">
        <v>2401</v>
      </c>
      <c r="E1772" s="260" t="s">
        <v>2402</v>
      </c>
      <c r="F1772" s="69">
        <v>1</v>
      </c>
      <c r="G1772" s="69">
        <v>64014301</v>
      </c>
      <c r="H1772" s="59">
        <v>0</v>
      </c>
      <c r="I1772" s="59">
        <v>0</v>
      </c>
      <c r="J1772" s="69">
        <v>1</v>
      </c>
      <c r="K1772" s="69">
        <v>0</v>
      </c>
      <c r="L1772" s="59">
        <v>0</v>
      </c>
      <c r="M1772" s="59">
        <v>0</v>
      </c>
      <c r="N1772" s="59" t="s">
        <v>4062</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4063</v>
      </c>
      <c r="BF1772" s="59" t="s">
        <v>4064</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69054024</v>
      </c>
      <c r="D1773" s="260" t="s">
        <v>2414</v>
      </c>
      <c r="E1773" s="260" t="s">
        <v>2415</v>
      </c>
      <c r="F1773" s="69">
        <v>1</v>
      </c>
      <c r="G1773" s="69">
        <v>64014401</v>
      </c>
      <c r="H1773" s="59">
        <v>0</v>
      </c>
      <c r="I1773" s="59">
        <v>0</v>
      </c>
      <c r="J1773" s="69">
        <v>1</v>
      </c>
      <c r="K1773" s="69">
        <v>0</v>
      </c>
      <c r="L1773" s="59">
        <v>0</v>
      </c>
      <c r="M1773" s="59">
        <v>0</v>
      </c>
      <c r="N1773" s="59" t="s">
        <v>4065</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4066</v>
      </c>
      <c r="BF1773" s="59" t="s">
        <v>4067</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69054031</v>
      </c>
      <c r="D1774" s="260" t="s">
        <v>2437</v>
      </c>
      <c r="E1774" s="260" t="s">
        <v>2438</v>
      </c>
      <c r="F1774" s="69">
        <v>1</v>
      </c>
      <c r="G1774" s="69">
        <v>64015101</v>
      </c>
      <c r="H1774" s="59">
        <v>0</v>
      </c>
      <c r="I1774" s="59">
        <v>0</v>
      </c>
      <c r="J1774" s="69">
        <v>1</v>
      </c>
      <c r="K1774" s="69">
        <v>0</v>
      </c>
      <c r="L1774" s="59">
        <v>0</v>
      </c>
      <c r="M1774" s="59">
        <v>0</v>
      </c>
      <c r="N1774" s="59" t="s">
        <v>4068</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4069</v>
      </c>
      <c r="BF1774" s="59" t="s">
        <v>4070</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ht="20.100000000000001" customHeight="1">
      <c r="C1775" s="32">
        <v>69054032</v>
      </c>
      <c r="D1775" s="260" t="s">
        <v>2446</v>
      </c>
      <c r="E1775" s="260" t="s">
        <v>2447</v>
      </c>
      <c r="F1775" s="69">
        <v>1</v>
      </c>
      <c r="G1775" s="69">
        <v>64015201</v>
      </c>
      <c r="H1775" s="59">
        <v>0</v>
      </c>
      <c r="I1775" s="59">
        <v>0</v>
      </c>
      <c r="J1775" s="69">
        <v>1</v>
      </c>
      <c r="K1775" s="69">
        <v>0</v>
      </c>
      <c r="L1775" s="59">
        <v>0</v>
      </c>
      <c r="M1775" s="59">
        <v>0</v>
      </c>
      <c r="N1775" s="59" t="s">
        <v>4071</v>
      </c>
      <c r="O1775" s="59">
        <v>3</v>
      </c>
      <c r="P1775" s="59">
        <v>0</v>
      </c>
      <c r="Q1775" s="59">
        <v>0</v>
      </c>
      <c r="R1775" s="59">
        <v>0</v>
      </c>
      <c r="S1775" s="19">
        <v>0</v>
      </c>
      <c r="T1775" s="59">
        <v>0</v>
      </c>
      <c r="U1775" s="21">
        <v>1</v>
      </c>
      <c r="V1775" s="59">
        <v>0</v>
      </c>
      <c r="W1775" s="59">
        <v>0</v>
      </c>
      <c r="X1775" s="59">
        <v>0</v>
      </c>
      <c r="Y1775" s="19">
        <v>0</v>
      </c>
      <c r="Z1775" s="59">
        <v>0</v>
      </c>
      <c r="AA1775" s="59">
        <v>0</v>
      </c>
      <c r="AB1775" s="59">
        <v>0</v>
      </c>
      <c r="AC1775" s="59">
        <v>0</v>
      </c>
      <c r="AD1775" s="69">
        <v>0</v>
      </c>
      <c r="AE1775" s="59">
        <v>0</v>
      </c>
      <c r="AF1775" s="59">
        <v>0</v>
      </c>
      <c r="AG1775" s="59">
        <v>0</v>
      </c>
      <c r="AH1775" s="59">
        <v>0</v>
      </c>
      <c r="AI1775" s="59">
        <v>0</v>
      </c>
      <c r="AJ1775" s="59">
        <v>0</v>
      </c>
      <c r="AK1775" s="19">
        <v>0</v>
      </c>
      <c r="AL1775" s="59">
        <v>0</v>
      </c>
      <c r="AM1775" s="59">
        <v>0</v>
      </c>
      <c r="AN1775" s="59">
        <v>0</v>
      </c>
      <c r="AO1775" s="59">
        <v>0</v>
      </c>
      <c r="AP1775" s="59">
        <v>0</v>
      </c>
      <c r="AQ1775" s="59">
        <v>0</v>
      </c>
      <c r="AR1775" s="59">
        <v>0</v>
      </c>
      <c r="AS1775" s="59">
        <v>0</v>
      </c>
      <c r="AT1775" s="261">
        <v>0</v>
      </c>
      <c r="AU1775" s="59">
        <v>0</v>
      </c>
      <c r="AV1775" s="59"/>
      <c r="AW1775" s="260">
        <v>0</v>
      </c>
      <c r="AX1775" s="59">
        <v>0</v>
      </c>
      <c r="AY1775" s="59">
        <v>0</v>
      </c>
      <c r="AZ1775" s="59">
        <v>0</v>
      </c>
      <c r="BA1775" s="20" t="s">
        <v>206</v>
      </c>
      <c r="BB1775" s="59">
        <v>0</v>
      </c>
      <c r="BC1775" s="262">
        <v>0</v>
      </c>
      <c r="BD1775" s="31">
        <v>1</v>
      </c>
      <c r="BE1775" s="59" t="s">
        <v>4072</v>
      </c>
      <c r="BF1775" s="59" t="s">
        <v>4073</v>
      </c>
      <c r="BG1775" s="59">
        <v>0</v>
      </c>
      <c r="BH1775" s="70">
        <v>0</v>
      </c>
      <c r="BI1775" s="19">
        <v>0</v>
      </c>
      <c r="BJ1775" s="59">
        <v>0</v>
      </c>
      <c r="BK1775" s="59">
        <v>0</v>
      </c>
      <c r="BL1775" s="59">
        <v>0</v>
      </c>
      <c r="BM1775" s="25">
        <v>0</v>
      </c>
      <c r="BN1775" s="19">
        <v>0</v>
      </c>
      <c r="BO1775" s="19">
        <v>0</v>
      </c>
      <c r="BP1775" s="19">
        <v>0</v>
      </c>
      <c r="BQ1775" s="19">
        <v>0</v>
      </c>
      <c r="BR1775" s="19">
        <v>0</v>
      </c>
      <c r="BS1775" s="19">
        <v>0</v>
      </c>
      <c r="BT1775" s="19">
        <v>0</v>
      </c>
      <c r="BU1775" s="23">
        <v>0</v>
      </c>
      <c r="BV1775" s="23"/>
      <c r="BW1775" s="23"/>
      <c r="BX1775" s="23"/>
      <c r="BY1775" s="23"/>
      <c r="BZ1775" s="23"/>
    </row>
    <row r="1776" spans="3:78" ht="20.100000000000001" customHeight="1">
      <c r="C1776" s="32">
        <v>69054033</v>
      </c>
      <c r="D1776" s="260" t="s">
        <v>2448</v>
      </c>
      <c r="E1776" s="260" t="s">
        <v>2449</v>
      </c>
      <c r="F1776" s="69">
        <v>1</v>
      </c>
      <c r="G1776" s="69">
        <v>64015301</v>
      </c>
      <c r="H1776" s="59">
        <v>0</v>
      </c>
      <c r="I1776" s="59">
        <v>0</v>
      </c>
      <c r="J1776" s="69">
        <v>1</v>
      </c>
      <c r="K1776" s="69">
        <v>0</v>
      </c>
      <c r="L1776" s="59">
        <v>0</v>
      </c>
      <c r="M1776" s="59">
        <v>0</v>
      </c>
      <c r="N1776" s="59" t="s">
        <v>4074</v>
      </c>
      <c r="O1776" s="59">
        <v>3</v>
      </c>
      <c r="P1776" s="59">
        <v>0</v>
      </c>
      <c r="Q1776" s="59">
        <v>0</v>
      </c>
      <c r="R1776" s="59">
        <v>0</v>
      </c>
      <c r="S1776" s="19">
        <v>0</v>
      </c>
      <c r="T1776" s="59">
        <v>0</v>
      </c>
      <c r="U1776" s="21">
        <v>1</v>
      </c>
      <c r="V1776" s="59">
        <v>0</v>
      </c>
      <c r="W1776" s="59">
        <v>0</v>
      </c>
      <c r="X1776" s="59">
        <v>0</v>
      </c>
      <c r="Y1776" s="19">
        <v>0</v>
      </c>
      <c r="Z1776" s="59">
        <v>0</v>
      </c>
      <c r="AA1776" s="59">
        <v>0</v>
      </c>
      <c r="AB1776" s="59">
        <v>0</v>
      </c>
      <c r="AC1776" s="59">
        <v>0</v>
      </c>
      <c r="AD1776" s="69">
        <v>0</v>
      </c>
      <c r="AE1776" s="59">
        <v>0</v>
      </c>
      <c r="AF1776" s="59">
        <v>0</v>
      </c>
      <c r="AG1776" s="59">
        <v>0</v>
      </c>
      <c r="AH1776" s="59">
        <v>0</v>
      </c>
      <c r="AI1776" s="59">
        <v>0</v>
      </c>
      <c r="AJ1776" s="59">
        <v>0</v>
      </c>
      <c r="AK1776" s="19">
        <v>0</v>
      </c>
      <c r="AL1776" s="59">
        <v>0</v>
      </c>
      <c r="AM1776" s="59">
        <v>0</v>
      </c>
      <c r="AN1776" s="59">
        <v>0</v>
      </c>
      <c r="AO1776" s="59">
        <v>0</v>
      </c>
      <c r="AP1776" s="59">
        <v>0</v>
      </c>
      <c r="AQ1776" s="59">
        <v>0</v>
      </c>
      <c r="AR1776" s="59">
        <v>0</v>
      </c>
      <c r="AS1776" s="59">
        <v>0</v>
      </c>
      <c r="AT1776" s="261">
        <v>0</v>
      </c>
      <c r="AU1776" s="59">
        <v>0</v>
      </c>
      <c r="AV1776" s="59"/>
      <c r="AW1776" s="260">
        <v>0</v>
      </c>
      <c r="AX1776" s="59">
        <v>0</v>
      </c>
      <c r="AY1776" s="59">
        <v>0</v>
      </c>
      <c r="AZ1776" s="59">
        <v>0</v>
      </c>
      <c r="BA1776" s="20" t="s">
        <v>206</v>
      </c>
      <c r="BB1776" s="59">
        <v>0</v>
      </c>
      <c r="BC1776" s="262">
        <v>0</v>
      </c>
      <c r="BD1776" s="31">
        <v>1</v>
      </c>
      <c r="BE1776" s="59" t="s">
        <v>4075</v>
      </c>
      <c r="BF1776" s="59" t="s">
        <v>4076</v>
      </c>
      <c r="BG1776" s="59">
        <v>0</v>
      </c>
      <c r="BH1776" s="70">
        <v>0</v>
      </c>
      <c r="BI1776" s="19">
        <v>0</v>
      </c>
      <c r="BJ1776" s="59">
        <v>0</v>
      </c>
      <c r="BK1776" s="59">
        <v>0</v>
      </c>
      <c r="BL1776" s="59">
        <v>0</v>
      </c>
      <c r="BM1776" s="25">
        <v>0</v>
      </c>
      <c r="BN1776" s="19">
        <v>0</v>
      </c>
      <c r="BO1776" s="19">
        <v>0</v>
      </c>
      <c r="BP1776" s="19">
        <v>0</v>
      </c>
      <c r="BQ1776" s="19">
        <v>0</v>
      </c>
      <c r="BR1776" s="19">
        <v>0</v>
      </c>
      <c r="BS1776" s="19">
        <v>0</v>
      </c>
      <c r="BT1776" s="19">
        <v>0</v>
      </c>
      <c r="BU1776" s="23">
        <v>0</v>
      </c>
      <c r="BV1776" s="23"/>
      <c r="BW1776" s="23"/>
      <c r="BX1776" s="23"/>
      <c r="BY1776" s="23"/>
      <c r="BZ1776" s="23"/>
    </row>
    <row r="1777" spans="3:78" ht="20.100000000000001" customHeight="1">
      <c r="C1777" s="32">
        <v>69054034</v>
      </c>
      <c r="D1777" s="260" t="s">
        <v>2455</v>
      </c>
      <c r="E1777" s="260" t="s">
        <v>2456</v>
      </c>
      <c r="F1777" s="69">
        <v>1</v>
      </c>
      <c r="G1777" s="69">
        <v>64015401</v>
      </c>
      <c r="H1777" s="59">
        <v>0</v>
      </c>
      <c r="I1777" s="59">
        <v>0</v>
      </c>
      <c r="J1777" s="69">
        <v>1</v>
      </c>
      <c r="K1777" s="69">
        <v>0</v>
      </c>
      <c r="L1777" s="59">
        <v>0</v>
      </c>
      <c r="M1777" s="59">
        <v>0</v>
      </c>
      <c r="N1777" s="59" t="s">
        <v>4077</v>
      </c>
      <c r="O1777" s="59">
        <v>3</v>
      </c>
      <c r="P1777" s="59">
        <v>0</v>
      </c>
      <c r="Q1777" s="59">
        <v>0</v>
      </c>
      <c r="R1777" s="59">
        <v>0</v>
      </c>
      <c r="S1777" s="19">
        <v>0</v>
      </c>
      <c r="T1777" s="59">
        <v>0</v>
      </c>
      <c r="U1777" s="21">
        <v>1</v>
      </c>
      <c r="V1777" s="59">
        <v>0</v>
      </c>
      <c r="W1777" s="59">
        <v>0</v>
      </c>
      <c r="X1777" s="59">
        <v>0</v>
      </c>
      <c r="Y1777" s="19">
        <v>0</v>
      </c>
      <c r="Z1777" s="59">
        <v>0</v>
      </c>
      <c r="AA1777" s="59">
        <v>0</v>
      </c>
      <c r="AB1777" s="59">
        <v>0</v>
      </c>
      <c r="AC1777" s="59">
        <v>0</v>
      </c>
      <c r="AD1777" s="69">
        <v>0</v>
      </c>
      <c r="AE1777" s="59">
        <v>0</v>
      </c>
      <c r="AF1777" s="59">
        <v>0</v>
      </c>
      <c r="AG1777" s="59">
        <v>0</v>
      </c>
      <c r="AH1777" s="59">
        <v>0</v>
      </c>
      <c r="AI1777" s="59">
        <v>0</v>
      </c>
      <c r="AJ1777" s="59">
        <v>0</v>
      </c>
      <c r="AK1777" s="19">
        <v>0</v>
      </c>
      <c r="AL1777" s="59">
        <v>0</v>
      </c>
      <c r="AM1777" s="59">
        <v>0</v>
      </c>
      <c r="AN1777" s="59">
        <v>0</v>
      </c>
      <c r="AO1777" s="59">
        <v>0</v>
      </c>
      <c r="AP1777" s="59">
        <v>0</v>
      </c>
      <c r="AQ1777" s="59">
        <v>0</v>
      </c>
      <c r="AR1777" s="59">
        <v>0</v>
      </c>
      <c r="AS1777" s="59">
        <v>0</v>
      </c>
      <c r="AT1777" s="261">
        <v>0</v>
      </c>
      <c r="AU1777" s="59">
        <v>0</v>
      </c>
      <c r="AV1777" s="59"/>
      <c r="AW1777" s="260">
        <v>0</v>
      </c>
      <c r="AX1777" s="59">
        <v>0</v>
      </c>
      <c r="AY1777" s="59">
        <v>0</v>
      </c>
      <c r="AZ1777" s="59">
        <v>0</v>
      </c>
      <c r="BA1777" s="20" t="s">
        <v>206</v>
      </c>
      <c r="BB1777" s="59">
        <v>0</v>
      </c>
      <c r="BC1777" s="262">
        <v>0</v>
      </c>
      <c r="BD1777" s="31">
        <v>1</v>
      </c>
      <c r="BE1777" s="59" t="s">
        <v>4078</v>
      </c>
      <c r="BF1777" s="59" t="s">
        <v>4079</v>
      </c>
      <c r="BG1777" s="59">
        <v>0</v>
      </c>
      <c r="BH1777" s="70">
        <v>0</v>
      </c>
      <c r="BI1777" s="19">
        <v>0</v>
      </c>
      <c r="BJ1777" s="59">
        <v>0</v>
      </c>
      <c r="BK1777" s="59">
        <v>0</v>
      </c>
      <c r="BL1777" s="59">
        <v>0</v>
      </c>
      <c r="BM1777" s="25">
        <v>0</v>
      </c>
      <c r="BN1777" s="19">
        <v>0</v>
      </c>
      <c r="BO1777" s="19">
        <v>0</v>
      </c>
      <c r="BP1777" s="19">
        <v>0</v>
      </c>
      <c r="BQ1777" s="19">
        <v>0</v>
      </c>
      <c r="BR1777" s="19">
        <v>0</v>
      </c>
      <c r="BS1777" s="19">
        <v>0</v>
      </c>
      <c r="BT1777" s="19">
        <v>0</v>
      </c>
      <c r="BU1777" s="23">
        <v>0</v>
      </c>
      <c r="BV1777" s="23"/>
      <c r="BW1777" s="23"/>
      <c r="BX1777" s="23"/>
      <c r="BY1777" s="23"/>
      <c r="BZ1777" s="23"/>
    </row>
    <row r="1778" spans="3:78" s="1" customFormat="1" ht="20.100000000000001" customHeight="1">
      <c r="C1778" s="74">
        <v>69055001</v>
      </c>
      <c r="D1778" s="263" t="s">
        <v>1450</v>
      </c>
      <c r="E1778" s="263" t="s">
        <v>1717</v>
      </c>
      <c r="F1778" s="264">
        <v>1</v>
      </c>
      <c r="G1778" s="74">
        <v>65011101</v>
      </c>
      <c r="H1778" s="265">
        <v>0</v>
      </c>
      <c r="I1778" s="265">
        <v>0</v>
      </c>
      <c r="J1778" s="264">
        <v>1</v>
      </c>
      <c r="K1778" s="264">
        <v>0</v>
      </c>
      <c r="L1778" s="265">
        <v>0</v>
      </c>
      <c r="M1778" s="265">
        <v>0</v>
      </c>
      <c r="N1778" s="265" t="s">
        <v>4080</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3" t="s">
        <v>4081</v>
      </c>
      <c r="BF1778" s="263"/>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69055002</v>
      </c>
      <c r="D1779" s="263" t="s">
        <v>1457</v>
      </c>
      <c r="E1779" s="263" t="s">
        <v>1760</v>
      </c>
      <c r="F1779" s="264">
        <v>1</v>
      </c>
      <c r="G1779" s="74">
        <v>65011201</v>
      </c>
      <c r="H1779" s="265">
        <v>0</v>
      </c>
      <c r="I1779" s="265">
        <v>0</v>
      </c>
      <c r="J1779" s="264">
        <v>1</v>
      </c>
      <c r="K1779" s="264">
        <v>0</v>
      </c>
      <c r="L1779" s="265">
        <v>0</v>
      </c>
      <c r="M1779" s="265">
        <v>0</v>
      </c>
      <c r="N1779" s="265" t="s">
        <v>4082</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3" t="s">
        <v>4083</v>
      </c>
      <c r="BF1779" s="263"/>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69055003</v>
      </c>
      <c r="D1780" s="263" t="s">
        <v>1464</v>
      </c>
      <c r="E1780" s="263" t="s">
        <v>1646</v>
      </c>
      <c r="F1780" s="264">
        <v>1</v>
      </c>
      <c r="G1780" s="74">
        <v>65011301</v>
      </c>
      <c r="H1780" s="265">
        <v>0</v>
      </c>
      <c r="I1780" s="265">
        <v>0</v>
      </c>
      <c r="J1780" s="264">
        <v>1</v>
      </c>
      <c r="K1780" s="264">
        <v>0</v>
      </c>
      <c r="L1780" s="265">
        <v>0</v>
      </c>
      <c r="M1780" s="265">
        <v>0</v>
      </c>
      <c r="N1780" s="265" t="s">
        <v>4084</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3" t="s">
        <v>4085</v>
      </c>
      <c r="BF1780" s="263"/>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69055011</v>
      </c>
      <c r="D1781" s="263" t="s">
        <v>2508</v>
      </c>
      <c r="E1781" s="263" t="s">
        <v>1712</v>
      </c>
      <c r="F1781" s="264">
        <v>1</v>
      </c>
      <c r="G1781" s="74">
        <v>65021101</v>
      </c>
      <c r="H1781" s="265">
        <v>0</v>
      </c>
      <c r="I1781" s="265">
        <v>0</v>
      </c>
      <c r="J1781" s="264">
        <v>1</v>
      </c>
      <c r="K1781" s="264">
        <v>0</v>
      </c>
      <c r="L1781" s="265">
        <v>0</v>
      </c>
      <c r="M1781" s="265">
        <v>0</v>
      </c>
      <c r="N1781" s="265" t="s">
        <v>4086</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"技能:"&amp;D1781&amp;" 提升1级"</f>
        <v>技能:巨力震击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69055012</v>
      </c>
      <c r="D1782" s="263" t="s">
        <v>2516</v>
      </c>
      <c r="E1782" s="263" t="s">
        <v>4087</v>
      </c>
      <c r="F1782" s="264">
        <v>1</v>
      </c>
      <c r="G1782" s="74">
        <v>65021201</v>
      </c>
      <c r="H1782" s="265">
        <v>0</v>
      </c>
      <c r="I1782" s="265">
        <v>0</v>
      </c>
      <c r="J1782" s="264">
        <v>1</v>
      </c>
      <c r="K1782" s="264">
        <v>0</v>
      </c>
      <c r="L1782" s="265">
        <v>0</v>
      </c>
      <c r="M1782" s="265">
        <v>0</v>
      </c>
      <c r="N1782" s="265" t="s">
        <v>4088</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ref="BE1782:BE1792" si="149">"技能:"&amp;D1782&amp;" 提升1级"</f>
        <v>技能:守护冲击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69055013</v>
      </c>
      <c r="D1783" s="263" t="s">
        <v>2523</v>
      </c>
      <c r="E1783" s="263" t="s">
        <v>1728</v>
      </c>
      <c r="F1783" s="264">
        <v>1</v>
      </c>
      <c r="G1783" s="74">
        <v>65021301</v>
      </c>
      <c r="H1783" s="265">
        <v>0</v>
      </c>
      <c r="I1783" s="265">
        <v>0</v>
      </c>
      <c r="J1783" s="264">
        <v>1</v>
      </c>
      <c r="K1783" s="264">
        <v>0</v>
      </c>
      <c r="L1783" s="265">
        <v>0</v>
      </c>
      <c r="M1783" s="265">
        <v>0</v>
      </c>
      <c r="N1783" s="265" t="s">
        <v>4089</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49"/>
        <v>技能:巨剑之力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69055014</v>
      </c>
      <c r="D1784" s="263" t="s">
        <v>2532</v>
      </c>
      <c r="E1784" s="263" t="s">
        <v>1760</v>
      </c>
      <c r="F1784" s="264">
        <v>1</v>
      </c>
      <c r="G1784" s="74">
        <v>65021401</v>
      </c>
      <c r="H1784" s="265">
        <v>0</v>
      </c>
      <c r="I1784" s="265">
        <v>0</v>
      </c>
      <c r="J1784" s="264">
        <v>1</v>
      </c>
      <c r="K1784" s="264">
        <v>0</v>
      </c>
      <c r="L1784" s="265">
        <v>0</v>
      </c>
      <c r="M1784" s="265">
        <v>0</v>
      </c>
      <c r="N1784" s="265" t="s">
        <v>4090</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49"/>
        <v>技能:守护天使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69055021</v>
      </c>
      <c r="D1785" s="263" t="s">
        <v>2544</v>
      </c>
      <c r="E1785" s="263" t="s">
        <v>1728</v>
      </c>
      <c r="F1785" s="264">
        <v>1</v>
      </c>
      <c r="G1785" s="74">
        <v>65022101</v>
      </c>
      <c r="H1785" s="265">
        <v>0</v>
      </c>
      <c r="I1785" s="265">
        <v>0</v>
      </c>
      <c r="J1785" s="264">
        <v>1</v>
      </c>
      <c r="K1785" s="264">
        <v>0</v>
      </c>
      <c r="L1785" s="265">
        <v>0</v>
      </c>
      <c r="M1785" s="265">
        <v>0</v>
      </c>
      <c r="N1785" s="265" t="s">
        <v>4091</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49"/>
        <v>技能:隐匿一击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69055022</v>
      </c>
      <c r="D1786" s="263" t="s">
        <v>2547</v>
      </c>
      <c r="E1786" s="263" t="s">
        <v>1444</v>
      </c>
      <c r="F1786" s="264">
        <v>1</v>
      </c>
      <c r="G1786" s="74">
        <v>65022201</v>
      </c>
      <c r="H1786" s="265">
        <v>0</v>
      </c>
      <c r="I1786" s="265">
        <v>0</v>
      </c>
      <c r="J1786" s="264">
        <v>1</v>
      </c>
      <c r="K1786" s="264">
        <v>0</v>
      </c>
      <c r="L1786" s="265">
        <v>0</v>
      </c>
      <c r="M1786" s="265">
        <v>0</v>
      </c>
      <c r="N1786" s="265" t="s">
        <v>4092</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49"/>
        <v>技能:精灵共鸣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69055023</v>
      </c>
      <c r="D1787" s="263" t="s">
        <v>2565</v>
      </c>
      <c r="E1787" s="263" t="s">
        <v>2371</v>
      </c>
      <c r="F1787" s="264">
        <v>1</v>
      </c>
      <c r="G1787" s="74">
        <v>65022301</v>
      </c>
      <c r="H1787" s="265">
        <v>0</v>
      </c>
      <c r="I1787" s="265">
        <v>0</v>
      </c>
      <c r="J1787" s="264">
        <v>1</v>
      </c>
      <c r="K1787" s="264">
        <v>0</v>
      </c>
      <c r="L1787" s="265">
        <v>0</v>
      </c>
      <c r="M1787" s="265">
        <v>0</v>
      </c>
      <c r="N1787" s="265" t="s">
        <v>4093</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49"/>
        <v>技能:破风之击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69055024</v>
      </c>
      <c r="D1788" s="263" t="s">
        <v>2568</v>
      </c>
      <c r="E1788" s="263" t="s">
        <v>2134</v>
      </c>
      <c r="F1788" s="264">
        <v>1</v>
      </c>
      <c r="G1788" s="74">
        <v>65022401</v>
      </c>
      <c r="H1788" s="265">
        <v>0</v>
      </c>
      <c r="I1788" s="265">
        <v>0</v>
      </c>
      <c r="J1788" s="264">
        <v>1</v>
      </c>
      <c r="K1788" s="264">
        <v>0</v>
      </c>
      <c r="L1788" s="265">
        <v>0</v>
      </c>
      <c r="M1788" s="265">
        <v>0</v>
      </c>
      <c r="N1788" s="265" t="s">
        <v>4094</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49"/>
        <v>技能:唤灵之契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69055031</v>
      </c>
      <c r="D1789" s="263" t="s">
        <v>2583</v>
      </c>
      <c r="E1789" s="263" t="s">
        <v>1871</v>
      </c>
      <c r="F1789" s="264">
        <v>1</v>
      </c>
      <c r="G1789" s="74">
        <v>65021101</v>
      </c>
      <c r="H1789" s="265">
        <v>0</v>
      </c>
      <c r="I1789" s="265">
        <v>0</v>
      </c>
      <c r="J1789" s="264">
        <v>1</v>
      </c>
      <c r="K1789" s="264">
        <v>0</v>
      </c>
      <c r="L1789" s="265">
        <v>0</v>
      </c>
      <c r="M1789" s="265">
        <v>0</v>
      </c>
      <c r="N1789" s="265" t="s">
        <v>4095</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49"/>
        <v>技能:泰坦镜像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s="1" customFormat="1" ht="20.100000000000001" customHeight="1">
      <c r="C1790" s="74">
        <v>69055032</v>
      </c>
      <c r="D1790" s="263" t="s">
        <v>2601</v>
      </c>
      <c r="E1790" s="263" t="s">
        <v>1728</v>
      </c>
      <c r="F1790" s="264">
        <v>1</v>
      </c>
      <c r="G1790" s="74">
        <v>65023201</v>
      </c>
      <c r="H1790" s="265">
        <v>0</v>
      </c>
      <c r="I1790" s="265">
        <v>0</v>
      </c>
      <c r="J1790" s="264">
        <v>1</v>
      </c>
      <c r="K1790" s="264">
        <v>0</v>
      </c>
      <c r="L1790" s="265">
        <v>0</v>
      </c>
      <c r="M1790" s="265">
        <v>0</v>
      </c>
      <c r="N1790" s="265" t="s">
        <v>4096</v>
      </c>
      <c r="O1790" s="265">
        <v>3</v>
      </c>
      <c r="P1790" s="265">
        <v>0</v>
      </c>
      <c r="Q1790" s="265">
        <v>0</v>
      </c>
      <c r="R1790" s="265">
        <v>0</v>
      </c>
      <c r="S1790" s="73">
        <v>0</v>
      </c>
      <c r="T1790" s="265">
        <v>0</v>
      </c>
      <c r="U1790" s="72">
        <v>1</v>
      </c>
      <c r="V1790" s="265">
        <v>0</v>
      </c>
      <c r="W1790" s="265">
        <v>0</v>
      </c>
      <c r="X1790" s="265">
        <v>0</v>
      </c>
      <c r="Y1790" s="73">
        <v>0</v>
      </c>
      <c r="Z1790" s="265">
        <v>0</v>
      </c>
      <c r="AA1790" s="265">
        <v>0</v>
      </c>
      <c r="AB1790" s="265">
        <v>0</v>
      </c>
      <c r="AC1790" s="265">
        <v>0</v>
      </c>
      <c r="AD1790" s="264">
        <v>0</v>
      </c>
      <c r="AE1790" s="265">
        <v>0</v>
      </c>
      <c r="AF1790" s="265">
        <v>0</v>
      </c>
      <c r="AG1790" s="265">
        <v>0</v>
      </c>
      <c r="AH1790" s="265">
        <v>0</v>
      </c>
      <c r="AI1790" s="265">
        <v>0</v>
      </c>
      <c r="AJ1790" s="265">
        <v>0</v>
      </c>
      <c r="AK1790" s="73">
        <v>0</v>
      </c>
      <c r="AL1790" s="265">
        <v>0</v>
      </c>
      <c r="AM1790" s="265">
        <v>0</v>
      </c>
      <c r="AN1790" s="265">
        <v>0</v>
      </c>
      <c r="AO1790" s="265">
        <v>0</v>
      </c>
      <c r="AP1790" s="265">
        <v>0</v>
      </c>
      <c r="AQ1790" s="265">
        <v>0</v>
      </c>
      <c r="AR1790" s="265">
        <v>0</v>
      </c>
      <c r="AS1790" s="265">
        <v>0</v>
      </c>
      <c r="AT1790" s="277">
        <v>0</v>
      </c>
      <c r="AU1790" s="265">
        <v>0</v>
      </c>
      <c r="AV1790" s="265"/>
      <c r="AW1790" s="263">
        <v>0</v>
      </c>
      <c r="AX1790" s="265">
        <v>0</v>
      </c>
      <c r="AY1790" s="265">
        <v>0</v>
      </c>
      <c r="AZ1790" s="265">
        <v>0</v>
      </c>
      <c r="BA1790" s="131" t="s">
        <v>206</v>
      </c>
      <c r="BB1790" s="265">
        <v>0</v>
      </c>
      <c r="BC1790" s="278">
        <v>0</v>
      </c>
      <c r="BD1790" s="75">
        <v>1</v>
      </c>
      <c r="BE1790" s="265" t="str">
        <f t="shared" si="149"/>
        <v>技能:战灵怒吼 提升1级</v>
      </c>
      <c r="BF1790" s="265"/>
      <c r="BG1790" s="265">
        <v>0</v>
      </c>
      <c r="BH1790" s="135">
        <v>0</v>
      </c>
      <c r="BI1790" s="73">
        <v>0</v>
      </c>
      <c r="BJ1790" s="265">
        <v>0</v>
      </c>
      <c r="BK1790" s="265">
        <v>0</v>
      </c>
      <c r="BL1790" s="265">
        <v>0</v>
      </c>
      <c r="BM1790" s="90">
        <v>0</v>
      </c>
      <c r="BN1790" s="73">
        <v>0</v>
      </c>
      <c r="BO1790" s="73">
        <v>0</v>
      </c>
      <c r="BP1790" s="73">
        <v>0</v>
      </c>
      <c r="BQ1790" s="73">
        <v>0</v>
      </c>
      <c r="BR1790" s="73">
        <v>0</v>
      </c>
      <c r="BS1790" s="73">
        <v>0</v>
      </c>
      <c r="BT1790" s="73">
        <v>0</v>
      </c>
      <c r="BU1790" s="73">
        <v>0</v>
      </c>
      <c r="BV1790" s="73"/>
      <c r="BW1790" s="73"/>
      <c r="BX1790" s="73"/>
      <c r="BY1790" s="73"/>
      <c r="BZ1790" s="23"/>
    </row>
    <row r="1791" spans="3:78" s="1" customFormat="1" ht="20.100000000000001" customHeight="1">
      <c r="C1791" s="74">
        <v>69055033</v>
      </c>
      <c r="D1791" s="263" t="s">
        <v>2616</v>
      </c>
      <c r="E1791" s="263" t="s">
        <v>1837</v>
      </c>
      <c r="F1791" s="264">
        <v>1</v>
      </c>
      <c r="G1791" s="74">
        <v>65023301</v>
      </c>
      <c r="H1791" s="265">
        <v>0</v>
      </c>
      <c r="I1791" s="265">
        <v>0</v>
      </c>
      <c r="J1791" s="264">
        <v>1</v>
      </c>
      <c r="K1791" s="264">
        <v>0</v>
      </c>
      <c r="L1791" s="265">
        <v>0</v>
      </c>
      <c r="M1791" s="265">
        <v>0</v>
      </c>
      <c r="N1791" s="265" t="s">
        <v>4097</v>
      </c>
      <c r="O1791" s="265">
        <v>3</v>
      </c>
      <c r="P1791" s="265">
        <v>0</v>
      </c>
      <c r="Q1791" s="265">
        <v>0</v>
      </c>
      <c r="R1791" s="265">
        <v>0</v>
      </c>
      <c r="S1791" s="73">
        <v>0</v>
      </c>
      <c r="T1791" s="265">
        <v>0</v>
      </c>
      <c r="U1791" s="72">
        <v>1</v>
      </c>
      <c r="V1791" s="265">
        <v>0</v>
      </c>
      <c r="W1791" s="265">
        <v>0</v>
      </c>
      <c r="X1791" s="265">
        <v>0</v>
      </c>
      <c r="Y1791" s="73">
        <v>0</v>
      </c>
      <c r="Z1791" s="265">
        <v>0</v>
      </c>
      <c r="AA1791" s="265">
        <v>0</v>
      </c>
      <c r="AB1791" s="265">
        <v>0</v>
      </c>
      <c r="AC1791" s="265">
        <v>0</v>
      </c>
      <c r="AD1791" s="264">
        <v>0</v>
      </c>
      <c r="AE1791" s="265">
        <v>0</v>
      </c>
      <c r="AF1791" s="265">
        <v>0</v>
      </c>
      <c r="AG1791" s="265">
        <v>0</v>
      </c>
      <c r="AH1791" s="265">
        <v>0</v>
      </c>
      <c r="AI1791" s="265">
        <v>0</v>
      </c>
      <c r="AJ1791" s="265">
        <v>0</v>
      </c>
      <c r="AK1791" s="73">
        <v>0</v>
      </c>
      <c r="AL1791" s="265">
        <v>0</v>
      </c>
      <c r="AM1791" s="265">
        <v>0</v>
      </c>
      <c r="AN1791" s="265">
        <v>0</v>
      </c>
      <c r="AO1791" s="265">
        <v>0</v>
      </c>
      <c r="AP1791" s="265">
        <v>0</v>
      </c>
      <c r="AQ1791" s="265">
        <v>0</v>
      </c>
      <c r="AR1791" s="265">
        <v>0</v>
      </c>
      <c r="AS1791" s="265">
        <v>0</v>
      </c>
      <c r="AT1791" s="277">
        <v>0</v>
      </c>
      <c r="AU1791" s="265">
        <v>0</v>
      </c>
      <c r="AV1791" s="265"/>
      <c r="AW1791" s="263">
        <v>0</v>
      </c>
      <c r="AX1791" s="265">
        <v>0</v>
      </c>
      <c r="AY1791" s="265">
        <v>0</v>
      </c>
      <c r="AZ1791" s="265">
        <v>0</v>
      </c>
      <c r="BA1791" s="131" t="s">
        <v>206</v>
      </c>
      <c r="BB1791" s="265">
        <v>0</v>
      </c>
      <c r="BC1791" s="278">
        <v>0</v>
      </c>
      <c r="BD1791" s="75">
        <v>1</v>
      </c>
      <c r="BE1791" s="265" t="str">
        <f t="shared" si="149"/>
        <v>技能:幻影冲击 提升1级</v>
      </c>
      <c r="BF1791" s="265"/>
      <c r="BG1791" s="265">
        <v>0</v>
      </c>
      <c r="BH1791" s="135">
        <v>0</v>
      </c>
      <c r="BI1791" s="73">
        <v>0</v>
      </c>
      <c r="BJ1791" s="265">
        <v>0</v>
      </c>
      <c r="BK1791" s="265">
        <v>0</v>
      </c>
      <c r="BL1791" s="265">
        <v>0</v>
      </c>
      <c r="BM1791" s="90">
        <v>0</v>
      </c>
      <c r="BN1791" s="73">
        <v>0</v>
      </c>
      <c r="BO1791" s="73">
        <v>0</v>
      </c>
      <c r="BP1791" s="73">
        <v>0</v>
      </c>
      <c r="BQ1791" s="73">
        <v>0</v>
      </c>
      <c r="BR1791" s="73">
        <v>0</v>
      </c>
      <c r="BS1791" s="73">
        <v>0</v>
      </c>
      <c r="BT1791" s="73">
        <v>0</v>
      </c>
      <c r="BU1791" s="73">
        <v>0</v>
      </c>
      <c r="BV1791" s="73"/>
      <c r="BW1791" s="73"/>
      <c r="BX1791" s="73"/>
      <c r="BY1791" s="73"/>
      <c r="BZ1791" s="23"/>
    </row>
    <row r="1792" spans="3:78" s="1" customFormat="1" ht="20.100000000000001" customHeight="1">
      <c r="C1792" s="74">
        <v>69055034</v>
      </c>
      <c r="D1792" s="263" t="s">
        <v>2620</v>
      </c>
      <c r="E1792" s="263" t="s">
        <v>1760</v>
      </c>
      <c r="F1792" s="264">
        <v>1</v>
      </c>
      <c r="G1792" s="74">
        <v>65023401</v>
      </c>
      <c r="H1792" s="265">
        <v>0</v>
      </c>
      <c r="I1792" s="265">
        <v>0</v>
      </c>
      <c r="J1792" s="264">
        <v>1</v>
      </c>
      <c r="K1792" s="264">
        <v>0</v>
      </c>
      <c r="L1792" s="265">
        <v>0</v>
      </c>
      <c r="M1792" s="265">
        <v>0</v>
      </c>
      <c r="N1792" s="265" t="s">
        <v>4098</v>
      </c>
      <c r="O1792" s="265">
        <v>3</v>
      </c>
      <c r="P1792" s="265">
        <v>0</v>
      </c>
      <c r="Q1792" s="265">
        <v>0</v>
      </c>
      <c r="R1792" s="265">
        <v>0</v>
      </c>
      <c r="S1792" s="73">
        <v>0</v>
      </c>
      <c r="T1792" s="265">
        <v>0</v>
      </c>
      <c r="U1792" s="72">
        <v>1</v>
      </c>
      <c r="V1792" s="265">
        <v>0</v>
      </c>
      <c r="W1792" s="265">
        <v>0</v>
      </c>
      <c r="X1792" s="265">
        <v>0</v>
      </c>
      <c r="Y1792" s="73">
        <v>0</v>
      </c>
      <c r="Z1792" s="265">
        <v>0</v>
      </c>
      <c r="AA1792" s="265">
        <v>0</v>
      </c>
      <c r="AB1792" s="265">
        <v>0</v>
      </c>
      <c r="AC1792" s="265">
        <v>0</v>
      </c>
      <c r="AD1792" s="264">
        <v>0</v>
      </c>
      <c r="AE1792" s="265">
        <v>0</v>
      </c>
      <c r="AF1792" s="265">
        <v>0</v>
      </c>
      <c r="AG1792" s="265">
        <v>0</v>
      </c>
      <c r="AH1792" s="265">
        <v>0</v>
      </c>
      <c r="AI1792" s="265">
        <v>0</v>
      </c>
      <c r="AJ1792" s="265">
        <v>0</v>
      </c>
      <c r="AK1792" s="73">
        <v>0</v>
      </c>
      <c r="AL1792" s="265">
        <v>0</v>
      </c>
      <c r="AM1792" s="265">
        <v>0</v>
      </c>
      <c r="AN1792" s="265">
        <v>0</v>
      </c>
      <c r="AO1792" s="265">
        <v>0</v>
      </c>
      <c r="AP1792" s="265">
        <v>0</v>
      </c>
      <c r="AQ1792" s="265">
        <v>0</v>
      </c>
      <c r="AR1792" s="265">
        <v>0</v>
      </c>
      <c r="AS1792" s="265">
        <v>0</v>
      </c>
      <c r="AT1792" s="277">
        <v>0</v>
      </c>
      <c r="AU1792" s="265">
        <v>0</v>
      </c>
      <c r="AV1792" s="265"/>
      <c r="AW1792" s="263">
        <v>0</v>
      </c>
      <c r="AX1792" s="265">
        <v>0</v>
      </c>
      <c r="AY1792" s="265">
        <v>0</v>
      </c>
      <c r="AZ1792" s="265">
        <v>0</v>
      </c>
      <c r="BA1792" s="131" t="s">
        <v>206</v>
      </c>
      <c r="BB1792" s="265">
        <v>0</v>
      </c>
      <c r="BC1792" s="278">
        <v>0</v>
      </c>
      <c r="BD1792" s="75">
        <v>1</v>
      </c>
      <c r="BE1792" s="265" t="str">
        <f t="shared" si="149"/>
        <v>技能:逆转之力 提升1级</v>
      </c>
      <c r="BF1792" s="265"/>
      <c r="BG1792" s="265">
        <v>0</v>
      </c>
      <c r="BH1792" s="135">
        <v>0</v>
      </c>
      <c r="BI1792" s="73">
        <v>0</v>
      </c>
      <c r="BJ1792" s="265">
        <v>0</v>
      </c>
      <c r="BK1792" s="265">
        <v>0</v>
      </c>
      <c r="BL1792" s="265">
        <v>0</v>
      </c>
      <c r="BM1792" s="90">
        <v>0</v>
      </c>
      <c r="BN1792" s="73">
        <v>0</v>
      </c>
      <c r="BO1792" s="73">
        <v>0</v>
      </c>
      <c r="BP1792" s="73">
        <v>0</v>
      </c>
      <c r="BQ1792" s="73">
        <v>0</v>
      </c>
      <c r="BR1792" s="73">
        <v>0</v>
      </c>
      <c r="BS1792" s="73">
        <v>0</v>
      </c>
      <c r="BT1792" s="73">
        <v>0</v>
      </c>
      <c r="BU1792" s="73">
        <v>0</v>
      </c>
      <c r="BV1792" s="73"/>
      <c r="BW1792" s="73"/>
      <c r="BX1792" s="73"/>
      <c r="BY1792" s="73"/>
      <c r="BZ1792" s="23"/>
    </row>
    <row r="1793" spans="3:78" ht="20.100000000000001" customHeight="1">
      <c r="C1793" s="32">
        <v>69060100</v>
      </c>
      <c r="D1793" s="35" t="s">
        <v>4099</v>
      </c>
      <c r="E1793" s="35" t="s">
        <v>4100</v>
      </c>
      <c r="F1793" s="32">
        <v>0</v>
      </c>
      <c r="G1793" s="32">
        <v>69060100</v>
      </c>
      <c r="H1793" s="32">
        <v>69060101</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4101</v>
      </c>
      <c r="BC1793" s="31">
        <v>0</v>
      </c>
      <c r="BD1793" s="31">
        <v>1</v>
      </c>
      <c r="BE1793" s="35" t="s">
        <v>4102</v>
      </c>
      <c r="BF1793" s="35" t="s">
        <v>4103</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69060101</v>
      </c>
      <c r="D1794" s="35" t="s">
        <v>4104</v>
      </c>
      <c r="E1794" s="35" t="s">
        <v>4105</v>
      </c>
      <c r="F1794" s="32">
        <v>1</v>
      </c>
      <c r="G1794" s="32">
        <v>69060100</v>
      </c>
      <c r="H1794" s="32">
        <v>69060102</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4106</v>
      </c>
      <c r="BC1794" s="31">
        <v>0</v>
      </c>
      <c r="BD1794" s="31">
        <v>1</v>
      </c>
      <c r="BE1794" s="35" t="s">
        <v>4107</v>
      </c>
      <c r="BF1794" s="35" t="s">
        <v>4108</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69060102</v>
      </c>
      <c r="D1795" s="35" t="s">
        <v>4109</v>
      </c>
      <c r="E1795" s="35" t="s">
        <v>4110</v>
      </c>
      <c r="F1795" s="32">
        <v>2</v>
      </c>
      <c r="G1795" s="32">
        <v>69060100</v>
      </c>
      <c r="H1795" s="32">
        <v>69060103</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4111</v>
      </c>
      <c r="BC1795" s="31">
        <v>0</v>
      </c>
      <c r="BD1795" s="31">
        <v>1</v>
      </c>
      <c r="BE1795" s="35" t="s">
        <v>4112</v>
      </c>
      <c r="BF1795" s="35" t="s">
        <v>4113</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69060103</v>
      </c>
      <c r="D1796" s="35" t="s">
        <v>4114</v>
      </c>
      <c r="E1796" s="35" t="s">
        <v>4115</v>
      </c>
      <c r="F1796" s="32">
        <v>3</v>
      </c>
      <c r="G1796" s="32">
        <v>69060100</v>
      </c>
      <c r="H1796" s="32">
        <v>69060104</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4116</v>
      </c>
      <c r="BC1796" s="31">
        <v>0</v>
      </c>
      <c r="BD1796" s="31">
        <v>1</v>
      </c>
      <c r="BE1796" s="35" t="s">
        <v>4117</v>
      </c>
      <c r="BF1796" s="35" t="s">
        <v>4118</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69060104</v>
      </c>
      <c r="D1797" s="35" t="s">
        <v>4119</v>
      </c>
      <c r="E1797" s="35" t="s">
        <v>4120</v>
      </c>
      <c r="F1797" s="32">
        <v>4</v>
      </c>
      <c r="G1797" s="32">
        <v>69060100</v>
      </c>
      <c r="H1797" s="32">
        <v>69060105</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4121</v>
      </c>
      <c r="BC1797" s="31">
        <v>0</v>
      </c>
      <c r="BD1797" s="31">
        <v>1</v>
      </c>
      <c r="BE1797" s="35" t="s">
        <v>4122</v>
      </c>
      <c r="BF1797" s="35" t="s">
        <v>4123</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69060105</v>
      </c>
      <c r="D1798" s="35" t="s">
        <v>4124</v>
      </c>
      <c r="E1798" s="35" t="s">
        <v>4125</v>
      </c>
      <c r="F1798" s="32">
        <v>5</v>
      </c>
      <c r="G1798" s="32">
        <v>69060100</v>
      </c>
      <c r="H1798" s="32">
        <v>69060106</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4126</v>
      </c>
      <c r="BC1798" s="31">
        <v>0</v>
      </c>
      <c r="BD1798" s="31">
        <v>1</v>
      </c>
      <c r="BE1798" s="35" t="s">
        <v>4127</v>
      </c>
      <c r="BF1798" s="35" t="s">
        <v>4128</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69060106</v>
      </c>
      <c r="D1799" s="35" t="s">
        <v>4129</v>
      </c>
      <c r="E1799" s="35" t="s">
        <v>4130</v>
      </c>
      <c r="F1799" s="32">
        <v>6</v>
      </c>
      <c r="G1799" s="32">
        <v>69060100</v>
      </c>
      <c r="H1799" s="32">
        <v>69060107</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4131</v>
      </c>
      <c r="BC1799" s="31">
        <v>0</v>
      </c>
      <c r="BD1799" s="31">
        <v>1</v>
      </c>
      <c r="BE1799" s="35" t="s">
        <v>4132</v>
      </c>
      <c r="BF1799" s="35" t="s">
        <v>4133</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69060107</v>
      </c>
      <c r="D1800" s="35" t="s">
        <v>4134</v>
      </c>
      <c r="E1800" s="35" t="s">
        <v>4135</v>
      </c>
      <c r="F1800" s="32">
        <v>7</v>
      </c>
      <c r="G1800" s="32">
        <v>69060100</v>
      </c>
      <c r="H1800" s="32">
        <v>69060108</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4136</v>
      </c>
      <c r="BC1800" s="31">
        <v>0</v>
      </c>
      <c r="BD1800" s="31">
        <v>1</v>
      </c>
      <c r="BE1800" s="35" t="s">
        <v>4137</v>
      </c>
      <c r="BF1800" s="35" t="s">
        <v>4138</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69060108</v>
      </c>
      <c r="D1801" s="35" t="s">
        <v>4139</v>
      </c>
      <c r="E1801" s="35" t="s">
        <v>4140</v>
      </c>
      <c r="F1801" s="32">
        <v>8</v>
      </c>
      <c r="G1801" s="32">
        <v>69060100</v>
      </c>
      <c r="H1801" s="32">
        <v>69060109</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4141</v>
      </c>
      <c r="BC1801" s="31">
        <v>0</v>
      </c>
      <c r="BD1801" s="31">
        <v>1</v>
      </c>
      <c r="BE1801" s="35" t="s">
        <v>4142</v>
      </c>
      <c r="BF1801" s="35" t="s">
        <v>4143</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69060109</v>
      </c>
      <c r="D1802" s="35" t="s">
        <v>4144</v>
      </c>
      <c r="E1802" s="35" t="s">
        <v>4145</v>
      </c>
      <c r="F1802" s="32">
        <v>9</v>
      </c>
      <c r="G1802" s="32">
        <v>69060100</v>
      </c>
      <c r="H1802" s="32">
        <v>69060110</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4146</v>
      </c>
      <c r="BC1802" s="31">
        <v>0</v>
      </c>
      <c r="BD1802" s="31">
        <v>1</v>
      </c>
      <c r="BE1802" s="35" t="s">
        <v>4147</v>
      </c>
      <c r="BF1802" s="35" t="s">
        <v>4148</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69060110</v>
      </c>
      <c r="D1803" s="35" t="s">
        <v>4149</v>
      </c>
      <c r="E1803" s="35" t="s">
        <v>4150</v>
      </c>
      <c r="F1803" s="32">
        <v>10</v>
      </c>
      <c r="G1803" s="32">
        <v>69060100</v>
      </c>
      <c r="H1803" s="32">
        <v>0</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4151</v>
      </c>
      <c r="BC1803" s="31">
        <v>0</v>
      </c>
      <c r="BD1803" s="31">
        <v>1</v>
      </c>
      <c r="BE1803" s="35" t="s">
        <v>4152</v>
      </c>
      <c r="BF1803" s="35" t="s">
        <v>4153</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69060200</v>
      </c>
      <c r="D1804" s="35" t="s">
        <v>4154</v>
      </c>
      <c r="E1804" s="35" t="s">
        <v>4155</v>
      </c>
      <c r="F1804" s="32">
        <v>0</v>
      </c>
      <c r="G1804" s="32">
        <v>69060200</v>
      </c>
      <c r="H1804" s="32">
        <f>C1805</f>
        <v>69060201</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4156</v>
      </c>
      <c r="BC1804" s="31">
        <v>0</v>
      </c>
      <c r="BD1804" s="31">
        <v>1</v>
      </c>
      <c r="BE1804" s="35" t="s">
        <v>4102</v>
      </c>
      <c r="BF1804" s="35" t="s">
        <v>4103</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69060201</v>
      </c>
      <c r="D1805" s="35" t="s">
        <v>4157</v>
      </c>
      <c r="E1805" s="35" t="s">
        <v>4158</v>
      </c>
      <c r="F1805" s="32">
        <v>1</v>
      </c>
      <c r="G1805" s="32">
        <v>69060200</v>
      </c>
      <c r="H1805" s="32">
        <f t="shared" ref="H1805:H1813" si="150">C1806</f>
        <v>69060202</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4159</v>
      </c>
      <c r="BC1805" s="31">
        <v>0</v>
      </c>
      <c r="BD1805" s="31">
        <v>1</v>
      </c>
      <c r="BE1805" s="35" t="s">
        <v>4160</v>
      </c>
      <c r="BF1805" s="35" t="s">
        <v>4161</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69060202</v>
      </c>
      <c r="D1806" s="35" t="s">
        <v>4162</v>
      </c>
      <c r="E1806" s="35" t="s">
        <v>4163</v>
      </c>
      <c r="F1806" s="32">
        <v>2</v>
      </c>
      <c r="G1806" s="32">
        <v>69060200</v>
      </c>
      <c r="H1806" s="32">
        <f t="shared" si="150"/>
        <v>69060203</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4164</v>
      </c>
      <c r="BC1806" s="31">
        <v>0</v>
      </c>
      <c r="BD1806" s="31">
        <v>1</v>
      </c>
      <c r="BE1806" s="35" t="s">
        <v>4165</v>
      </c>
      <c r="BF1806" s="35" t="s">
        <v>4166</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69060203</v>
      </c>
      <c r="D1807" s="35" t="s">
        <v>4167</v>
      </c>
      <c r="E1807" s="35" t="s">
        <v>4168</v>
      </c>
      <c r="F1807" s="32">
        <v>3</v>
      </c>
      <c r="G1807" s="32">
        <v>69060200</v>
      </c>
      <c r="H1807" s="32">
        <f t="shared" si="150"/>
        <v>69060204</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4169</v>
      </c>
      <c r="BC1807" s="31">
        <v>0</v>
      </c>
      <c r="BD1807" s="31">
        <v>1</v>
      </c>
      <c r="BE1807" s="35" t="s">
        <v>4170</v>
      </c>
      <c r="BF1807" s="35" t="s">
        <v>4171</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69060204</v>
      </c>
      <c r="D1808" s="35" t="s">
        <v>4172</v>
      </c>
      <c r="E1808" s="35" t="s">
        <v>4173</v>
      </c>
      <c r="F1808" s="32">
        <v>4</v>
      </c>
      <c r="G1808" s="32">
        <v>69060200</v>
      </c>
      <c r="H1808" s="32">
        <f t="shared" si="150"/>
        <v>69060205</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4174</v>
      </c>
      <c r="BC1808" s="31">
        <v>0</v>
      </c>
      <c r="BD1808" s="31">
        <v>1</v>
      </c>
      <c r="BE1808" s="35" t="s">
        <v>4175</v>
      </c>
      <c r="BF1808" s="35" t="s">
        <v>4176</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69060205</v>
      </c>
      <c r="D1809" s="35" t="s">
        <v>4177</v>
      </c>
      <c r="E1809" s="35" t="s">
        <v>4178</v>
      </c>
      <c r="F1809" s="32">
        <v>5</v>
      </c>
      <c r="G1809" s="32">
        <v>69060200</v>
      </c>
      <c r="H1809" s="32">
        <f t="shared" si="150"/>
        <v>69060206</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4179</v>
      </c>
      <c r="BC1809" s="31">
        <v>0</v>
      </c>
      <c r="BD1809" s="31">
        <v>1</v>
      </c>
      <c r="BE1809" s="35" t="s">
        <v>4180</v>
      </c>
      <c r="BF1809" s="35" t="s">
        <v>4181</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69060206</v>
      </c>
      <c r="D1810" s="35" t="s">
        <v>4182</v>
      </c>
      <c r="E1810" s="35" t="s">
        <v>4183</v>
      </c>
      <c r="F1810" s="32">
        <v>6</v>
      </c>
      <c r="G1810" s="32">
        <v>69060200</v>
      </c>
      <c r="H1810" s="32">
        <f t="shared" si="150"/>
        <v>69060207</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4184</v>
      </c>
      <c r="BC1810" s="31">
        <v>0</v>
      </c>
      <c r="BD1810" s="31">
        <v>1</v>
      </c>
      <c r="BE1810" s="35" t="s">
        <v>4185</v>
      </c>
      <c r="BF1810" s="35" t="s">
        <v>4186</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69060207</v>
      </c>
      <c r="D1811" s="35" t="s">
        <v>4187</v>
      </c>
      <c r="E1811" s="35" t="s">
        <v>4188</v>
      </c>
      <c r="F1811" s="32">
        <v>7</v>
      </c>
      <c r="G1811" s="32">
        <v>69060200</v>
      </c>
      <c r="H1811" s="32">
        <f t="shared" si="150"/>
        <v>69060208</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4189</v>
      </c>
      <c r="BC1811" s="31">
        <v>0</v>
      </c>
      <c r="BD1811" s="31">
        <v>1</v>
      </c>
      <c r="BE1811" s="35" t="s">
        <v>4190</v>
      </c>
      <c r="BF1811" s="35" t="s">
        <v>4191</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69060208</v>
      </c>
      <c r="D1812" s="35" t="s">
        <v>4192</v>
      </c>
      <c r="E1812" s="35" t="s">
        <v>4193</v>
      </c>
      <c r="F1812" s="32">
        <v>8</v>
      </c>
      <c r="G1812" s="32">
        <v>69060200</v>
      </c>
      <c r="H1812" s="32">
        <f t="shared" si="150"/>
        <v>69060209</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4194</v>
      </c>
      <c r="BC1812" s="31">
        <v>0</v>
      </c>
      <c r="BD1812" s="31">
        <v>1</v>
      </c>
      <c r="BE1812" s="35" t="s">
        <v>4195</v>
      </c>
      <c r="BF1812" s="35" t="s">
        <v>4196</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69060209</v>
      </c>
      <c r="D1813" s="35" t="s">
        <v>4197</v>
      </c>
      <c r="E1813" s="35" t="s">
        <v>4198</v>
      </c>
      <c r="F1813" s="32">
        <v>9</v>
      </c>
      <c r="G1813" s="32">
        <v>69060200</v>
      </c>
      <c r="H1813" s="32">
        <f t="shared" si="150"/>
        <v>69060210</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4199</v>
      </c>
      <c r="BC1813" s="31">
        <v>0</v>
      </c>
      <c r="BD1813" s="31">
        <v>1</v>
      </c>
      <c r="BE1813" s="35" t="s">
        <v>4200</v>
      </c>
      <c r="BF1813" s="35" t="s">
        <v>4201</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69060210</v>
      </c>
      <c r="D1814" s="35" t="s">
        <v>4202</v>
      </c>
      <c r="E1814" s="35" t="s">
        <v>4203</v>
      </c>
      <c r="F1814" s="32">
        <v>10</v>
      </c>
      <c r="G1814" s="32">
        <v>69060200</v>
      </c>
      <c r="H1814" s="32">
        <v>0</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4204</v>
      </c>
      <c r="BC1814" s="31">
        <v>0</v>
      </c>
      <c r="BD1814" s="31">
        <v>1</v>
      </c>
      <c r="BE1814" s="35" t="s">
        <v>4205</v>
      </c>
      <c r="BF1814" s="35" t="s">
        <v>4206</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69060300</v>
      </c>
      <c r="D1815" s="35" t="s">
        <v>4207</v>
      </c>
      <c r="E1815" s="35" t="s">
        <v>4208</v>
      </c>
      <c r="F1815" s="32">
        <v>0</v>
      </c>
      <c r="G1815" s="32">
        <v>69060300</v>
      </c>
      <c r="H1815" s="32">
        <f>C1816</f>
        <v>69060301</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4209</v>
      </c>
      <c r="BC1815" s="31">
        <v>0</v>
      </c>
      <c r="BD1815" s="31">
        <v>1</v>
      </c>
      <c r="BE1815" s="35" t="s">
        <v>4102</v>
      </c>
      <c r="BF1815" s="35" t="s">
        <v>4103</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69060301</v>
      </c>
      <c r="D1816" s="35" t="s">
        <v>4210</v>
      </c>
      <c r="E1816" s="35" t="s">
        <v>4211</v>
      </c>
      <c r="F1816" s="32">
        <v>1</v>
      </c>
      <c r="G1816" s="32">
        <v>69060300</v>
      </c>
      <c r="H1816" s="32">
        <f t="shared" ref="H1816:H1824" si="151">C1817</f>
        <v>69060302</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4212</v>
      </c>
      <c r="BC1816" s="31">
        <v>0</v>
      </c>
      <c r="BD1816" s="31">
        <v>1</v>
      </c>
      <c r="BE1816" s="35" t="s">
        <v>4213</v>
      </c>
      <c r="BF1816" s="35" t="s">
        <v>4214</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69060302</v>
      </c>
      <c r="D1817" s="35" t="s">
        <v>4215</v>
      </c>
      <c r="E1817" s="35" t="s">
        <v>4216</v>
      </c>
      <c r="F1817" s="32">
        <v>2</v>
      </c>
      <c r="G1817" s="32">
        <v>69060300</v>
      </c>
      <c r="H1817" s="32">
        <f t="shared" si="151"/>
        <v>69060303</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4217</v>
      </c>
      <c r="BC1817" s="31">
        <v>0</v>
      </c>
      <c r="BD1817" s="31">
        <v>1</v>
      </c>
      <c r="BE1817" s="35" t="s">
        <v>4218</v>
      </c>
      <c r="BF1817" s="35" t="s">
        <v>4219</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69060303</v>
      </c>
      <c r="D1818" s="35" t="s">
        <v>4220</v>
      </c>
      <c r="E1818" s="35" t="s">
        <v>4221</v>
      </c>
      <c r="F1818" s="32">
        <v>3</v>
      </c>
      <c r="G1818" s="32">
        <v>69060300</v>
      </c>
      <c r="H1818" s="32">
        <f t="shared" si="151"/>
        <v>69060304</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4222</v>
      </c>
      <c r="BC1818" s="31">
        <v>0</v>
      </c>
      <c r="BD1818" s="31">
        <v>1</v>
      </c>
      <c r="BE1818" s="35" t="s">
        <v>4223</v>
      </c>
      <c r="BF1818" s="35" t="s">
        <v>4224</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69060304</v>
      </c>
      <c r="D1819" s="35" t="s">
        <v>4225</v>
      </c>
      <c r="E1819" s="35" t="s">
        <v>4226</v>
      </c>
      <c r="F1819" s="32">
        <v>4</v>
      </c>
      <c r="G1819" s="32">
        <v>69060300</v>
      </c>
      <c r="H1819" s="32">
        <f t="shared" si="151"/>
        <v>69060305</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4227</v>
      </c>
      <c r="BC1819" s="31">
        <v>0</v>
      </c>
      <c r="BD1819" s="31">
        <v>1</v>
      </c>
      <c r="BE1819" s="35" t="s">
        <v>4228</v>
      </c>
      <c r="BF1819" s="35" t="s">
        <v>4229</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69060305</v>
      </c>
      <c r="D1820" s="35" t="s">
        <v>4230</v>
      </c>
      <c r="E1820" s="35" t="s">
        <v>4231</v>
      </c>
      <c r="F1820" s="32">
        <v>5</v>
      </c>
      <c r="G1820" s="32">
        <v>69060300</v>
      </c>
      <c r="H1820" s="32">
        <f t="shared" si="151"/>
        <v>69060306</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4232</v>
      </c>
      <c r="BC1820" s="31">
        <v>0</v>
      </c>
      <c r="BD1820" s="31">
        <v>1</v>
      </c>
      <c r="BE1820" s="35" t="s">
        <v>4233</v>
      </c>
      <c r="BF1820" s="35" t="s">
        <v>4234</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69060306</v>
      </c>
      <c r="D1821" s="35" t="s">
        <v>4235</v>
      </c>
      <c r="E1821" s="35" t="s">
        <v>4236</v>
      </c>
      <c r="F1821" s="32">
        <v>6</v>
      </c>
      <c r="G1821" s="32">
        <v>69060300</v>
      </c>
      <c r="H1821" s="32">
        <f t="shared" si="151"/>
        <v>69060307</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4237</v>
      </c>
      <c r="BC1821" s="31">
        <v>0</v>
      </c>
      <c r="BD1821" s="31">
        <v>1</v>
      </c>
      <c r="BE1821" s="35" t="s">
        <v>4238</v>
      </c>
      <c r="BF1821" s="35" t="s">
        <v>4239</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69060307</v>
      </c>
      <c r="D1822" s="35" t="s">
        <v>4240</v>
      </c>
      <c r="E1822" s="35" t="s">
        <v>4241</v>
      </c>
      <c r="F1822" s="32">
        <v>7</v>
      </c>
      <c r="G1822" s="32">
        <v>69060300</v>
      </c>
      <c r="H1822" s="32">
        <f t="shared" si="151"/>
        <v>69060308</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4242</v>
      </c>
      <c r="BC1822" s="31">
        <v>0</v>
      </c>
      <c r="BD1822" s="31">
        <v>1</v>
      </c>
      <c r="BE1822" s="35" t="s">
        <v>4243</v>
      </c>
      <c r="BF1822" s="35" t="s">
        <v>4244</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69060308</v>
      </c>
      <c r="D1823" s="35" t="s">
        <v>4245</v>
      </c>
      <c r="E1823" s="35" t="s">
        <v>4246</v>
      </c>
      <c r="F1823" s="32">
        <v>8</v>
      </c>
      <c r="G1823" s="32">
        <v>69060300</v>
      </c>
      <c r="H1823" s="32">
        <f t="shared" si="151"/>
        <v>69060309</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4247</v>
      </c>
      <c r="BC1823" s="31">
        <v>0</v>
      </c>
      <c r="BD1823" s="31">
        <v>1</v>
      </c>
      <c r="BE1823" s="35" t="s">
        <v>4248</v>
      </c>
      <c r="BF1823" s="35" t="s">
        <v>4249</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69060309</v>
      </c>
      <c r="D1824" s="35" t="s">
        <v>4250</v>
      </c>
      <c r="E1824" s="35" t="s">
        <v>4251</v>
      </c>
      <c r="F1824" s="32">
        <v>9</v>
      </c>
      <c r="G1824" s="32">
        <v>69060300</v>
      </c>
      <c r="H1824" s="32">
        <f t="shared" si="151"/>
        <v>69060310</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4252</v>
      </c>
      <c r="BC1824" s="31">
        <v>0</v>
      </c>
      <c r="BD1824" s="31">
        <v>1</v>
      </c>
      <c r="BE1824" s="35" t="s">
        <v>4253</v>
      </c>
      <c r="BF1824" s="35" t="s">
        <v>4254</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69060310</v>
      </c>
      <c r="D1825" s="35" t="s">
        <v>4255</v>
      </c>
      <c r="E1825" s="35" t="s">
        <v>4256</v>
      </c>
      <c r="F1825" s="32">
        <v>10</v>
      </c>
      <c r="G1825" s="32">
        <v>69060300</v>
      </c>
      <c r="H1825" s="32">
        <v>0</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4257</v>
      </c>
      <c r="BC1825" s="31">
        <v>0</v>
      </c>
      <c r="BD1825" s="31">
        <v>1</v>
      </c>
      <c r="BE1825" s="35" t="s">
        <v>4258</v>
      </c>
      <c r="BF1825" s="35" t="s">
        <v>4259</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69060400</v>
      </c>
      <c r="D1826" s="35" t="s">
        <v>4260</v>
      </c>
      <c r="E1826" s="35" t="s">
        <v>4261</v>
      </c>
      <c r="F1826" s="32">
        <v>0</v>
      </c>
      <c r="G1826" s="32">
        <v>69060400</v>
      </c>
      <c r="H1826" s="32">
        <f>C1827</f>
        <v>69060401</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4262</v>
      </c>
      <c r="BC1826" s="31">
        <v>0</v>
      </c>
      <c r="BD1826" s="31">
        <v>1</v>
      </c>
      <c r="BE1826" s="35" t="s">
        <v>4102</v>
      </c>
      <c r="BF1826" s="35" t="s">
        <v>4103</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69060401</v>
      </c>
      <c r="D1827" s="35" t="s">
        <v>4263</v>
      </c>
      <c r="E1827" s="35" t="s">
        <v>4264</v>
      </c>
      <c r="F1827" s="32">
        <v>1</v>
      </c>
      <c r="G1827" s="32">
        <v>69060400</v>
      </c>
      <c r="H1827" s="32">
        <f t="shared" ref="H1827:H1835" si="152">C1828</f>
        <v>69060402</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4265</v>
      </c>
      <c r="BC1827" s="31">
        <v>0</v>
      </c>
      <c r="BD1827" s="31">
        <v>1</v>
      </c>
      <c r="BE1827" s="35" t="s">
        <v>4266</v>
      </c>
      <c r="BF1827" s="35" t="s">
        <v>4267</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69060402</v>
      </c>
      <c r="D1828" s="35" t="s">
        <v>4268</v>
      </c>
      <c r="E1828" s="35" t="s">
        <v>4269</v>
      </c>
      <c r="F1828" s="32">
        <v>2</v>
      </c>
      <c r="G1828" s="32">
        <v>69060400</v>
      </c>
      <c r="H1828" s="32">
        <f t="shared" si="152"/>
        <v>69060403</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4270</v>
      </c>
      <c r="BC1828" s="31">
        <v>0</v>
      </c>
      <c r="BD1828" s="31">
        <v>1</v>
      </c>
      <c r="BE1828" s="35" t="s">
        <v>4271</v>
      </c>
      <c r="BF1828" s="35" t="s">
        <v>4272</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69060403</v>
      </c>
      <c r="D1829" s="35" t="s">
        <v>4273</v>
      </c>
      <c r="E1829" s="35" t="s">
        <v>4274</v>
      </c>
      <c r="F1829" s="32">
        <v>3</v>
      </c>
      <c r="G1829" s="32">
        <v>69060400</v>
      </c>
      <c r="H1829" s="32">
        <f t="shared" si="152"/>
        <v>69060404</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4275</v>
      </c>
      <c r="BC1829" s="31">
        <v>0</v>
      </c>
      <c r="BD1829" s="31">
        <v>1</v>
      </c>
      <c r="BE1829" s="35" t="s">
        <v>4276</v>
      </c>
      <c r="BF1829" s="35" t="s">
        <v>4277</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69060404</v>
      </c>
      <c r="D1830" s="35" t="s">
        <v>4278</v>
      </c>
      <c r="E1830" s="35" t="s">
        <v>4279</v>
      </c>
      <c r="F1830" s="32">
        <v>4</v>
      </c>
      <c r="G1830" s="32">
        <v>69060400</v>
      </c>
      <c r="H1830" s="32">
        <f t="shared" si="152"/>
        <v>69060405</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4280</v>
      </c>
      <c r="BC1830" s="31">
        <v>0</v>
      </c>
      <c r="BD1830" s="31">
        <v>1</v>
      </c>
      <c r="BE1830" s="35" t="s">
        <v>4281</v>
      </c>
      <c r="BF1830" s="35" t="s">
        <v>4282</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69060405</v>
      </c>
      <c r="D1831" s="35" t="s">
        <v>4283</v>
      </c>
      <c r="E1831" s="35" t="s">
        <v>4284</v>
      </c>
      <c r="F1831" s="32">
        <v>5</v>
      </c>
      <c r="G1831" s="32">
        <v>69060400</v>
      </c>
      <c r="H1831" s="32">
        <f t="shared" si="152"/>
        <v>69060406</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4285</v>
      </c>
      <c r="BC1831" s="31">
        <v>0</v>
      </c>
      <c r="BD1831" s="31">
        <v>1</v>
      </c>
      <c r="BE1831" s="35" t="s">
        <v>4286</v>
      </c>
      <c r="BF1831" s="35" t="s">
        <v>4287</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69060406</v>
      </c>
      <c r="D1832" s="35" t="s">
        <v>4288</v>
      </c>
      <c r="E1832" s="35" t="s">
        <v>4289</v>
      </c>
      <c r="F1832" s="32">
        <v>6</v>
      </c>
      <c r="G1832" s="32">
        <v>69060400</v>
      </c>
      <c r="H1832" s="32">
        <f t="shared" si="152"/>
        <v>69060407</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4290</v>
      </c>
      <c r="BC1832" s="31">
        <v>0</v>
      </c>
      <c r="BD1832" s="31">
        <v>1</v>
      </c>
      <c r="BE1832" s="35" t="s">
        <v>4291</v>
      </c>
      <c r="BF1832" s="35" t="s">
        <v>4292</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69060407</v>
      </c>
      <c r="D1833" s="35" t="s">
        <v>4293</v>
      </c>
      <c r="E1833" s="35" t="s">
        <v>4294</v>
      </c>
      <c r="F1833" s="32">
        <v>7</v>
      </c>
      <c r="G1833" s="32">
        <v>69060400</v>
      </c>
      <c r="H1833" s="32">
        <f t="shared" si="152"/>
        <v>69060408</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4295</v>
      </c>
      <c r="BC1833" s="31">
        <v>0</v>
      </c>
      <c r="BD1833" s="31">
        <v>1</v>
      </c>
      <c r="BE1833" s="35" t="s">
        <v>4296</v>
      </c>
      <c r="BF1833" s="35" t="s">
        <v>4297</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69060408</v>
      </c>
      <c r="D1834" s="35" t="s">
        <v>4298</v>
      </c>
      <c r="E1834" s="35" t="s">
        <v>4299</v>
      </c>
      <c r="F1834" s="32">
        <v>8</v>
      </c>
      <c r="G1834" s="32">
        <v>69060400</v>
      </c>
      <c r="H1834" s="32">
        <f t="shared" si="152"/>
        <v>69060409</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4300</v>
      </c>
      <c r="BC1834" s="31">
        <v>0</v>
      </c>
      <c r="BD1834" s="31">
        <v>1</v>
      </c>
      <c r="BE1834" s="35" t="s">
        <v>4301</v>
      </c>
      <c r="BF1834" s="35" t="s">
        <v>4302</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69060409</v>
      </c>
      <c r="D1835" s="35" t="s">
        <v>4303</v>
      </c>
      <c r="E1835" s="35" t="s">
        <v>4304</v>
      </c>
      <c r="F1835" s="32">
        <v>9</v>
      </c>
      <c r="G1835" s="32">
        <v>69060400</v>
      </c>
      <c r="H1835" s="32">
        <f t="shared" si="152"/>
        <v>69060410</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4305</v>
      </c>
      <c r="BC1835" s="31">
        <v>0</v>
      </c>
      <c r="BD1835" s="31">
        <v>1</v>
      </c>
      <c r="BE1835" s="35" t="s">
        <v>4306</v>
      </c>
      <c r="BF1835" s="35" t="s">
        <v>4307</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69060410</v>
      </c>
      <c r="D1836" s="35" t="s">
        <v>4308</v>
      </c>
      <c r="E1836" s="35" t="s">
        <v>4309</v>
      </c>
      <c r="F1836" s="32">
        <v>10</v>
      </c>
      <c r="G1836" s="32">
        <v>69060400</v>
      </c>
      <c r="H1836" s="32">
        <v>0</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4310</v>
      </c>
      <c r="BC1836" s="31">
        <v>0</v>
      </c>
      <c r="BD1836" s="31">
        <v>1</v>
      </c>
      <c r="BE1836" s="35" t="s">
        <v>4311</v>
      </c>
      <c r="BF1836" s="35" t="s">
        <v>4312</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69060500</v>
      </c>
      <c r="D1837" s="35" t="s">
        <v>4313</v>
      </c>
      <c r="E1837" s="35" t="s">
        <v>4314</v>
      </c>
      <c r="F1837" s="32">
        <v>0</v>
      </c>
      <c r="G1837" s="32">
        <v>69060500</v>
      </c>
      <c r="H1837" s="32">
        <f>C1838</f>
        <v>69060501</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4315</v>
      </c>
      <c r="BC1837" s="31">
        <v>0</v>
      </c>
      <c r="BD1837" s="31">
        <v>1</v>
      </c>
      <c r="BE1837" s="35" t="s">
        <v>4102</v>
      </c>
      <c r="BF1837" s="35" t="s">
        <v>4103</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69060501</v>
      </c>
      <c r="D1838" s="35" t="s">
        <v>4316</v>
      </c>
      <c r="E1838" s="35" t="s">
        <v>4317</v>
      </c>
      <c r="F1838" s="32">
        <v>1</v>
      </c>
      <c r="G1838" s="32">
        <v>69060500</v>
      </c>
      <c r="H1838" s="32">
        <f t="shared" ref="H1838:H1846" si="153">C1839</f>
        <v>69060502</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4318</v>
      </c>
      <c r="BC1838" s="31">
        <v>0</v>
      </c>
      <c r="BD1838" s="31">
        <v>1</v>
      </c>
      <c r="BE1838" s="35" t="s">
        <v>4319</v>
      </c>
      <c r="BF1838" s="35" t="s">
        <v>4320</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69060502</v>
      </c>
      <c r="D1839" s="35" t="s">
        <v>4321</v>
      </c>
      <c r="E1839" s="35" t="s">
        <v>4322</v>
      </c>
      <c r="F1839" s="32">
        <v>2</v>
      </c>
      <c r="G1839" s="32">
        <v>69060500</v>
      </c>
      <c r="H1839" s="32">
        <f t="shared" si="153"/>
        <v>69060503</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4323</v>
      </c>
      <c r="BC1839" s="31">
        <v>0</v>
      </c>
      <c r="BD1839" s="31">
        <v>1</v>
      </c>
      <c r="BE1839" s="35" t="s">
        <v>4324</v>
      </c>
      <c r="BF1839" s="35" t="s">
        <v>4325</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69060503</v>
      </c>
      <c r="D1840" s="35" t="s">
        <v>4326</v>
      </c>
      <c r="E1840" s="35" t="s">
        <v>4327</v>
      </c>
      <c r="F1840" s="32">
        <v>3</v>
      </c>
      <c r="G1840" s="32">
        <v>69060500</v>
      </c>
      <c r="H1840" s="32">
        <f t="shared" si="153"/>
        <v>69060504</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4328</v>
      </c>
      <c r="BC1840" s="31">
        <v>0</v>
      </c>
      <c r="BD1840" s="31">
        <v>1</v>
      </c>
      <c r="BE1840" s="35" t="s">
        <v>4329</v>
      </c>
      <c r="BF1840" s="35" t="s">
        <v>4330</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69060504</v>
      </c>
      <c r="D1841" s="35" t="s">
        <v>4331</v>
      </c>
      <c r="E1841" s="35" t="s">
        <v>4332</v>
      </c>
      <c r="F1841" s="32">
        <v>4</v>
      </c>
      <c r="G1841" s="32">
        <v>69060500</v>
      </c>
      <c r="H1841" s="32">
        <f t="shared" si="153"/>
        <v>69060505</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4333</v>
      </c>
      <c r="BC1841" s="31">
        <v>0</v>
      </c>
      <c r="BD1841" s="31">
        <v>1</v>
      </c>
      <c r="BE1841" s="35" t="s">
        <v>4334</v>
      </c>
      <c r="BF1841" s="35" t="s">
        <v>4335</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69060505</v>
      </c>
      <c r="D1842" s="35" t="s">
        <v>4336</v>
      </c>
      <c r="E1842" s="35" t="s">
        <v>4337</v>
      </c>
      <c r="F1842" s="32">
        <v>5</v>
      </c>
      <c r="G1842" s="32">
        <v>69060500</v>
      </c>
      <c r="H1842" s="32">
        <f t="shared" si="153"/>
        <v>69060506</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4338</v>
      </c>
      <c r="BC1842" s="31">
        <v>0</v>
      </c>
      <c r="BD1842" s="31">
        <v>1</v>
      </c>
      <c r="BE1842" s="35" t="s">
        <v>4339</v>
      </c>
      <c r="BF1842" s="35" t="s">
        <v>4340</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69060506</v>
      </c>
      <c r="D1843" s="35" t="s">
        <v>4341</v>
      </c>
      <c r="E1843" s="35" t="s">
        <v>4342</v>
      </c>
      <c r="F1843" s="32">
        <v>6</v>
      </c>
      <c r="G1843" s="32">
        <v>69060500</v>
      </c>
      <c r="H1843" s="32">
        <f t="shared" si="153"/>
        <v>69060507</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4343</v>
      </c>
      <c r="BC1843" s="31">
        <v>0</v>
      </c>
      <c r="BD1843" s="31">
        <v>1</v>
      </c>
      <c r="BE1843" s="35" t="s">
        <v>4344</v>
      </c>
      <c r="BF1843" s="35" t="s">
        <v>4345</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69060507</v>
      </c>
      <c r="D1844" s="35" t="s">
        <v>4346</v>
      </c>
      <c r="E1844" s="35" t="s">
        <v>4347</v>
      </c>
      <c r="F1844" s="32">
        <v>7</v>
      </c>
      <c r="G1844" s="32">
        <v>69060500</v>
      </c>
      <c r="H1844" s="32">
        <f t="shared" si="153"/>
        <v>69060508</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4348</v>
      </c>
      <c r="BC1844" s="31">
        <v>0</v>
      </c>
      <c r="BD1844" s="31">
        <v>1</v>
      </c>
      <c r="BE1844" s="35" t="s">
        <v>4349</v>
      </c>
      <c r="BF1844" s="35" t="s">
        <v>4350</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69060508</v>
      </c>
      <c r="D1845" s="35" t="s">
        <v>4351</v>
      </c>
      <c r="E1845" s="35" t="s">
        <v>4352</v>
      </c>
      <c r="F1845" s="32">
        <v>8</v>
      </c>
      <c r="G1845" s="32">
        <v>69060500</v>
      </c>
      <c r="H1845" s="32">
        <f t="shared" si="153"/>
        <v>69060509</v>
      </c>
      <c r="I1845" s="31">
        <v>0</v>
      </c>
      <c r="J1845" s="32">
        <v>20</v>
      </c>
      <c r="K1845" s="32">
        <v>1</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4353</v>
      </c>
      <c r="BC1845" s="31">
        <v>0</v>
      </c>
      <c r="BD1845" s="31">
        <v>1</v>
      </c>
      <c r="BE1845" s="35" t="s">
        <v>4354</v>
      </c>
      <c r="BF1845" s="35" t="s">
        <v>4355</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69060509</v>
      </c>
      <c r="D1846" s="35" t="s">
        <v>4356</v>
      </c>
      <c r="E1846" s="35" t="s">
        <v>4357</v>
      </c>
      <c r="F1846" s="32">
        <v>9</v>
      </c>
      <c r="G1846" s="32">
        <v>69060500</v>
      </c>
      <c r="H1846" s="32">
        <f t="shared" si="153"/>
        <v>69060510</v>
      </c>
      <c r="I1846" s="31">
        <v>0</v>
      </c>
      <c r="J1846" s="32">
        <v>20</v>
      </c>
      <c r="K1846" s="32">
        <v>1</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4358</v>
      </c>
      <c r="BC1846" s="31">
        <v>0</v>
      </c>
      <c r="BD1846" s="31">
        <v>1</v>
      </c>
      <c r="BE1846" s="35" t="s">
        <v>4359</v>
      </c>
      <c r="BF1846" s="35" t="s">
        <v>4360</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69060510</v>
      </c>
      <c r="D1847" s="35" t="s">
        <v>4361</v>
      </c>
      <c r="E1847" s="35" t="s">
        <v>4362</v>
      </c>
      <c r="F1847" s="32">
        <v>10</v>
      </c>
      <c r="G1847" s="32">
        <v>69060500</v>
      </c>
      <c r="H1847" s="32">
        <v>0</v>
      </c>
      <c r="I1847" s="31">
        <v>0</v>
      </c>
      <c r="J1847" s="32">
        <v>20</v>
      </c>
      <c r="K1847" s="32">
        <v>1</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4363</v>
      </c>
      <c r="BC1847" s="31">
        <v>0</v>
      </c>
      <c r="BD1847" s="31">
        <v>1</v>
      </c>
      <c r="BE1847" s="35" t="s">
        <v>4364</v>
      </c>
      <c r="BF1847" s="35" t="s">
        <v>4365</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69060600</v>
      </c>
      <c r="D1848" s="35" t="s">
        <v>4366</v>
      </c>
      <c r="E1848" s="35" t="s">
        <v>4367</v>
      </c>
      <c r="F1848" s="32">
        <v>1</v>
      </c>
      <c r="G1848" s="32">
        <v>69060600</v>
      </c>
      <c r="H1848" s="32">
        <v>69060601</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4368</v>
      </c>
      <c r="BC1848" s="31">
        <v>0</v>
      </c>
      <c r="BD1848" s="31">
        <v>1</v>
      </c>
      <c r="BE1848" s="35" t="s">
        <v>4102</v>
      </c>
      <c r="BF1848" s="35" t="s">
        <v>4103</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69060601</v>
      </c>
      <c r="D1849" s="35" t="s">
        <v>4369</v>
      </c>
      <c r="E1849" s="35" t="s">
        <v>4370</v>
      </c>
      <c r="F1849" s="32">
        <v>1</v>
      </c>
      <c r="G1849" s="32">
        <v>69060600</v>
      </c>
      <c r="H1849" s="32">
        <v>69060602</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1597</v>
      </c>
      <c r="BC1849" s="31">
        <v>0</v>
      </c>
      <c r="BD1849" s="31">
        <v>1</v>
      </c>
      <c r="BE1849" s="35" t="s">
        <v>4371</v>
      </c>
      <c r="BF1849" s="35" t="s">
        <v>4372</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69060602</v>
      </c>
      <c r="D1850" s="35" t="s">
        <v>4373</v>
      </c>
      <c r="E1850" s="35" t="s">
        <v>4374</v>
      </c>
      <c r="F1850" s="32">
        <v>1</v>
      </c>
      <c r="G1850" s="32">
        <v>69060600</v>
      </c>
      <c r="H1850" s="32">
        <v>0</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4375</v>
      </c>
      <c r="BC1850" s="31">
        <v>0</v>
      </c>
      <c r="BD1850" s="31">
        <v>1</v>
      </c>
      <c r="BE1850" s="35" t="s">
        <v>4376</v>
      </c>
      <c r="BF1850" s="35" t="s">
        <v>4377</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69060700</v>
      </c>
      <c r="D1851" s="35" t="s">
        <v>4378</v>
      </c>
      <c r="E1851" s="35" t="s">
        <v>4379</v>
      </c>
      <c r="F1851" s="32">
        <v>1</v>
      </c>
      <c r="G1851" s="32">
        <v>69060700</v>
      </c>
      <c r="H1851" s="32">
        <v>69060701</v>
      </c>
      <c r="I1851" s="31">
        <v>0</v>
      </c>
      <c r="J1851" s="32">
        <v>20</v>
      </c>
      <c r="K1851" s="32">
        <v>2</v>
      </c>
      <c r="L1851" s="32">
        <v>0</v>
      </c>
      <c r="M1851" s="32">
        <v>0</v>
      </c>
      <c r="N1851" s="32">
        <v>0</v>
      </c>
      <c r="O1851" s="32">
        <v>8</v>
      </c>
      <c r="P1851" s="32">
        <v>0</v>
      </c>
      <c r="Q1851" s="32">
        <v>0</v>
      </c>
      <c r="R1851" s="32">
        <v>0</v>
      </c>
      <c r="S1851" s="19">
        <v>0</v>
      </c>
      <c r="T1851" s="31">
        <v>0</v>
      </c>
      <c r="U1851" s="21">
        <v>1</v>
      </c>
      <c r="V1851" s="32">
        <v>2</v>
      </c>
      <c r="W1851" s="32">
        <v>0</v>
      </c>
      <c r="X1851" s="32">
        <v>0</v>
      </c>
      <c r="Y1851" s="19">
        <v>0</v>
      </c>
      <c r="Z1851" s="32">
        <v>0</v>
      </c>
      <c r="AA1851" s="32">
        <v>0</v>
      </c>
      <c r="AB1851" s="32">
        <v>0</v>
      </c>
      <c r="AC1851" s="32">
        <v>0</v>
      </c>
      <c r="AD1851" s="32">
        <v>1</v>
      </c>
      <c r="AE1851" s="32">
        <v>0</v>
      </c>
      <c r="AF1851" s="32">
        <v>18</v>
      </c>
      <c r="AG1851" s="32">
        <v>0</v>
      </c>
      <c r="AH1851" s="32">
        <v>0</v>
      </c>
      <c r="AI1851" s="19">
        <v>2</v>
      </c>
      <c r="AJ1851" s="19">
        <v>0</v>
      </c>
      <c r="AK1851" s="19">
        <v>0</v>
      </c>
      <c r="AL1851" s="19">
        <v>0</v>
      </c>
      <c r="AM1851" s="32">
        <v>0</v>
      </c>
      <c r="AN1851" s="32">
        <v>0</v>
      </c>
      <c r="AO1851" s="32">
        <v>0</v>
      </c>
      <c r="AP1851" s="32">
        <v>0</v>
      </c>
      <c r="AQ1851" s="32">
        <v>1000</v>
      </c>
      <c r="AR1851" s="32">
        <v>0</v>
      </c>
      <c r="AS1851" s="32">
        <v>0</v>
      </c>
      <c r="AT1851" s="19"/>
      <c r="AU1851" s="32" t="s">
        <v>204</v>
      </c>
      <c r="AV1851" s="32"/>
      <c r="AW1851" s="35" t="s">
        <v>205</v>
      </c>
      <c r="AX1851" s="32">
        <v>0</v>
      </c>
      <c r="AY1851" s="32">
        <v>0</v>
      </c>
      <c r="AZ1851" s="32">
        <v>0</v>
      </c>
      <c r="BA1851" s="35" t="s">
        <v>206</v>
      </c>
      <c r="BB1851" s="35" t="s">
        <v>4368</v>
      </c>
      <c r="BC1851" s="31">
        <v>0</v>
      </c>
      <c r="BD1851" s="31">
        <v>1</v>
      </c>
      <c r="BE1851" s="35" t="s">
        <v>4102</v>
      </c>
      <c r="BF1851" s="35" t="s">
        <v>4103</v>
      </c>
      <c r="BG1851" s="32">
        <v>0</v>
      </c>
      <c r="BH1851" s="21">
        <v>0</v>
      </c>
      <c r="BI1851" s="32">
        <v>0</v>
      </c>
      <c r="BJ1851" s="32">
        <v>0</v>
      </c>
      <c r="BK1851" s="32">
        <v>0</v>
      </c>
      <c r="BL1851" s="32">
        <v>0</v>
      </c>
      <c r="BM1851" s="25">
        <v>0</v>
      </c>
      <c r="BN1851" s="19">
        <v>0</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69060701</v>
      </c>
      <c r="D1852" s="35" t="s">
        <v>4380</v>
      </c>
      <c r="E1852" s="35" t="s">
        <v>4381</v>
      </c>
      <c r="F1852" s="32">
        <v>1</v>
      </c>
      <c r="G1852" s="32">
        <v>69060700</v>
      </c>
      <c r="H1852" s="32">
        <v>69060702</v>
      </c>
      <c r="I1852" s="31">
        <v>0</v>
      </c>
      <c r="J1852" s="32">
        <v>20</v>
      </c>
      <c r="K1852" s="32">
        <v>2</v>
      </c>
      <c r="L1852" s="32">
        <v>0</v>
      </c>
      <c r="M1852" s="32">
        <v>0</v>
      </c>
      <c r="N1852" s="32">
        <v>0</v>
      </c>
      <c r="O1852" s="32">
        <v>8</v>
      </c>
      <c r="P1852" s="32">
        <v>0</v>
      </c>
      <c r="Q1852" s="32">
        <v>0</v>
      </c>
      <c r="R1852" s="32">
        <v>0</v>
      </c>
      <c r="S1852" s="19">
        <v>0</v>
      </c>
      <c r="T1852" s="31">
        <v>0</v>
      </c>
      <c r="U1852" s="21">
        <v>1</v>
      </c>
      <c r="V1852" s="32">
        <v>2</v>
      </c>
      <c r="W1852" s="32">
        <v>0</v>
      </c>
      <c r="X1852" s="32">
        <v>0</v>
      </c>
      <c r="Y1852" s="19">
        <v>0</v>
      </c>
      <c r="Z1852" s="32">
        <v>0</v>
      </c>
      <c r="AA1852" s="32">
        <v>0</v>
      </c>
      <c r="AB1852" s="32">
        <v>0</v>
      </c>
      <c r="AC1852" s="32">
        <v>0</v>
      </c>
      <c r="AD1852" s="32">
        <v>1</v>
      </c>
      <c r="AE1852" s="32">
        <v>0</v>
      </c>
      <c r="AF1852" s="32">
        <v>18</v>
      </c>
      <c r="AG1852" s="32">
        <v>0</v>
      </c>
      <c r="AH1852" s="32">
        <v>0</v>
      </c>
      <c r="AI1852" s="19">
        <v>2</v>
      </c>
      <c r="AJ1852" s="19">
        <v>0</v>
      </c>
      <c r="AK1852" s="19">
        <v>0</v>
      </c>
      <c r="AL1852" s="19">
        <v>0</v>
      </c>
      <c r="AM1852" s="32">
        <v>0</v>
      </c>
      <c r="AN1852" s="32">
        <v>0</v>
      </c>
      <c r="AO1852" s="32">
        <v>0</v>
      </c>
      <c r="AP1852" s="32">
        <v>0</v>
      </c>
      <c r="AQ1852" s="32">
        <v>1000</v>
      </c>
      <c r="AR1852" s="32">
        <v>0</v>
      </c>
      <c r="AS1852" s="32">
        <v>0</v>
      </c>
      <c r="AT1852" s="19"/>
      <c r="AU1852" s="32" t="s">
        <v>204</v>
      </c>
      <c r="AV1852" s="32"/>
      <c r="AW1852" s="35" t="s">
        <v>205</v>
      </c>
      <c r="AX1852" s="32">
        <v>0</v>
      </c>
      <c r="AY1852" s="32">
        <v>0</v>
      </c>
      <c r="AZ1852" s="32">
        <v>0</v>
      </c>
      <c r="BA1852" s="35" t="s">
        <v>206</v>
      </c>
      <c r="BB1852" s="35" t="s">
        <v>1597</v>
      </c>
      <c r="BC1852" s="31">
        <v>0</v>
      </c>
      <c r="BD1852" s="31">
        <v>1</v>
      </c>
      <c r="BE1852" s="35" t="s">
        <v>4382</v>
      </c>
      <c r="BF1852" s="35" t="s">
        <v>4383</v>
      </c>
      <c r="BG1852" s="32">
        <v>0</v>
      </c>
      <c r="BH1852" s="21">
        <v>0</v>
      </c>
      <c r="BI1852" s="32">
        <v>0</v>
      </c>
      <c r="BJ1852" s="32">
        <v>0</v>
      </c>
      <c r="BK1852" s="32">
        <v>0</v>
      </c>
      <c r="BL1852" s="32">
        <v>0</v>
      </c>
      <c r="BM1852" s="25">
        <v>0</v>
      </c>
      <c r="BN1852" s="19">
        <v>0</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69060702</v>
      </c>
      <c r="D1853" s="35" t="s">
        <v>4384</v>
      </c>
      <c r="E1853" s="35" t="s">
        <v>4385</v>
      </c>
      <c r="F1853" s="32">
        <v>1</v>
      </c>
      <c r="G1853" s="32">
        <v>69060700</v>
      </c>
      <c r="H1853" s="32">
        <v>0</v>
      </c>
      <c r="I1853" s="31">
        <v>0</v>
      </c>
      <c r="J1853" s="32">
        <v>20</v>
      </c>
      <c r="K1853" s="32">
        <v>2</v>
      </c>
      <c r="L1853" s="32">
        <v>0</v>
      </c>
      <c r="M1853" s="32">
        <v>0</v>
      </c>
      <c r="N1853" s="32">
        <v>0</v>
      </c>
      <c r="O1853" s="32">
        <v>8</v>
      </c>
      <c r="P1853" s="32">
        <v>0</v>
      </c>
      <c r="Q1853" s="32">
        <v>0</v>
      </c>
      <c r="R1853" s="32">
        <v>0</v>
      </c>
      <c r="S1853" s="19">
        <v>0</v>
      </c>
      <c r="T1853" s="31">
        <v>0</v>
      </c>
      <c r="U1853" s="21">
        <v>1</v>
      </c>
      <c r="V1853" s="32">
        <v>2</v>
      </c>
      <c r="W1853" s="32">
        <v>0</v>
      </c>
      <c r="X1853" s="32">
        <v>0</v>
      </c>
      <c r="Y1853" s="19">
        <v>0</v>
      </c>
      <c r="Z1853" s="32">
        <v>0</v>
      </c>
      <c r="AA1853" s="32">
        <v>0</v>
      </c>
      <c r="AB1853" s="32">
        <v>0</v>
      </c>
      <c r="AC1853" s="32">
        <v>0</v>
      </c>
      <c r="AD1853" s="32">
        <v>1</v>
      </c>
      <c r="AE1853" s="32">
        <v>0</v>
      </c>
      <c r="AF1853" s="32">
        <v>18</v>
      </c>
      <c r="AG1853" s="32">
        <v>0</v>
      </c>
      <c r="AH1853" s="32">
        <v>0</v>
      </c>
      <c r="AI1853" s="19">
        <v>2</v>
      </c>
      <c r="AJ1853" s="19">
        <v>0</v>
      </c>
      <c r="AK1853" s="19">
        <v>0</v>
      </c>
      <c r="AL1853" s="19">
        <v>0</v>
      </c>
      <c r="AM1853" s="32">
        <v>0</v>
      </c>
      <c r="AN1853" s="32">
        <v>0</v>
      </c>
      <c r="AO1853" s="32">
        <v>0</v>
      </c>
      <c r="AP1853" s="32">
        <v>0</v>
      </c>
      <c r="AQ1853" s="32">
        <v>1000</v>
      </c>
      <c r="AR1853" s="32">
        <v>0</v>
      </c>
      <c r="AS1853" s="32">
        <v>0</v>
      </c>
      <c r="AT1853" s="19"/>
      <c r="AU1853" s="32" t="s">
        <v>204</v>
      </c>
      <c r="AV1853" s="32"/>
      <c r="AW1853" s="35" t="s">
        <v>205</v>
      </c>
      <c r="AX1853" s="32">
        <v>0</v>
      </c>
      <c r="AY1853" s="32">
        <v>0</v>
      </c>
      <c r="AZ1853" s="32">
        <v>0</v>
      </c>
      <c r="BA1853" s="35" t="s">
        <v>206</v>
      </c>
      <c r="BB1853" s="35" t="s">
        <v>4375</v>
      </c>
      <c r="BC1853" s="31">
        <v>0</v>
      </c>
      <c r="BD1853" s="31">
        <v>1</v>
      </c>
      <c r="BE1853" s="35" t="s">
        <v>4386</v>
      </c>
      <c r="BF1853" s="35" t="s">
        <v>4387</v>
      </c>
      <c r="BG1853" s="32">
        <v>0</v>
      </c>
      <c r="BH1853" s="21">
        <v>0</v>
      </c>
      <c r="BI1853" s="32">
        <v>0</v>
      </c>
      <c r="BJ1853" s="32">
        <v>0</v>
      </c>
      <c r="BK1853" s="32">
        <v>0</v>
      </c>
      <c r="BL1853" s="32">
        <v>0</v>
      </c>
      <c r="BM1853" s="25">
        <v>0</v>
      </c>
      <c r="BN1853" s="19">
        <v>0</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32">
        <v>69060800</v>
      </c>
      <c r="D1854" s="238" t="s">
        <v>4388</v>
      </c>
      <c r="E1854" s="238" t="s">
        <v>4389</v>
      </c>
      <c r="F1854" s="239">
        <v>1</v>
      </c>
      <c r="G1854" s="32">
        <v>69060800</v>
      </c>
      <c r="H1854" s="32">
        <v>69060801</v>
      </c>
      <c r="I1854" s="239">
        <v>0</v>
      </c>
      <c r="J1854" s="32">
        <v>20</v>
      </c>
      <c r="K1854" s="239">
        <v>3</v>
      </c>
      <c r="L1854" s="239">
        <v>0</v>
      </c>
      <c r="M1854" s="239">
        <v>0</v>
      </c>
      <c r="N1854" s="239">
        <v>0</v>
      </c>
      <c r="O1854" s="239">
        <v>2</v>
      </c>
      <c r="P1854" s="239">
        <v>0</v>
      </c>
      <c r="Q1854" s="239">
        <v>0</v>
      </c>
      <c r="R1854" s="239">
        <v>0</v>
      </c>
      <c r="S1854" s="239">
        <v>0</v>
      </c>
      <c r="T1854" s="239">
        <v>0</v>
      </c>
      <c r="U1854" s="239">
        <v>1</v>
      </c>
      <c r="V1854" s="239">
        <v>2</v>
      </c>
      <c r="W1854" s="239">
        <v>0</v>
      </c>
      <c r="X1854" s="239">
        <v>0</v>
      </c>
      <c r="Y1854" s="19">
        <v>0</v>
      </c>
      <c r="Z1854" s="239">
        <v>0</v>
      </c>
      <c r="AA1854" s="239">
        <v>0</v>
      </c>
      <c r="AB1854" s="239">
        <v>0</v>
      </c>
      <c r="AC1854" s="239">
        <v>0</v>
      </c>
      <c r="AD1854" s="239">
        <v>1</v>
      </c>
      <c r="AE1854" s="239">
        <v>0</v>
      </c>
      <c r="AF1854" s="239">
        <v>20</v>
      </c>
      <c r="AG1854" s="239">
        <v>0</v>
      </c>
      <c r="AH1854" s="239">
        <v>0</v>
      </c>
      <c r="AI1854" s="239">
        <v>2</v>
      </c>
      <c r="AJ1854" s="239">
        <v>0</v>
      </c>
      <c r="AK1854" s="239">
        <v>0</v>
      </c>
      <c r="AL1854" s="239">
        <v>0</v>
      </c>
      <c r="AM1854" s="239">
        <v>0</v>
      </c>
      <c r="AN1854" s="239">
        <v>0</v>
      </c>
      <c r="AO1854" s="239">
        <v>0</v>
      </c>
      <c r="AP1854" s="239">
        <v>0</v>
      </c>
      <c r="AQ1854" s="239">
        <v>1000</v>
      </c>
      <c r="AR1854" s="239">
        <v>0</v>
      </c>
      <c r="AS1854" s="239">
        <v>0</v>
      </c>
      <c r="AT1854" s="239"/>
      <c r="AU1854" s="239" t="s">
        <v>204</v>
      </c>
      <c r="AV1854" s="239"/>
      <c r="AW1854" s="238" t="s">
        <v>205</v>
      </c>
      <c r="AX1854" s="239">
        <v>0</v>
      </c>
      <c r="AY1854" s="239">
        <v>0</v>
      </c>
      <c r="AZ1854" s="239">
        <v>0</v>
      </c>
      <c r="BA1854" s="238" t="s">
        <v>206</v>
      </c>
      <c r="BB1854" s="239" t="s">
        <v>204</v>
      </c>
      <c r="BC1854" s="239">
        <v>0</v>
      </c>
      <c r="BD1854" s="239">
        <v>1</v>
      </c>
      <c r="BE1854" s="35" t="s">
        <v>4102</v>
      </c>
      <c r="BF1854" s="35" t="s">
        <v>4103</v>
      </c>
      <c r="BG1854" s="239">
        <v>0</v>
      </c>
      <c r="BH1854" s="239">
        <v>0</v>
      </c>
      <c r="BI1854" s="239">
        <v>0</v>
      </c>
      <c r="BJ1854" s="239">
        <v>0</v>
      </c>
      <c r="BK1854" s="239">
        <v>0</v>
      </c>
      <c r="BL1854" s="239">
        <v>0</v>
      </c>
      <c r="BM1854" s="241">
        <v>0</v>
      </c>
      <c r="BN1854" s="239">
        <v>1</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32">
        <v>69060801</v>
      </c>
      <c r="D1855" s="238" t="s">
        <v>4388</v>
      </c>
      <c r="E1855" s="238" t="s">
        <v>4389</v>
      </c>
      <c r="F1855" s="239">
        <v>1</v>
      </c>
      <c r="G1855" s="32">
        <v>69060800</v>
      </c>
      <c r="H1855" s="239">
        <v>0</v>
      </c>
      <c r="I1855" s="239">
        <v>0</v>
      </c>
      <c r="J1855" s="32">
        <v>20</v>
      </c>
      <c r="K1855" s="239">
        <v>3</v>
      </c>
      <c r="L1855" s="239">
        <v>0</v>
      </c>
      <c r="M1855" s="239">
        <v>0</v>
      </c>
      <c r="N1855" s="239">
        <v>0</v>
      </c>
      <c r="O1855" s="239">
        <v>2</v>
      </c>
      <c r="P1855" s="239">
        <v>13</v>
      </c>
      <c r="Q1855" s="239">
        <v>0.25</v>
      </c>
      <c r="R1855" s="239">
        <v>0</v>
      </c>
      <c r="S1855" s="239">
        <v>0</v>
      </c>
      <c r="T1855" s="239">
        <v>0</v>
      </c>
      <c r="U1855" s="239">
        <v>1</v>
      </c>
      <c r="V1855" s="239">
        <v>2</v>
      </c>
      <c r="W1855" s="239">
        <v>0</v>
      </c>
      <c r="X1855" s="239">
        <v>0</v>
      </c>
      <c r="Y1855" s="19">
        <v>0</v>
      </c>
      <c r="Z1855" s="239">
        <v>0</v>
      </c>
      <c r="AA1855" s="239">
        <v>0</v>
      </c>
      <c r="AB1855" s="239">
        <v>0</v>
      </c>
      <c r="AC1855" s="239">
        <v>0</v>
      </c>
      <c r="AD1855" s="239">
        <v>1</v>
      </c>
      <c r="AE1855" s="239">
        <v>0</v>
      </c>
      <c r="AF1855" s="239">
        <v>20</v>
      </c>
      <c r="AG1855" s="239">
        <v>0</v>
      </c>
      <c r="AH1855" s="239">
        <v>0</v>
      </c>
      <c r="AI1855" s="239">
        <v>2</v>
      </c>
      <c r="AJ1855" s="239">
        <v>0</v>
      </c>
      <c r="AK1855" s="239">
        <v>0</v>
      </c>
      <c r="AL1855" s="239">
        <v>0</v>
      </c>
      <c r="AM1855" s="239">
        <v>0</v>
      </c>
      <c r="AN1855" s="239">
        <v>0</v>
      </c>
      <c r="AO1855" s="239">
        <v>0</v>
      </c>
      <c r="AP1855" s="239">
        <v>0</v>
      </c>
      <c r="AQ1855" s="239">
        <v>1000</v>
      </c>
      <c r="AR1855" s="239">
        <v>0</v>
      </c>
      <c r="AS1855" s="239">
        <v>0</v>
      </c>
      <c r="AT1855" s="239">
        <v>80001031</v>
      </c>
      <c r="AU1855" s="239" t="s">
        <v>204</v>
      </c>
      <c r="AV1855" s="239"/>
      <c r="AW1855" s="238" t="s">
        <v>205</v>
      </c>
      <c r="AX1855" s="239" t="s">
        <v>1582</v>
      </c>
      <c r="AY1855" s="239">
        <v>0</v>
      </c>
      <c r="AZ1855" s="239">
        <v>40000003</v>
      </c>
      <c r="BA1855" s="238" t="s">
        <v>206</v>
      </c>
      <c r="BB1855" s="239" t="s">
        <v>204</v>
      </c>
      <c r="BC1855" s="239">
        <v>0</v>
      </c>
      <c r="BD1855" s="239">
        <v>1</v>
      </c>
      <c r="BE1855" s="238" t="s">
        <v>4390</v>
      </c>
      <c r="BF1855" s="238" t="s">
        <v>4391</v>
      </c>
      <c r="BG1855" s="239">
        <v>0</v>
      </c>
      <c r="BH1855" s="239">
        <v>0</v>
      </c>
      <c r="BI1855" s="239">
        <v>0</v>
      </c>
      <c r="BJ1855" s="239">
        <v>0</v>
      </c>
      <c r="BK1855" s="239">
        <v>0</v>
      </c>
      <c r="BL1855" s="239">
        <v>0</v>
      </c>
      <c r="BM1855" s="241">
        <v>0</v>
      </c>
      <c r="BN1855" s="239">
        <v>1</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32">
        <v>70000001</v>
      </c>
      <c r="D1856" s="35" t="s">
        <v>4392</v>
      </c>
      <c r="E1856" s="35" t="s">
        <v>4393</v>
      </c>
      <c r="F1856" s="32">
        <v>1</v>
      </c>
      <c r="G1856" s="69">
        <v>0</v>
      </c>
      <c r="H1856" s="32">
        <v>0</v>
      </c>
      <c r="I1856" s="31">
        <v>0</v>
      </c>
      <c r="J1856" s="32">
        <v>1</v>
      </c>
      <c r="K1856" s="32">
        <v>0</v>
      </c>
      <c r="L1856" s="32">
        <v>0</v>
      </c>
      <c r="M1856" s="32">
        <v>0</v>
      </c>
      <c r="N1856" s="32">
        <v>0</v>
      </c>
      <c r="O1856" s="32">
        <v>1</v>
      </c>
      <c r="P1856" s="32">
        <v>0</v>
      </c>
      <c r="Q1856" s="32">
        <v>0</v>
      </c>
      <c r="R1856" s="32">
        <v>0</v>
      </c>
      <c r="S1856" s="19">
        <v>0</v>
      </c>
      <c r="T1856" s="31">
        <v>0</v>
      </c>
      <c r="U1856" s="21">
        <v>0</v>
      </c>
      <c r="V1856" s="32">
        <v>1</v>
      </c>
      <c r="W1856" s="32">
        <v>0</v>
      </c>
      <c r="X1856" s="32">
        <v>1</v>
      </c>
      <c r="Y1856" s="19">
        <v>0</v>
      </c>
      <c r="Z1856" s="32">
        <v>0</v>
      </c>
      <c r="AA1856" s="32">
        <v>0</v>
      </c>
      <c r="AB1856" s="32">
        <v>0</v>
      </c>
      <c r="AC1856" s="32">
        <v>0</v>
      </c>
      <c r="AD1856" s="32">
        <v>1</v>
      </c>
      <c r="AE1856" s="32">
        <v>0</v>
      </c>
      <c r="AF1856" s="32">
        <v>1</v>
      </c>
      <c r="AG1856" s="32">
        <v>1</v>
      </c>
      <c r="AH1856" s="32">
        <v>2</v>
      </c>
      <c r="AI1856" s="19">
        <v>7</v>
      </c>
      <c r="AJ1856" s="19">
        <v>0</v>
      </c>
      <c r="AK1856" s="19">
        <v>0</v>
      </c>
      <c r="AL1856" s="19">
        <v>0</v>
      </c>
      <c r="AM1856" s="32">
        <v>0</v>
      </c>
      <c r="AN1856" s="32">
        <v>0</v>
      </c>
      <c r="AO1856" s="32">
        <v>0</v>
      </c>
      <c r="AP1856" s="32">
        <v>0</v>
      </c>
      <c r="AQ1856" s="32">
        <v>700</v>
      </c>
      <c r="AR1856" s="32">
        <v>0.5</v>
      </c>
      <c r="AS1856" s="32">
        <v>0</v>
      </c>
      <c r="AT1856" s="19">
        <v>0</v>
      </c>
      <c r="AU1856" s="32" t="s">
        <v>204</v>
      </c>
      <c r="AV1856" s="32"/>
      <c r="AW1856" s="35" t="s">
        <v>747</v>
      </c>
      <c r="AX1856" s="32">
        <v>0</v>
      </c>
      <c r="AY1856" s="74">
        <v>12000006</v>
      </c>
      <c r="AZ1856" s="32">
        <v>0</v>
      </c>
      <c r="BA1856" s="35" t="s">
        <v>206</v>
      </c>
      <c r="BB1856" s="35" t="s">
        <v>204</v>
      </c>
      <c r="BC1856" s="31">
        <v>0</v>
      </c>
      <c r="BD1856" s="31">
        <v>0</v>
      </c>
      <c r="BE1856" s="60"/>
      <c r="BF1856" s="60"/>
      <c r="BG1856" s="32">
        <v>0</v>
      </c>
      <c r="BH1856" s="21">
        <v>0</v>
      </c>
      <c r="BI1856" s="32">
        <v>0</v>
      </c>
      <c r="BJ1856" s="32">
        <v>0</v>
      </c>
      <c r="BK1856" s="32">
        <v>0</v>
      </c>
      <c r="BL1856" s="32">
        <v>0</v>
      </c>
      <c r="BM1856" s="25">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70000002</v>
      </c>
      <c r="D1857" s="88" t="s">
        <v>4394</v>
      </c>
      <c r="E1857" s="88" t="s">
        <v>4395</v>
      </c>
      <c r="F1857" s="74">
        <v>1</v>
      </c>
      <c r="G1857" s="74">
        <v>60010500</v>
      </c>
      <c r="H1857" s="74">
        <v>0</v>
      </c>
      <c r="I1857" s="75">
        <v>0</v>
      </c>
      <c r="J1857" s="74">
        <v>1</v>
      </c>
      <c r="K1857" s="74">
        <v>0</v>
      </c>
      <c r="L1857" s="72">
        <v>0</v>
      </c>
      <c r="M1857" s="74">
        <v>0</v>
      </c>
      <c r="N1857" s="74">
        <v>0</v>
      </c>
      <c r="O1857" s="74">
        <v>1</v>
      </c>
      <c r="P1857" s="74">
        <v>0</v>
      </c>
      <c r="Q1857" s="74">
        <v>0</v>
      </c>
      <c r="R1857" s="74">
        <v>0</v>
      </c>
      <c r="S1857" s="19">
        <v>0</v>
      </c>
      <c r="T1857" s="74">
        <v>0</v>
      </c>
      <c r="U1857" s="72">
        <v>0</v>
      </c>
      <c r="V1857" s="74">
        <v>1</v>
      </c>
      <c r="W1857" s="74">
        <v>0</v>
      </c>
      <c r="X1857" s="74">
        <v>1</v>
      </c>
      <c r="Y1857" s="19">
        <v>0</v>
      </c>
      <c r="Z1857" s="74">
        <v>0</v>
      </c>
      <c r="AA1857" s="74">
        <v>0</v>
      </c>
      <c r="AB1857" s="74">
        <v>0</v>
      </c>
      <c r="AC1857" s="74">
        <v>0</v>
      </c>
      <c r="AD1857" s="74">
        <v>1</v>
      </c>
      <c r="AE1857" s="74">
        <v>0</v>
      </c>
      <c r="AF1857" s="74">
        <v>2</v>
      </c>
      <c r="AG1857" s="74">
        <v>1</v>
      </c>
      <c r="AH1857" s="74">
        <v>9</v>
      </c>
      <c r="AI1857" s="73">
        <v>7</v>
      </c>
      <c r="AJ1857" s="73">
        <v>0</v>
      </c>
      <c r="AK1857" s="19">
        <v>0</v>
      </c>
      <c r="AL1857" s="73">
        <v>9</v>
      </c>
      <c r="AM1857" s="74">
        <v>0</v>
      </c>
      <c r="AN1857" s="74">
        <v>0</v>
      </c>
      <c r="AO1857" s="74">
        <v>0</v>
      </c>
      <c r="AP1857" s="74">
        <v>0.5</v>
      </c>
      <c r="AQ1857" s="74">
        <v>3000</v>
      </c>
      <c r="AR1857" s="74">
        <v>0.2</v>
      </c>
      <c r="AS1857" s="74">
        <v>20</v>
      </c>
      <c r="AT1857" s="73">
        <v>0</v>
      </c>
      <c r="AU1857" s="74" t="s">
        <v>204</v>
      </c>
      <c r="AV1857" s="74"/>
      <c r="AW1857" s="35" t="s">
        <v>747</v>
      </c>
      <c r="AX1857" s="74" t="s">
        <v>255</v>
      </c>
      <c r="AY1857" s="74">
        <v>12000006</v>
      </c>
      <c r="AZ1857" s="127">
        <v>20000025</v>
      </c>
      <c r="BA1857" s="88" t="s">
        <v>256</v>
      </c>
      <c r="BB1857" s="88" t="s">
        <v>204</v>
      </c>
      <c r="BC1857" s="75">
        <v>0</v>
      </c>
      <c r="BD1857" s="75">
        <v>0</v>
      </c>
      <c r="BE1857" s="76"/>
      <c r="BF1857" s="76"/>
      <c r="BG1857" s="74">
        <v>0</v>
      </c>
      <c r="BH1857" s="74">
        <v>0</v>
      </c>
      <c r="BI1857" s="74">
        <v>0</v>
      </c>
      <c r="BJ1857" s="74">
        <v>0</v>
      </c>
      <c r="BK1857" s="74">
        <v>0</v>
      </c>
      <c r="BL1857" s="74">
        <v>0</v>
      </c>
      <c r="BM1857" s="74">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70000003</v>
      </c>
      <c r="D1858" s="88" t="s">
        <v>4396</v>
      </c>
      <c r="E1858" s="88" t="s">
        <v>4397</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2</v>
      </c>
      <c r="AG1858" s="74">
        <v>1</v>
      </c>
      <c r="AH1858" s="74">
        <v>9</v>
      </c>
      <c r="AI1858" s="73">
        <v>7</v>
      </c>
      <c r="AJ1858" s="73">
        <v>0</v>
      </c>
      <c r="AK1858" s="19">
        <v>0</v>
      </c>
      <c r="AL1858" s="73">
        <v>9</v>
      </c>
      <c r="AM1858" s="74">
        <v>0</v>
      </c>
      <c r="AN1858" s="74">
        <v>0</v>
      </c>
      <c r="AO1858" s="74">
        <v>0</v>
      </c>
      <c r="AP1858" s="74">
        <v>0.5</v>
      </c>
      <c r="AQ1858" s="74">
        <v>3000</v>
      </c>
      <c r="AR1858" s="74">
        <v>0.2</v>
      </c>
      <c r="AS1858" s="74">
        <v>20</v>
      </c>
      <c r="AT1858" s="73">
        <v>0</v>
      </c>
      <c r="AU1858" s="74" t="s">
        <v>204</v>
      </c>
      <c r="AV1858" s="74"/>
      <c r="AW1858" s="35" t="s">
        <v>747</v>
      </c>
      <c r="AX1858" s="74" t="s">
        <v>255</v>
      </c>
      <c r="AY1858" s="74">
        <v>10001004</v>
      </c>
      <c r="AZ1858" s="127">
        <v>20000037</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70000004</v>
      </c>
      <c r="D1859" s="88" t="s">
        <v>4398</v>
      </c>
      <c r="E1859" s="88" t="s">
        <v>4399</v>
      </c>
      <c r="F1859" s="74">
        <v>1</v>
      </c>
      <c r="G1859" s="74">
        <v>60010500</v>
      </c>
      <c r="H1859" s="74">
        <v>0</v>
      </c>
      <c r="I1859" s="75">
        <v>0</v>
      </c>
      <c r="J1859" s="74">
        <v>1</v>
      </c>
      <c r="K1859" s="74">
        <v>0</v>
      </c>
      <c r="L1859" s="72">
        <v>0</v>
      </c>
      <c r="M1859" s="74">
        <v>0</v>
      </c>
      <c r="N1859" s="74">
        <v>0</v>
      </c>
      <c r="O1859" s="74">
        <v>1</v>
      </c>
      <c r="P1859" s="74">
        <v>0</v>
      </c>
      <c r="Q1859" s="74">
        <v>0</v>
      </c>
      <c r="R1859" s="74">
        <v>0</v>
      </c>
      <c r="S1859" s="19">
        <v>0</v>
      </c>
      <c r="T1859" s="74">
        <v>0</v>
      </c>
      <c r="U1859" s="72">
        <v>0</v>
      </c>
      <c r="V1859" s="74">
        <v>1</v>
      </c>
      <c r="W1859" s="74">
        <v>0</v>
      </c>
      <c r="X1859" s="74">
        <v>1</v>
      </c>
      <c r="Y1859" s="19">
        <v>0</v>
      </c>
      <c r="Z1859" s="74">
        <v>0</v>
      </c>
      <c r="AA1859" s="74">
        <v>0</v>
      </c>
      <c r="AB1859" s="74">
        <v>0</v>
      </c>
      <c r="AC1859" s="74">
        <v>0</v>
      </c>
      <c r="AD1859" s="74">
        <v>1</v>
      </c>
      <c r="AE1859" s="74">
        <v>0</v>
      </c>
      <c r="AF1859" s="74">
        <v>2</v>
      </c>
      <c r="AG1859" s="74">
        <v>1</v>
      </c>
      <c r="AH1859" s="74">
        <v>9</v>
      </c>
      <c r="AI1859" s="73">
        <v>7</v>
      </c>
      <c r="AJ1859" s="73">
        <v>0</v>
      </c>
      <c r="AK1859" s="19">
        <v>0</v>
      </c>
      <c r="AL1859" s="73">
        <v>9</v>
      </c>
      <c r="AM1859" s="74">
        <v>0</v>
      </c>
      <c r="AN1859" s="74">
        <v>0</v>
      </c>
      <c r="AO1859" s="74">
        <v>0</v>
      </c>
      <c r="AP1859" s="74">
        <v>0.5</v>
      </c>
      <c r="AQ1859" s="74">
        <v>3000</v>
      </c>
      <c r="AR1859" s="74">
        <v>0.2</v>
      </c>
      <c r="AS1859" s="74">
        <v>20</v>
      </c>
      <c r="AT1859" s="73">
        <v>0</v>
      </c>
      <c r="AU1859" s="74" t="s">
        <v>204</v>
      </c>
      <c r="AV1859" s="74"/>
      <c r="AW1859" s="35" t="s">
        <v>747</v>
      </c>
      <c r="AX1859" s="74" t="s">
        <v>255</v>
      </c>
      <c r="AY1859" s="74">
        <v>12000006</v>
      </c>
      <c r="AZ1859" s="127">
        <v>20000038</v>
      </c>
      <c r="BA1859" s="88" t="s">
        <v>256</v>
      </c>
      <c r="BB1859" s="88" t="s">
        <v>204</v>
      </c>
      <c r="BC1859" s="75">
        <v>0</v>
      </c>
      <c r="BD1859" s="75">
        <v>0</v>
      </c>
      <c r="BE1859" s="76"/>
      <c r="BF1859" s="76"/>
      <c r="BG1859" s="74">
        <v>0</v>
      </c>
      <c r="BH1859" s="74">
        <v>0</v>
      </c>
      <c r="BI1859" s="74">
        <v>0</v>
      </c>
      <c r="BJ1859" s="74">
        <v>0</v>
      </c>
      <c r="BK1859" s="74">
        <v>0</v>
      </c>
      <c r="BL1859" s="74">
        <v>0</v>
      </c>
      <c r="BM1859" s="74">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70000005</v>
      </c>
      <c r="D1860" s="35" t="s">
        <v>4400</v>
      </c>
      <c r="E1860" s="35" t="s">
        <v>4401</v>
      </c>
      <c r="F1860" s="32">
        <v>1</v>
      </c>
      <c r="G1860" s="32">
        <v>60010500</v>
      </c>
      <c r="H1860" s="32">
        <v>0</v>
      </c>
      <c r="I1860" s="31">
        <v>0</v>
      </c>
      <c r="J1860" s="32">
        <v>1</v>
      </c>
      <c r="K1860" s="32">
        <v>3</v>
      </c>
      <c r="L1860" s="21">
        <v>0</v>
      </c>
      <c r="M1860" s="32">
        <v>0</v>
      </c>
      <c r="N1860" s="32">
        <v>0</v>
      </c>
      <c r="O1860" s="32">
        <v>1</v>
      </c>
      <c r="P1860" s="32">
        <v>0</v>
      </c>
      <c r="Q1860" s="32">
        <v>0</v>
      </c>
      <c r="R1860" s="32">
        <v>0</v>
      </c>
      <c r="S1860" s="19">
        <v>0</v>
      </c>
      <c r="T1860" s="32">
        <v>0</v>
      </c>
      <c r="U1860" s="21">
        <v>0</v>
      </c>
      <c r="V1860" s="32">
        <v>1</v>
      </c>
      <c r="W1860" s="32">
        <v>0</v>
      </c>
      <c r="X1860" s="32">
        <v>0</v>
      </c>
      <c r="Y1860" s="19">
        <v>0</v>
      </c>
      <c r="Z1860" s="32">
        <v>0</v>
      </c>
      <c r="AA1860" s="32">
        <v>0</v>
      </c>
      <c r="AB1860" s="32">
        <v>0</v>
      </c>
      <c r="AC1860" s="32">
        <v>0</v>
      </c>
      <c r="AD1860" s="32">
        <v>1</v>
      </c>
      <c r="AE1860" s="32">
        <v>0</v>
      </c>
      <c r="AF1860" s="32">
        <v>1</v>
      </c>
      <c r="AG1860" s="32">
        <v>1</v>
      </c>
      <c r="AH1860" s="32">
        <v>2</v>
      </c>
      <c r="AI1860" s="19">
        <v>7</v>
      </c>
      <c r="AJ1860" s="19">
        <v>0</v>
      </c>
      <c r="AK1860" s="19">
        <v>0</v>
      </c>
      <c r="AL1860" s="19">
        <v>3</v>
      </c>
      <c r="AM1860" s="32">
        <v>0</v>
      </c>
      <c r="AN1860" s="32">
        <v>0</v>
      </c>
      <c r="AO1860" s="34">
        <v>0</v>
      </c>
      <c r="AP1860" s="21">
        <v>0.1</v>
      </c>
      <c r="AQ1860" s="32">
        <v>3000</v>
      </c>
      <c r="AR1860" s="32">
        <v>0</v>
      </c>
      <c r="AS1860" s="32">
        <v>40</v>
      </c>
      <c r="AT1860" s="19">
        <v>0</v>
      </c>
      <c r="AU1860" s="32" t="s">
        <v>204</v>
      </c>
      <c r="AV1860" s="32"/>
      <c r="AW1860" s="30" t="s">
        <v>238</v>
      </c>
      <c r="AX1860" s="32" t="s">
        <v>255</v>
      </c>
      <c r="AY1860" s="32">
        <v>0</v>
      </c>
      <c r="AZ1860" s="26">
        <v>0</v>
      </c>
      <c r="BA1860" s="35" t="s">
        <v>256</v>
      </c>
      <c r="BB1860" s="35" t="s">
        <v>204</v>
      </c>
      <c r="BC1860" s="31">
        <v>0</v>
      </c>
      <c r="BD1860" s="31">
        <v>0</v>
      </c>
      <c r="BE1860" s="33"/>
      <c r="BF1860" s="33"/>
      <c r="BG1860" s="32">
        <v>0</v>
      </c>
      <c r="BH1860" s="32">
        <v>0</v>
      </c>
      <c r="BI1860" s="32">
        <v>0</v>
      </c>
      <c r="BJ1860" s="32">
        <v>0</v>
      </c>
      <c r="BK1860" s="32">
        <v>0</v>
      </c>
      <c r="BL1860" s="32">
        <v>0</v>
      </c>
      <c r="BM1860" s="32">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70000006</v>
      </c>
      <c r="D1861" s="88" t="s">
        <v>4394</v>
      </c>
      <c r="E1861" s="88" t="s">
        <v>4395</v>
      </c>
      <c r="F1861" s="74">
        <v>1</v>
      </c>
      <c r="G1861" s="74">
        <v>60010500</v>
      </c>
      <c r="H1861" s="74">
        <v>0</v>
      </c>
      <c r="I1861" s="75">
        <v>0</v>
      </c>
      <c r="J1861" s="74">
        <v>1</v>
      </c>
      <c r="K1861" s="74">
        <v>0</v>
      </c>
      <c r="L1861" s="72">
        <v>0</v>
      </c>
      <c r="M1861" s="74">
        <v>0</v>
      </c>
      <c r="N1861" s="74">
        <v>0</v>
      </c>
      <c r="O1861" s="74">
        <v>1</v>
      </c>
      <c r="P1861" s="74">
        <v>0</v>
      </c>
      <c r="Q1861" s="74">
        <v>0</v>
      </c>
      <c r="R1861" s="74">
        <v>0</v>
      </c>
      <c r="S1861" s="19">
        <v>0</v>
      </c>
      <c r="T1861" s="74">
        <v>0</v>
      </c>
      <c r="U1861" s="72">
        <v>0</v>
      </c>
      <c r="V1861" s="74">
        <v>1</v>
      </c>
      <c r="W1861" s="74">
        <v>0</v>
      </c>
      <c r="X1861" s="74">
        <v>1</v>
      </c>
      <c r="Y1861" s="19">
        <v>0</v>
      </c>
      <c r="Z1861" s="74">
        <v>0</v>
      </c>
      <c r="AA1861" s="74">
        <v>0</v>
      </c>
      <c r="AB1861" s="74">
        <v>0</v>
      </c>
      <c r="AC1861" s="74">
        <v>0</v>
      </c>
      <c r="AD1861" s="74">
        <v>1</v>
      </c>
      <c r="AE1861" s="74">
        <v>0</v>
      </c>
      <c r="AF1861" s="74">
        <v>1</v>
      </c>
      <c r="AG1861" s="74">
        <v>1</v>
      </c>
      <c r="AH1861" s="74">
        <v>9</v>
      </c>
      <c r="AI1861" s="73">
        <v>7</v>
      </c>
      <c r="AJ1861" s="73">
        <v>0</v>
      </c>
      <c r="AK1861" s="19">
        <v>0</v>
      </c>
      <c r="AL1861" s="73">
        <v>9</v>
      </c>
      <c r="AM1861" s="74">
        <v>0</v>
      </c>
      <c r="AN1861" s="74">
        <v>0</v>
      </c>
      <c r="AO1861" s="74">
        <v>0</v>
      </c>
      <c r="AP1861" s="74">
        <v>0.5</v>
      </c>
      <c r="AQ1861" s="74">
        <v>3000</v>
      </c>
      <c r="AR1861" s="74">
        <v>0.5</v>
      </c>
      <c r="AS1861" s="74">
        <v>20</v>
      </c>
      <c r="AT1861" s="73">
        <v>0</v>
      </c>
      <c r="AU1861" s="74" t="s">
        <v>204</v>
      </c>
      <c r="AV1861" s="74"/>
      <c r="AW1861" s="35" t="s">
        <v>747</v>
      </c>
      <c r="AX1861" s="74" t="s">
        <v>255</v>
      </c>
      <c r="AY1861" s="74">
        <v>12000006</v>
      </c>
      <c r="AZ1861" s="127">
        <v>20000025</v>
      </c>
      <c r="BA1861" s="88" t="s">
        <v>256</v>
      </c>
      <c r="BB1861" s="88" t="s">
        <v>204</v>
      </c>
      <c r="BC1861" s="75">
        <v>0</v>
      </c>
      <c r="BD1861" s="75">
        <v>0</v>
      </c>
      <c r="BE1861" s="76"/>
      <c r="BF1861" s="76"/>
      <c r="BG1861" s="74">
        <v>0</v>
      </c>
      <c r="BH1861" s="74">
        <v>0</v>
      </c>
      <c r="BI1861" s="74">
        <v>0</v>
      </c>
      <c r="BJ1861" s="74">
        <v>0</v>
      </c>
      <c r="BK1861" s="74">
        <v>0</v>
      </c>
      <c r="BL1861" s="74">
        <v>0</v>
      </c>
      <c r="BM1861" s="74">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74">
        <v>70000007</v>
      </c>
      <c r="D1862" s="88" t="s">
        <v>4402</v>
      </c>
      <c r="E1862" s="88" t="s">
        <v>4403</v>
      </c>
      <c r="F1862" s="32">
        <v>1</v>
      </c>
      <c r="G1862" s="32">
        <v>60010500</v>
      </c>
      <c r="H1862" s="32">
        <v>60000302</v>
      </c>
      <c r="I1862" s="31">
        <v>0</v>
      </c>
      <c r="J1862" s="32">
        <v>1</v>
      </c>
      <c r="K1862" s="32">
        <v>3</v>
      </c>
      <c r="L1862" s="21">
        <v>0</v>
      </c>
      <c r="M1862" s="32">
        <v>0</v>
      </c>
      <c r="N1862" s="32">
        <v>0</v>
      </c>
      <c r="O1862" s="32">
        <v>1</v>
      </c>
      <c r="P1862" s="32">
        <v>0</v>
      </c>
      <c r="Q1862" s="32">
        <v>0</v>
      </c>
      <c r="R1862" s="32">
        <v>0</v>
      </c>
      <c r="S1862" s="19">
        <v>0</v>
      </c>
      <c r="T1862" s="32">
        <v>0</v>
      </c>
      <c r="U1862" s="21">
        <v>0</v>
      </c>
      <c r="V1862" s="32">
        <v>1</v>
      </c>
      <c r="W1862" s="32">
        <v>0</v>
      </c>
      <c r="X1862" s="32">
        <v>1</v>
      </c>
      <c r="Y1862" s="19">
        <v>0</v>
      </c>
      <c r="Z1862" s="32">
        <v>0</v>
      </c>
      <c r="AA1862" s="32">
        <v>0</v>
      </c>
      <c r="AB1862" s="32">
        <v>0</v>
      </c>
      <c r="AC1862" s="32">
        <v>0</v>
      </c>
      <c r="AD1862" s="32">
        <v>1</v>
      </c>
      <c r="AE1862" s="32">
        <v>0</v>
      </c>
      <c r="AF1862" s="32">
        <v>1</v>
      </c>
      <c r="AG1862" s="32">
        <v>0</v>
      </c>
      <c r="AH1862" s="32">
        <v>0</v>
      </c>
      <c r="AI1862" s="19">
        <v>7</v>
      </c>
      <c r="AJ1862" s="19">
        <v>0</v>
      </c>
      <c r="AK1862" s="19">
        <v>0</v>
      </c>
      <c r="AL1862" s="19">
        <v>9</v>
      </c>
      <c r="AM1862" s="32">
        <v>0</v>
      </c>
      <c r="AN1862" s="32">
        <v>0</v>
      </c>
      <c r="AO1862" s="34">
        <v>0</v>
      </c>
      <c r="AP1862" s="21">
        <v>0.1</v>
      </c>
      <c r="AQ1862" s="32">
        <v>3000</v>
      </c>
      <c r="AR1862" s="32">
        <v>0.5</v>
      </c>
      <c r="AS1862" s="32">
        <v>20</v>
      </c>
      <c r="AT1862" s="19">
        <v>0</v>
      </c>
      <c r="AU1862" s="32" t="s">
        <v>204</v>
      </c>
      <c r="AV1862" s="32"/>
      <c r="AW1862" s="35" t="s">
        <v>747</v>
      </c>
      <c r="AX1862" s="32" t="s">
        <v>255</v>
      </c>
      <c r="AY1862" s="32">
        <v>12000006</v>
      </c>
      <c r="AZ1862" s="26">
        <v>20100210</v>
      </c>
      <c r="BA1862" s="35" t="s">
        <v>256</v>
      </c>
      <c r="BB1862" s="35" t="s">
        <v>204</v>
      </c>
      <c r="BC1862" s="31">
        <v>0</v>
      </c>
      <c r="BD1862" s="31">
        <v>0</v>
      </c>
      <c r="BE1862" s="33"/>
      <c r="BF1862" s="33"/>
      <c r="BG1862" s="32">
        <v>0</v>
      </c>
      <c r="BH1862" s="32">
        <v>0</v>
      </c>
      <c r="BI1862" s="32">
        <v>0</v>
      </c>
      <c r="BJ1862" s="32">
        <v>0</v>
      </c>
      <c r="BK1862" s="32">
        <v>0</v>
      </c>
      <c r="BL1862" s="32">
        <v>0</v>
      </c>
      <c r="BM1862" s="32">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70000008</v>
      </c>
      <c r="D1863" s="88" t="s">
        <v>4404</v>
      </c>
      <c r="E1863" s="88" t="s">
        <v>4405</v>
      </c>
      <c r="F1863" s="74">
        <v>1</v>
      </c>
      <c r="G1863" s="74">
        <v>60010500</v>
      </c>
      <c r="H1863" s="74">
        <v>0</v>
      </c>
      <c r="I1863" s="75">
        <v>0</v>
      </c>
      <c r="J1863" s="74">
        <v>1</v>
      </c>
      <c r="K1863" s="74">
        <v>0</v>
      </c>
      <c r="L1863" s="72">
        <v>0</v>
      </c>
      <c r="M1863" s="74">
        <v>0</v>
      </c>
      <c r="N1863" s="74">
        <v>0</v>
      </c>
      <c r="O1863" s="74">
        <v>1</v>
      </c>
      <c r="P1863" s="74">
        <v>0</v>
      </c>
      <c r="Q1863" s="74">
        <v>0</v>
      </c>
      <c r="R1863" s="74">
        <v>0</v>
      </c>
      <c r="S1863" s="19">
        <v>0</v>
      </c>
      <c r="T1863" s="74">
        <v>0</v>
      </c>
      <c r="U1863" s="72">
        <v>0</v>
      </c>
      <c r="V1863" s="74">
        <v>1</v>
      </c>
      <c r="W1863" s="74">
        <v>0</v>
      </c>
      <c r="X1863" s="74">
        <v>1</v>
      </c>
      <c r="Y1863" s="19">
        <v>0</v>
      </c>
      <c r="Z1863" s="74">
        <v>0</v>
      </c>
      <c r="AA1863" s="74">
        <v>0</v>
      </c>
      <c r="AB1863" s="74">
        <v>0</v>
      </c>
      <c r="AC1863" s="74">
        <v>0</v>
      </c>
      <c r="AD1863" s="74">
        <v>1</v>
      </c>
      <c r="AE1863" s="74">
        <v>0</v>
      </c>
      <c r="AF1863" s="74">
        <v>1</v>
      </c>
      <c r="AG1863" s="74">
        <v>1</v>
      </c>
      <c r="AH1863" s="74">
        <v>9</v>
      </c>
      <c r="AI1863" s="73">
        <v>7</v>
      </c>
      <c r="AJ1863" s="73">
        <v>0</v>
      </c>
      <c r="AK1863" s="19">
        <v>0</v>
      </c>
      <c r="AL1863" s="73">
        <v>9</v>
      </c>
      <c r="AM1863" s="74">
        <v>0</v>
      </c>
      <c r="AN1863" s="74">
        <v>0</v>
      </c>
      <c r="AO1863" s="74">
        <v>0</v>
      </c>
      <c r="AP1863" s="74">
        <v>0.5</v>
      </c>
      <c r="AQ1863" s="74">
        <v>3000</v>
      </c>
      <c r="AR1863" s="74">
        <v>0.5</v>
      </c>
      <c r="AS1863" s="74">
        <v>20</v>
      </c>
      <c r="AT1863" s="73">
        <v>0</v>
      </c>
      <c r="AU1863" s="74" t="s">
        <v>204</v>
      </c>
      <c r="AV1863" s="74"/>
      <c r="AW1863" s="35" t="s">
        <v>747</v>
      </c>
      <c r="AX1863" s="74" t="s">
        <v>255</v>
      </c>
      <c r="AY1863" s="74">
        <v>12000006</v>
      </c>
      <c r="AZ1863" s="127">
        <v>20000025</v>
      </c>
      <c r="BA1863" s="88" t="s">
        <v>256</v>
      </c>
      <c r="BB1863" s="88" t="s">
        <v>204</v>
      </c>
      <c r="BC1863" s="75">
        <v>0</v>
      </c>
      <c r="BD1863" s="75">
        <v>0</v>
      </c>
      <c r="BE1863" s="76"/>
      <c r="BF1863" s="76"/>
      <c r="BG1863" s="74">
        <v>0</v>
      </c>
      <c r="BH1863" s="74">
        <v>0</v>
      </c>
      <c r="BI1863" s="74">
        <v>0</v>
      </c>
      <c r="BJ1863" s="74">
        <v>0</v>
      </c>
      <c r="BK1863" s="74">
        <v>0</v>
      </c>
      <c r="BL1863" s="74">
        <v>0</v>
      </c>
      <c r="BM1863" s="74">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74">
        <v>70000009</v>
      </c>
      <c r="D1864" s="88" t="s">
        <v>4402</v>
      </c>
      <c r="E1864" s="88" t="s">
        <v>4403</v>
      </c>
      <c r="F1864" s="32">
        <v>1</v>
      </c>
      <c r="G1864" s="32">
        <v>60010500</v>
      </c>
      <c r="H1864" s="32">
        <v>60000302</v>
      </c>
      <c r="I1864" s="31">
        <v>0</v>
      </c>
      <c r="J1864" s="32">
        <v>1</v>
      </c>
      <c r="K1864" s="32">
        <v>3</v>
      </c>
      <c r="L1864" s="21">
        <v>0</v>
      </c>
      <c r="M1864" s="32">
        <v>0</v>
      </c>
      <c r="N1864" s="32">
        <v>0</v>
      </c>
      <c r="O1864" s="32">
        <v>1</v>
      </c>
      <c r="P1864" s="32">
        <v>0</v>
      </c>
      <c r="Q1864" s="32">
        <v>0</v>
      </c>
      <c r="R1864" s="32">
        <v>0</v>
      </c>
      <c r="S1864" s="19">
        <v>0</v>
      </c>
      <c r="T1864" s="32">
        <v>0</v>
      </c>
      <c r="U1864" s="21">
        <v>0</v>
      </c>
      <c r="V1864" s="32">
        <v>1</v>
      </c>
      <c r="W1864" s="32">
        <v>0</v>
      </c>
      <c r="X1864" s="32">
        <v>1</v>
      </c>
      <c r="Y1864" s="19">
        <v>0</v>
      </c>
      <c r="Z1864" s="32">
        <v>0</v>
      </c>
      <c r="AA1864" s="32">
        <v>0</v>
      </c>
      <c r="AB1864" s="32">
        <v>0</v>
      </c>
      <c r="AC1864" s="32">
        <v>0</v>
      </c>
      <c r="AD1864" s="32">
        <v>1</v>
      </c>
      <c r="AE1864" s="32">
        <v>0</v>
      </c>
      <c r="AF1864" s="32">
        <v>1</v>
      </c>
      <c r="AG1864" s="32">
        <v>0</v>
      </c>
      <c r="AH1864" s="32">
        <v>0</v>
      </c>
      <c r="AI1864" s="19">
        <v>7</v>
      </c>
      <c r="AJ1864" s="19">
        <v>0</v>
      </c>
      <c r="AK1864" s="19">
        <v>0</v>
      </c>
      <c r="AL1864" s="19">
        <v>9</v>
      </c>
      <c r="AM1864" s="32">
        <v>0</v>
      </c>
      <c r="AN1864" s="32">
        <v>0</v>
      </c>
      <c r="AO1864" s="34">
        <v>0</v>
      </c>
      <c r="AP1864" s="21">
        <v>0.1</v>
      </c>
      <c r="AQ1864" s="32">
        <v>3000</v>
      </c>
      <c r="AR1864" s="32">
        <v>0.5</v>
      </c>
      <c r="AS1864" s="32">
        <v>20</v>
      </c>
      <c r="AT1864" s="19">
        <v>0</v>
      </c>
      <c r="AU1864" s="32" t="s">
        <v>204</v>
      </c>
      <c r="AV1864" s="32"/>
      <c r="AW1864" s="35" t="s">
        <v>747</v>
      </c>
      <c r="AX1864" s="32" t="s">
        <v>255</v>
      </c>
      <c r="AY1864" s="32">
        <v>12000006</v>
      </c>
      <c r="AZ1864" s="26">
        <v>20000040</v>
      </c>
      <c r="BA1864" s="35" t="s">
        <v>256</v>
      </c>
      <c r="BB1864" s="35" t="s">
        <v>204</v>
      </c>
      <c r="BC1864" s="31">
        <v>0</v>
      </c>
      <c r="BD1864" s="31">
        <v>0</v>
      </c>
      <c r="BE1864" s="33"/>
      <c r="BF1864" s="33"/>
      <c r="BG1864" s="32">
        <v>0</v>
      </c>
      <c r="BH1864" s="32">
        <v>0</v>
      </c>
      <c r="BI1864" s="32">
        <v>0</v>
      </c>
      <c r="BJ1864" s="32">
        <v>0</v>
      </c>
      <c r="BK1864" s="32">
        <v>0</v>
      </c>
      <c r="BL1864" s="32">
        <v>0</v>
      </c>
      <c r="BM1864" s="32">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32">
        <v>70000011</v>
      </c>
      <c r="D1865" s="35" t="s">
        <v>4406</v>
      </c>
      <c r="E1865" s="35" t="s">
        <v>4407</v>
      </c>
      <c r="F1865" s="32">
        <v>1</v>
      </c>
      <c r="G1865" s="32">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1000</v>
      </c>
      <c r="AR1865" s="32">
        <v>0.5</v>
      </c>
      <c r="AS1865" s="32">
        <v>0</v>
      </c>
      <c r="AT1865" s="19">
        <v>0</v>
      </c>
      <c r="AU1865" s="32" t="s">
        <v>204</v>
      </c>
      <c r="AV1865" s="32"/>
      <c r="AW1865" s="35" t="s">
        <v>747</v>
      </c>
      <c r="AX1865" s="74">
        <v>0</v>
      </c>
      <c r="AY1865" s="26">
        <v>12000006</v>
      </c>
      <c r="AZ1865" s="32">
        <v>0</v>
      </c>
      <c r="BA1865" s="35" t="s">
        <v>206</v>
      </c>
      <c r="BB1865" s="35" t="s">
        <v>204</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74">
        <v>70000012</v>
      </c>
      <c r="D1866" s="88" t="s">
        <v>4408</v>
      </c>
      <c r="E1866" s="88" t="s">
        <v>4409</v>
      </c>
      <c r="F1866" s="74">
        <v>1</v>
      </c>
      <c r="G1866" s="74">
        <v>60010500</v>
      </c>
      <c r="H1866" s="74">
        <v>0</v>
      </c>
      <c r="I1866" s="75">
        <v>0</v>
      </c>
      <c r="J1866" s="74">
        <v>1</v>
      </c>
      <c r="K1866" s="74">
        <v>0</v>
      </c>
      <c r="L1866" s="72">
        <v>0</v>
      </c>
      <c r="M1866" s="74">
        <v>0</v>
      </c>
      <c r="N1866" s="74">
        <v>0</v>
      </c>
      <c r="O1866" s="74">
        <v>1</v>
      </c>
      <c r="P1866" s="74">
        <v>0</v>
      </c>
      <c r="Q1866" s="74">
        <v>0</v>
      </c>
      <c r="R1866" s="74">
        <v>0</v>
      </c>
      <c r="S1866" s="19">
        <v>0</v>
      </c>
      <c r="T1866" s="74">
        <v>0</v>
      </c>
      <c r="U1866" s="72">
        <v>0</v>
      </c>
      <c r="V1866" s="74">
        <v>2</v>
      </c>
      <c r="W1866" s="74">
        <v>0</v>
      </c>
      <c r="X1866" s="74">
        <v>1</v>
      </c>
      <c r="Y1866" s="19">
        <v>0</v>
      </c>
      <c r="Z1866" s="74">
        <v>0</v>
      </c>
      <c r="AA1866" s="74">
        <v>0</v>
      </c>
      <c r="AB1866" s="74">
        <v>0</v>
      </c>
      <c r="AC1866" s="74">
        <v>0</v>
      </c>
      <c r="AD1866" s="74">
        <v>1</v>
      </c>
      <c r="AE1866" s="74">
        <v>0</v>
      </c>
      <c r="AF1866" s="74">
        <v>1</v>
      </c>
      <c r="AG1866" s="74">
        <v>1</v>
      </c>
      <c r="AH1866" s="74">
        <v>9</v>
      </c>
      <c r="AI1866" s="73">
        <v>7</v>
      </c>
      <c r="AJ1866" s="73">
        <v>0</v>
      </c>
      <c r="AK1866" s="19">
        <v>0</v>
      </c>
      <c r="AL1866" s="73">
        <v>9</v>
      </c>
      <c r="AM1866" s="74">
        <v>0</v>
      </c>
      <c r="AN1866" s="74">
        <v>0</v>
      </c>
      <c r="AO1866" s="74">
        <v>0</v>
      </c>
      <c r="AP1866" s="74">
        <v>0.5</v>
      </c>
      <c r="AQ1866" s="74">
        <v>3000</v>
      </c>
      <c r="AR1866" s="74">
        <v>0.2</v>
      </c>
      <c r="AS1866" s="74">
        <v>20</v>
      </c>
      <c r="AT1866" s="73">
        <v>0</v>
      </c>
      <c r="AU1866" s="74" t="s">
        <v>204</v>
      </c>
      <c r="AV1866" s="74"/>
      <c r="AW1866" s="35" t="s">
        <v>747</v>
      </c>
      <c r="AX1866" s="74" t="s">
        <v>255</v>
      </c>
      <c r="AY1866" s="74">
        <v>12000006</v>
      </c>
      <c r="AZ1866" s="127">
        <v>20000025</v>
      </c>
      <c r="BA1866" s="88" t="s">
        <v>256</v>
      </c>
      <c r="BB1866" s="88" t="s">
        <v>204</v>
      </c>
      <c r="BC1866" s="75">
        <v>0</v>
      </c>
      <c r="BD1866" s="75">
        <v>0</v>
      </c>
      <c r="BE1866" s="76"/>
      <c r="BF1866" s="76"/>
      <c r="BG1866" s="74">
        <v>0</v>
      </c>
      <c r="BH1866" s="74">
        <v>0</v>
      </c>
      <c r="BI1866" s="74">
        <v>0</v>
      </c>
      <c r="BJ1866" s="74">
        <v>0</v>
      </c>
      <c r="BK1866" s="74">
        <v>0</v>
      </c>
      <c r="BL1866" s="74">
        <v>0</v>
      </c>
      <c r="BM1866" s="74">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70000101</v>
      </c>
      <c r="D1867" s="35" t="s">
        <v>4392</v>
      </c>
      <c r="E1867" s="35" t="s">
        <v>4393</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0.05</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70000102</v>
      </c>
      <c r="D1868" s="35" t="s">
        <v>4392</v>
      </c>
      <c r="E1868" s="35" t="s">
        <v>4393</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0.1</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70000103</v>
      </c>
      <c r="D1869" s="35" t="s">
        <v>4392</v>
      </c>
      <c r="E1869" s="35" t="s">
        <v>4393</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0.15</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70000104</v>
      </c>
      <c r="D1870" s="35" t="s">
        <v>4392</v>
      </c>
      <c r="E1870" s="35" t="s">
        <v>4393</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0.2</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70000105</v>
      </c>
      <c r="D1871" s="35" t="s">
        <v>4392</v>
      </c>
      <c r="E1871" s="35" t="s">
        <v>4393</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0.25</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70000106</v>
      </c>
      <c r="D1872" s="35" t="s">
        <v>4392</v>
      </c>
      <c r="E1872" s="35" t="s">
        <v>4393</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0.3</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70000107</v>
      </c>
      <c r="D1873" s="35" t="s">
        <v>4392</v>
      </c>
      <c r="E1873" s="35" t="s">
        <v>4393</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0.35</v>
      </c>
      <c r="AS1873" s="32">
        <v>0</v>
      </c>
      <c r="AT1873" s="19">
        <v>0</v>
      </c>
      <c r="AU1873" s="32" t="s">
        <v>204</v>
      </c>
      <c r="AV1873" s="32"/>
      <c r="AW1873" s="35" t="s">
        <v>747</v>
      </c>
      <c r="AX1873" s="32">
        <v>0</v>
      </c>
      <c r="AY1873" s="74">
        <v>12000006</v>
      </c>
      <c r="AZ1873" s="32">
        <v>0</v>
      </c>
      <c r="BA1873" s="35" t="s">
        <v>206</v>
      </c>
      <c r="BB1873" s="35" t="s">
        <v>204</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20.100000000000001" customHeight="1">
      <c r="C1874" s="32">
        <v>70000108</v>
      </c>
      <c r="D1874" s="35" t="s">
        <v>4392</v>
      </c>
      <c r="E1874" s="35" t="s">
        <v>4393</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0.4</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70000109</v>
      </c>
      <c r="D1875" s="35" t="s">
        <v>4392</v>
      </c>
      <c r="E1875" s="35" t="s">
        <v>4393</v>
      </c>
      <c r="F1875" s="32">
        <v>1</v>
      </c>
      <c r="G1875" s="69">
        <v>0</v>
      </c>
      <c r="H1875" s="32">
        <v>0</v>
      </c>
      <c r="I1875" s="31">
        <v>0</v>
      </c>
      <c r="J1875" s="32">
        <v>1</v>
      </c>
      <c r="K1875" s="32">
        <v>0</v>
      </c>
      <c r="L1875" s="32">
        <v>0</v>
      </c>
      <c r="M1875" s="32">
        <v>0</v>
      </c>
      <c r="N1875" s="32">
        <v>0</v>
      </c>
      <c r="O1875" s="32">
        <v>1</v>
      </c>
      <c r="P1875" s="32">
        <v>0</v>
      </c>
      <c r="Q1875" s="32">
        <v>0</v>
      </c>
      <c r="R1875" s="32">
        <v>0</v>
      </c>
      <c r="S1875" s="19">
        <v>0</v>
      </c>
      <c r="T1875" s="31">
        <v>0</v>
      </c>
      <c r="U1875" s="21">
        <v>0</v>
      </c>
      <c r="V1875" s="32">
        <v>1</v>
      </c>
      <c r="W1875" s="32">
        <v>0</v>
      </c>
      <c r="X1875" s="32">
        <v>1</v>
      </c>
      <c r="Y1875" s="19">
        <v>0</v>
      </c>
      <c r="Z1875" s="32">
        <v>0</v>
      </c>
      <c r="AA1875" s="32">
        <v>0</v>
      </c>
      <c r="AB1875" s="32">
        <v>0</v>
      </c>
      <c r="AC1875" s="32">
        <v>0</v>
      </c>
      <c r="AD1875" s="32">
        <v>1</v>
      </c>
      <c r="AE1875" s="32">
        <v>0</v>
      </c>
      <c r="AF1875" s="32">
        <v>1</v>
      </c>
      <c r="AG1875" s="32">
        <v>1</v>
      </c>
      <c r="AH1875" s="32">
        <v>2</v>
      </c>
      <c r="AI1875" s="19">
        <v>7</v>
      </c>
      <c r="AJ1875" s="19">
        <v>0</v>
      </c>
      <c r="AK1875" s="19">
        <v>0</v>
      </c>
      <c r="AL1875" s="19">
        <v>0</v>
      </c>
      <c r="AM1875" s="32">
        <v>0</v>
      </c>
      <c r="AN1875" s="32">
        <v>0</v>
      </c>
      <c r="AO1875" s="32">
        <v>0</v>
      </c>
      <c r="AP1875" s="32">
        <v>0</v>
      </c>
      <c r="AQ1875" s="32">
        <v>700</v>
      </c>
      <c r="AR1875" s="32">
        <v>0.45</v>
      </c>
      <c r="AS1875" s="32">
        <v>0</v>
      </c>
      <c r="AT1875" s="19">
        <v>0</v>
      </c>
      <c r="AU1875" s="32" t="s">
        <v>204</v>
      </c>
      <c r="AV1875" s="32"/>
      <c r="AW1875" s="35" t="s">
        <v>747</v>
      </c>
      <c r="AX1875" s="32">
        <v>0</v>
      </c>
      <c r="AY1875" s="74">
        <v>12000006</v>
      </c>
      <c r="AZ1875" s="32">
        <v>0</v>
      </c>
      <c r="BA1875" s="35" t="s">
        <v>206</v>
      </c>
      <c r="BB1875" s="35" t="s">
        <v>204</v>
      </c>
      <c r="BC1875" s="31">
        <v>0</v>
      </c>
      <c r="BD1875" s="31">
        <v>0</v>
      </c>
      <c r="BE1875" s="60"/>
      <c r="BF1875" s="60"/>
      <c r="BG1875" s="32">
        <v>0</v>
      </c>
      <c r="BH1875" s="21">
        <v>0</v>
      </c>
      <c r="BI1875" s="32">
        <v>0</v>
      </c>
      <c r="BJ1875" s="32">
        <v>0</v>
      </c>
      <c r="BK1875" s="32">
        <v>0</v>
      </c>
      <c r="BL1875" s="32">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20.100000000000001" customHeight="1">
      <c r="C1876" s="32">
        <v>70000110</v>
      </c>
      <c r="D1876" s="35" t="s">
        <v>4392</v>
      </c>
      <c r="E1876" s="35" t="s">
        <v>4393</v>
      </c>
      <c r="F1876" s="32">
        <v>1</v>
      </c>
      <c r="G1876" s="69">
        <v>0</v>
      </c>
      <c r="H1876" s="32">
        <v>0</v>
      </c>
      <c r="I1876" s="31">
        <v>0</v>
      </c>
      <c r="J1876" s="32">
        <v>1</v>
      </c>
      <c r="K1876" s="32">
        <v>0</v>
      </c>
      <c r="L1876" s="32">
        <v>0</v>
      </c>
      <c r="M1876" s="32">
        <v>0</v>
      </c>
      <c r="N1876" s="32">
        <v>0</v>
      </c>
      <c r="O1876" s="32">
        <v>1</v>
      </c>
      <c r="P1876" s="32">
        <v>0</v>
      </c>
      <c r="Q1876" s="32">
        <v>0</v>
      </c>
      <c r="R1876" s="32">
        <v>0</v>
      </c>
      <c r="S1876" s="19">
        <v>0</v>
      </c>
      <c r="T1876" s="31">
        <v>0</v>
      </c>
      <c r="U1876" s="21">
        <v>0</v>
      </c>
      <c r="V1876" s="32">
        <v>1</v>
      </c>
      <c r="W1876" s="32">
        <v>0</v>
      </c>
      <c r="X1876" s="32">
        <v>1</v>
      </c>
      <c r="Y1876" s="19">
        <v>0</v>
      </c>
      <c r="Z1876" s="32">
        <v>0</v>
      </c>
      <c r="AA1876" s="32">
        <v>0</v>
      </c>
      <c r="AB1876" s="32">
        <v>0</v>
      </c>
      <c r="AC1876" s="32">
        <v>0</v>
      </c>
      <c r="AD1876" s="32">
        <v>1</v>
      </c>
      <c r="AE1876" s="32">
        <v>0</v>
      </c>
      <c r="AF1876" s="32">
        <v>1</v>
      </c>
      <c r="AG1876" s="32">
        <v>1</v>
      </c>
      <c r="AH1876" s="32">
        <v>2</v>
      </c>
      <c r="AI1876" s="19">
        <v>7</v>
      </c>
      <c r="AJ1876" s="19">
        <v>0</v>
      </c>
      <c r="AK1876" s="19">
        <v>0</v>
      </c>
      <c r="AL1876" s="19">
        <v>0</v>
      </c>
      <c r="AM1876" s="32">
        <v>0</v>
      </c>
      <c r="AN1876" s="32">
        <v>0</v>
      </c>
      <c r="AO1876" s="32">
        <v>0</v>
      </c>
      <c r="AP1876" s="32">
        <v>0</v>
      </c>
      <c r="AQ1876" s="32">
        <v>700</v>
      </c>
      <c r="AR1876" s="32">
        <v>0.5</v>
      </c>
      <c r="AS1876" s="32">
        <v>0</v>
      </c>
      <c r="AT1876" s="19">
        <v>0</v>
      </c>
      <c r="AU1876" s="32">
        <v>0</v>
      </c>
      <c r="AV1876" s="32"/>
      <c r="AW1876" s="35" t="s">
        <v>747</v>
      </c>
      <c r="AX1876" s="32">
        <v>0</v>
      </c>
      <c r="AY1876" s="74">
        <v>12000006</v>
      </c>
      <c r="AZ1876" s="32">
        <v>0</v>
      </c>
      <c r="BA1876" s="35" t="s">
        <v>206</v>
      </c>
      <c r="BB1876" s="35" t="s">
        <v>377</v>
      </c>
      <c r="BC1876" s="31">
        <v>0</v>
      </c>
      <c r="BD1876" s="31">
        <v>0</v>
      </c>
      <c r="BE1876" s="60"/>
      <c r="BF1876" s="60"/>
      <c r="BG1876" s="32">
        <v>0</v>
      </c>
      <c r="BH1876" s="21">
        <v>0</v>
      </c>
      <c r="BI1876" s="32">
        <v>0</v>
      </c>
      <c r="BJ1876" s="32">
        <v>0</v>
      </c>
      <c r="BK1876" s="32">
        <v>0</v>
      </c>
      <c r="BL1876" s="32">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19.5" customHeight="1">
      <c r="C1877" s="32">
        <v>70000111</v>
      </c>
      <c r="D1877" s="35" t="s">
        <v>4392</v>
      </c>
      <c r="E1877" s="35" t="s">
        <v>4393</v>
      </c>
      <c r="F1877" s="32">
        <v>1</v>
      </c>
      <c r="G1877" s="69">
        <v>0</v>
      </c>
      <c r="H1877" s="32">
        <v>0</v>
      </c>
      <c r="I1877" s="31">
        <v>0</v>
      </c>
      <c r="J1877" s="32">
        <v>1</v>
      </c>
      <c r="K1877" s="32">
        <v>0</v>
      </c>
      <c r="L1877" s="32">
        <v>0</v>
      </c>
      <c r="M1877" s="32">
        <v>0</v>
      </c>
      <c r="N1877" s="32">
        <v>0</v>
      </c>
      <c r="O1877" s="32">
        <v>1</v>
      </c>
      <c r="P1877" s="32">
        <v>0</v>
      </c>
      <c r="Q1877" s="32">
        <v>0</v>
      </c>
      <c r="R1877" s="32">
        <v>0</v>
      </c>
      <c r="S1877" s="19">
        <v>0</v>
      </c>
      <c r="T1877" s="31">
        <v>0</v>
      </c>
      <c r="U1877" s="21">
        <v>0</v>
      </c>
      <c r="V1877" s="32">
        <v>1</v>
      </c>
      <c r="W1877" s="32">
        <v>0</v>
      </c>
      <c r="X1877" s="32">
        <v>1</v>
      </c>
      <c r="Y1877" s="19">
        <v>0</v>
      </c>
      <c r="Z1877" s="32">
        <v>0</v>
      </c>
      <c r="AA1877" s="32">
        <v>0</v>
      </c>
      <c r="AB1877" s="32">
        <v>0</v>
      </c>
      <c r="AC1877" s="32">
        <v>0</v>
      </c>
      <c r="AD1877" s="32">
        <v>1</v>
      </c>
      <c r="AE1877" s="32">
        <v>0</v>
      </c>
      <c r="AF1877" s="32">
        <v>1</v>
      </c>
      <c r="AG1877" s="32">
        <v>1</v>
      </c>
      <c r="AH1877" s="32">
        <v>2</v>
      </c>
      <c r="AI1877" s="19">
        <v>7</v>
      </c>
      <c r="AJ1877" s="19">
        <v>0</v>
      </c>
      <c r="AK1877" s="19">
        <v>0</v>
      </c>
      <c r="AL1877" s="19">
        <v>0</v>
      </c>
      <c r="AM1877" s="32">
        <v>0</v>
      </c>
      <c r="AN1877" s="32">
        <v>0</v>
      </c>
      <c r="AO1877" s="32">
        <v>0</v>
      </c>
      <c r="AP1877" s="32">
        <v>0</v>
      </c>
      <c r="AQ1877" s="32">
        <v>700</v>
      </c>
      <c r="AR1877" s="32">
        <v>0.8</v>
      </c>
      <c r="AS1877" s="32">
        <v>0</v>
      </c>
      <c r="AT1877" s="19">
        <v>0</v>
      </c>
      <c r="AU1877" s="32" t="s">
        <v>204</v>
      </c>
      <c r="AV1877" s="32"/>
      <c r="AW1877" s="35" t="s">
        <v>747</v>
      </c>
      <c r="AX1877" s="32">
        <v>0</v>
      </c>
      <c r="AY1877" s="74">
        <v>12000006</v>
      </c>
      <c r="AZ1877" s="32">
        <v>0</v>
      </c>
      <c r="BA1877" s="35" t="s">
        <v>206</v>
      </c>
      <c r="BB1877" s="35" t="s">
        <v>204</v>
      </c>
      <c r="BC1877" s="31">
        <v>0</v>
      </c>
      <c r="BD1877" s="31">
        <v>0</v>
      </c>
      <c r="BE1877" s="60"/>
      <c r="BF1877" s="60"/>
      <c r="BG1877" s="32">
        <v>0</v>
      </c>
      <c r="BH1877" s="21">
        <v>0</v>
      </c>
      <c r="BI1877" s="32">
        <v>0</v>
      </c>
      <c r="BJ1877" s="32">
        <v>0</v>
      </c>
      <c r="BK1877" s="32">
        <v>0</v>
      </c>
      <c r="BL1877" s="32">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70001001</v>
      </c>
      <c r="D1878" s="30" t="s">
        <v>604</v>
      </c>
      <c r="E1878" s="30" t="s">
        <v>1168</v>
      </c>
      <c r="F1878" s="32">
        <v>1</v>
      </c>
      <c r="G1878" s="21">
        <v>60010300</v>
      </c>
      <c r="H1878" s="32">
        <v>0</v>
      </c>
      <c r="I1878" s="31">
        <v>0</v>
      </c>
      <c r="J1878" s="32">
        <v>1</v>
      </c>
      <c r="K1878" s="32">
        <v>0</v>
      </c>
      <c r="L1878" s="32">
        <v>0</v>
      </c>
      <c r="M1878" s="21">
        <v>0</v>
      </c>
      <c r="N1878" s="21">
        <v>0</v>
      </c>
      <c r="O1878" s="21">
        <v>2</v>
      </c>
      <c r="P1878" s="21">
        <v>1</v>
      </c>
      <c r="Q1878" s="21">
        <v>0.3</v>
      </c>
      <c r="R1878" s="21">
        <v>0</v>
      </c>
      <c r="S1878" s="19">
        <v>0</v>
      </c>
      <c r="T1878" s="21">
        <v>0</v>
      </c>
      <c r="U1878" s="21">
        <v>1</v>
      </c>
      <c r="V1878" s="21">
        <v>2</v>
      </c>
      <c r="W1878" s="21">
        <v>0</v>
      </c>
      <c r="X1878" s="21">
        <v>3</v>
      </c>
      <c r="Y1878" s="19">
        <v>0</v>
      </c>
      <c r="Z1878" s="21">
        <v>350</v>
      </c>
      <c r="AA1878" s="21">
        <v>0</v>
      </c>
      <c r="AB1878" s="21">
        <v>0</v>
      </c>
      <c r="AC1878" s="21">
        <v>0</v>
      </c>
      <c r="AD1878" s="21">
        <v>0</v>
      </c>
      <c r="AE1878" s="21">
        <v>0</v>
      </c>
      <c r="AF1878" s="21">
        <v>9</v>
      </c>
      <c r="AG1878" s="21">
        <v>2</v>
      </c>
      <c r="AH1878" s="21" t="s">
        <v>219</v>
      </c>
      <c r="AI1878" s="19">
        <v>0</v>
      </c>
      <c r="AJ1878" s="19">
        <v>2</v>
      </c>
      <c r="AK1878" s="19">
        <v>0</v>
      </c>
      <c r="AL1878" s="19">
        <v>1.5</v>
      </c>
      <c r="AM1878" s="21">
        <v>0</v>
      </c>
      <c r="AN1878" s="21">
        <v>0</v>
      </c>
      <c r="AO1878" s="21">
        <v>0</v>
      </c>
      <c r="AP1878" s="21">
        <v>1</v>
      </c>
      <c r="AQ1878" s="21">
        <v>3000</v>
      </c>
      <c r="AR1878" s="21">
        <v>0.5</v>
      </c>
      <c r="AS1878" s="21">
        <v>0</v>
      </c>
      <c r="AT1878" s="19">
        <v>0</v>
      </c>
      <c r="AU1878" s="21" t="s">
        <v>204</v>
      </c>
      <c r="AV1878" s="21"/>
      <c r="AW1878" s="30" t="s">
        <v>293</v>
      </c>
      <c r="AX1878" s="21" t="s">
        <v>551</v>
      </c>
      <c r="AY1878" s="32">
        <v>10000007</v>
      </c>
      <c r="AZ1878" s="32">
        <v>21000110</v>
      </c>
      <c r="BA1878" s="30" t="s">
        <v>206</v>
      </c>
      <c r="BB1878" s="21">
        <v>0</v>
      </c>
      <c r="BC1878" s="31">
        <v>0</v>
      </c>
      <c r="BD1878" s="31">
        <v>0</v>
      </c>
      <c r="BE1878" s="33" t="s">
        <v>583</v>
      </c>
      <c r="BF1878" s="33" t="s">
        <v>584</v>
      </c>
      <c r="BG1878" s="21">
        <v>0</v>
      </c>
      <c r="BH1878" s="21">
        <v>0</v>
      </c>
      <c r="BI1878" s="21">
        <v>0</v>
      </c>
      <c r="BJ1878" s="21">
        <v>0</v>
      </c>
      <c r="BK1878" s="21">
        <v>0</v>
      </c>
      <c r="BL1878" s="21">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0.100000000000001" customHeight="1">
      <c r="C1879" s="32">
        <v>70101001</v>
      </c>
      <c r="D1879" s="30" t="s">
        <v>595</v>
      </c>
      <c r="E1879" s="30" t="s">
        <v>596</v>
      </c>
      <c r="F1879" s="32">
        <v>1</v>
      </c>
      <c r="G1879" s="21">
        <v>60010300</v>
      </c>
      <c r="H1879" s="32">
        <v>0</v>
      </c>
      <c r="I1879" s="31">
        <v>0</v>
      </c>
      <c r="J1879" s="32">
        <v>1</v>
      </c>
      <c r="K1879" s="32">
        <v>0</v>
      </c>
      <c r="L1879" s="32">
        <v>0</v>
      </c>
      <c r="M1879" s="21">
        <v>0</v>
      </c>
      <c r="N1879" s="21">
        <v>0</v>
      </c>
      <c r="O1879" s="21">
        <v>2</v>
      </c>
      <c r="P1879" s="21">
        <v>2</v>
      </c>
      <c r="Q1879" s="21">
        <v>0.8</v>
      </c>
      <c r="R1879" s="21">
        <v>0</v>
      </c>
      <c r="S1879" s="19">
        <v>0</v>
      </c>
      <c r="T1879" s="21">
        <v>0</v>
      </c>
      <c r="U1879" s="21">
        <v>1</v>
      </c>
      <c r="V1879" s="21">
        <v>2</v>
      </c>
      <c r="W1879" s="21">
        <v>0</v>
      </c>
      <c r="X1879" s="21">
        <v>0</v>
      </c>
      <c r="Y1879" s="19">
        <v>0</v>
      </c>
      <c r="Z1879" s="21">
        <v>0</v>
      </c>
      <c r="AA1879" s="21">
        <v>0</v>
      </c>
      <c r="AB1879" s="21">
        <v>0</v>
      </c>
      <c r="AC1879" s="21">
        <v>0</v>
      </c>
      <c r="AD1879" s="21">
        <v>0</v>
      </c>
      <c r="AE1879" s="21">
        <v>0</v>
      </c>
      <c r="AF1879" s="21">
        <v>20</v>
      </c>
      <c r="AG1879" s="21">
        <v>0</v>
      </c>
      <c r="AH1879" s="21">
        <v>0</v>
      </c>
      <c r="AI1879" s="19">
        <v>2</v>
      </c>
      <c r="AJ1879" s="19">
        <v>2</v>
      </c>
      <c r="AK1879" s="19">
        <v>0</v>
      </c>
      <c r="AL1879" s="19">
        <v>1.5</v>
      </c>
      <c r="AM1879" s="21">
        <v>0</v>
      </c>
      <c r="AN1879" s="21">
        <v>0</v>
      </c>
      <c r="AO1879" s="21">
        <v>0</v>
      </c>
      <c r="AP1879" s="21">
        <v>1</v>
      </c>
      <c r="AQ1879" s="21">
        <v>3000</v>
      </c>
      <c r="AR1879" s="21">
        <v>0.5</v>
      </c>
      <c r="AS1879" s="21">
        <v>0</v>
      </c>
      <c r="AT1879" s="19">
        <v>0</v>
      </c>
      <c r="AU1879" s="21" t="s">
        <v>204</v>
      </c>
      <c r="AV1879" s="21"/>
      <c r="AW1879" s="30" t="s">
        <v>205</v>
      </c>
      <c r="AX1879" s="21" t="s">
        <v>551</v>
      </c>
      <c r="AY1879" s="32">
        <v>0</v>
      </c>
      <c r="AZ1879" s="32">
        <v>0</v>
      </c>
      <c r="BA1879" s="30" t="s">
        <v>534</v>
      </c>
      <c r="BB1879" s="21" t="s">
        <v>4410</v>
      </c>
      <c r="BC1879" s="31">
        <v>0</v>
      </c>
      <c r="BD1879" s="31">
        <v>0</v>
      </c>
      <c r="BE1879" s="33" t="s">
        <v>4411</v>
      </c>
      <c r="BF1879" s="33" t="s">
        <v>4412</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1.75" customHeight="1">
      <c r="C1880" s="32">
        <v>70102001</v>
      </c>
      <c r="D1880" s="30" t="s">
        <v>538</v>
      </c>
      <c r="E1880" s="30" t="s">
        <v>261</v>
      </c>
      <c r="F1880" s="32">
        <v>1</v>
      </c>
      <c r="G1880" s="21">
        <v>60010100</v>
      </c>
      <c r="H1880" s="32">
        <v>0</v>
      </c>
      <c r="I1880" s="31">
        <v>0</v>
      </c>
      <c r="J1880" s="32">
        <v>1</v>
      </c>
      <c r="K1880" s="32">
        <v>0</v>
      </c>
      <c r="L1880" s="32">
        <v>0</v>
      </c>
      <c r="M1880" s="21">
        <v>0</v>
      </c>
      <c r="N1880" s="21">
        <v>0</v>
      </c>
      <c r="O1880" s="21">
        <v>2</v>
      </c>
      <c r="P1880" s="21">
        <v>3</v>
      </c>
      <c r="Q1880" s="21">
        <v>1</v>
      </c>
      <c r="R1880" s="21">
        <v>0</v>
      </c>
      <c r="S1880" s="19">
        <v>0</v>
      </c>
      <c r="T1880" s="21">
        <v>0</v>
      </c>
      <c r="U1880" s="21">
        <v>1</v>
      </c>
      <c r="V1880" s="21">
        <v>2</v>
      </c>
      <c r="W1880" s="21">
        <v>0</v>
      </c>
      <c r="X1880" s="21">
        <v>3</v>
      </c>
      <c r="Y1880" s="19">
        <v>0</v>
      </c>
      <c r="Z1880" s="21">
        <v>0</v>
      </c>
      <c r="AA1880" s="21">
        <v>1</v>
      </c>
      <c r="AB1880" s="21">
        <v>0</v>
      </c>
      <c r="AC1880" s="21">
        <v>0</v>
      </c>
      <c r="AD1880" s="21">
        <v>0</v>
      </c>
      <c r="AE1880" s="21">
        <v>0</v>
      </c>
      <c r="AF1880" s="21">
        <v>9</v>
      </c>
      <c r="AG1880" s="21">
        <v>1</v>
      </c>
      <c r="AH1880" s="21">
        <v>4</v>
      </c>
      <c r="AI1880" s="19">
        <v>0</v>
      </c>
      <c r="AJ1880" s="19">
        <v>1</v>
      </c>
      <c r="AK1880" s="19">
        <v>0</v>
      </c>
      <c r="AL1880" s="19">
        <v>2</v>
      </c>
      <c r="AM1880" s="21">
        <v>0</v>
      </c>
      <c r="AN1880" s="21">
        <v>0</v>
      </c>
      <c r="AO1880" s="21">
        <v>0</v>
      </c>
      <c r="AP1880" s="21">
        <v>3</v>
      </c>
      <c r="AQ1880" s="21">
        <v>5000</v>
      </c>
      <c r="AR1880" s="21">
        <v>2.5</v>
      </c>
      <c r="AS1880" s="21">
        <v>0</v>
      </c>
      <c r="AT1880" s="19">
        <v>0</v>
      </c>
      <c r="AU1880" s="21" t="s">
        <v>539</v>
      </c>
      <c r="AV1880" s="21"/>
      <c r="AW1880" s="30" t="s">
        <v>293</v>
      </c>
      <c r="AX1880" s="21" t="s">
        <v>540</v>
      </c>
      <c r="AY1880" s="32">
        <v>10000007</v>
      </c>
      <c r="AZ1880" s="32">
        <v>70102001</v>
      </c>
      <c r="BA1880" s="30" t="s">
        <v>206</v>
      </c>
      <c r="BB1880" s="21" t="s">
        <v>4413</v>
      </c>
      <c r="BC1880" s="31">
        <v>0</v>
      </c>
      <c r="BD1880" s="31">
        <v>0</v>
      </c>
      <c r="BE1880" s="33" t="s">
        <v>542</v>
      </c>
      <c r="BF1880" s="33" t="s">
        <v>543</v>
      </c>
      <c r="BG1880" s="21">
        <v>0</v>
      </c>
      <c r="BH1880" s="21">
        <v>0</v>
      </c>
      <c r="BI1880" s="21">
        <v>0</v>
      </c>
      <c r="BJ1880" s="21">
        <v>0</v>
      </c>
      <c r="BK1880" s="21">
        <v>0</v>
      </c>
      <c r="BL1880" s="21">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70102002</v>
      </c>
      <c r="D1881" s="35" t="s">
        <v>544</v>
      </c>
      <c r="E1881" s="35" t="s">
        <v>545</v>
      </c>
      <c r="F1881" s="32">
        <v>1</v>
      </c>
      <c r="G1881" s="32">
        <v>60010500</v>
      </c>
      <c r="H1881" s="32">
        <v>0</v>
      </c>
      <c r="I1881" s="31">
        <v>0</v>
      </c>
      <c r="J1881" s="32">
        <v>1</v>
      </c>
      <c r="K1881" s="32">
        <v>0</v>
      </c>
      <c r="L1881" s="32">
        <v>0</v>
      </c>
      <c r="M1881" s="32">
        <v>0</v>
      </c>
      <c r="N1881" s="32">
        <v>0</v>
      </c>
      <c r="O1881" s="21">
        <v>2</v>
      </c>
      <c r="P1881" s="32">
        <v>2</v>
      </c>
      <c r="Q1881" s="32">
        <v>0.6</v>
      </c>
      <c r="R1881" s="32">
        <v>0</v>
      </c>
      <c r="S1881" s="19">
        <v>0</v>
      </c>
      <c r="T1881" s="31">
        <v>0</v>
      </c>
      <c r="U1881" s="21">
        <v>1</v>
      </c>
      <c r="V1881" s="32">
        <v>2</v>
      </c>
      <c r="W1881" s="32">
        <v>0</v>
      </c>
      <c r="X1881" s="32">
        <v>0</v>
      </c>
      <c r="Y1881" s="19">
        <v>0</v>
      </c>
      <c r="Z1881" s="32">
        <v>0</v>
      </c>
      <c r="AA1881" s="32">
        <v>0</v>
      </c>
      <c r="AB1881" s="32">
        <v>0</v>
      </c>
      <c r="AC1881" s="32">
        <v>0</v>
      </c>
      <c r="AD1881" s="32">
        <v>0</v>
      </c>
      <c r="AE1881" s="32">
        <v>0</v>
      </c>
      <c r="AF1881" s="32">
        <v>20</v>
      </c>
      <c r="AG1881" s="32">
        <v>0</v>
      </c>
      <c r="AH1881" s="32">
        <v>0</v>
      </c>
      <c r="AI1881" s="19">
        <v>2</v>
      </c>
      <c r="AJ1881" s="19">
        <v>0</v>
      </c>
      <c r="AK1881" s="19">
        <v>0</v>
      </c>
      <c r="AL1881" s="19">
        <v>0</v>
      </c>
      <c r="AM1881" s="32">
        <v>0</v>
      </c>
      <c r="AN1881" s="32">
        <v>0</v>
      </c>
      <c r="AO1881" s="32">
        <v>0</v>
      </c>
      <c r="AP1881" s="32">
        <v>0</v>
      </c>
      <c r="AQ1881" s="32">
        <v>1000</v>
      </c>
      <c r="AR1881" s="32">
        <v>0</v>
      </c>
      <c r="AS1881" s="32">
        <v>0</v>
      </c>
      <c r="AT1881" s="19">
        <v>90102001</v>
      </c>
      <c r="AU1881" s="32" t="s">
        <v>204</v>
      </c>
      <c r="AV1881" s="32"/>
      <c r="AW1881" s="35" t="s">
        <v>205</v>
      </c>
      <c r="AX1881" s="32" t="s">
        <v>354</v>
      </c>
      <c r="AY1881" s="32">
        <v>0</v>
      </c>
      <c r="AZ1881" s="32">
        <v>40000003</v>
      </c>
      <c r="BA1881" s="35" t="s">
        <v>206</v>
      </c>
      <c r="BB1881" s="35" t="s">
        <v>204</v>
      </c>
      <c r="BC1881" s="31">
        <v>0</v>
      </c>
      <c r="BD1881" s="31">
        <v>0</v>
      </c>
      <c r="BE1881" s="60" t="s">
        <v>546</v>
      </c>
      <c r="BF1881" s="60" t="s">
        <v>547</v>
      </c>
      <c r="BG1881" s="32">
        <v>0</v>
      </c>
      <c r="BH1881" s="21">
        <v>0</v>
      </c>
      <c r="BI1881" s="32">
        <v>0</v>
      </c>
      <c r="BJ1881" s="32">
        <v>0</v>
      </c>
      <c r="BK1881" s="32">
        <v>0</v>
      </c>
      <c r="BL1881" s="32">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70103001</v>
      </c>
      <c r="D1882" s="30" t="s">
        <v>549</v>
      </c>
      <c r="E1882" s="30" t="s">
        <v>550</v>
      </c>
      <c r="F1882" s="32">
        <v>1</v>
      </c>
      <c r="G1882" s="21">
        <v>60010300</v>
      </c>
      <c r="H1882" s="32">
        <v>0</v>
      </c>
      <c r="I1882" s="31">
        <v>0</v>
      </c>
      <c r="J1882" s="32">
        <v>1</v>
      </c>
      <c r="K1882" s="32">
        <v>0</v>
      </c>
      <c r="L1882" s="32">
        <v>0</v>
      </c>
      <c r="M1882" s="21">
        <v>0</v>
      </c>
      <c r="N1882" s="21">
        <v>0</v>
      </c>
      <c r="O1882" s="21">
        <v>2</v>
      </c>
      <c r="P1882" s="21">
        <v>1</v>
      </c>
      <c r="Q1882" s="21">
        <v>0.5</v>
      </c>
      <c r="R1882" s="21">
        <v>0</v>
      </c>
      <c r="S1882" s="19">
        <v>0</v>
      </c>
      <c r="T1882" s="21">
        <v>0</v>
      </c>
      <c r="U1882" s="21">
        <v>1</v>
      </c>
      <c r="V1882" s="21">
        <v>2</v>
      </c>
      <c r="W1882" s="21">
        <v>0</v>
      </c>
      <c r="X1882" s="21">
        <v>3</v>
      </c>
      <c r="Y1882" s="19">
        <v>0</v>
      </c>
      <c r="Z1882" s="21">
        <v>0</v>
      </c>
      <c r="AA1882" s="21">
        <v>0</v>
      </c>
      <c r="AB1882" s="21">
        <v>0</v>
      </c>
      <c r="AC1882" s="21">
        <v>0</v>
      </c>
      <c r="AD1882" s="21">
        <v>0</v>
      </c>
      <c r="AE1882" s="21">
        <v>0</v>
      </c>
      <c r="AF1882" s="21">
        <v>12</v>
      </c>
      <c r="AG1882" s="21">
        <v>2</v>
      </c>
      <c r="AH1882" s="21" t="s">
        <v>219</v>
      </c>
      <c r="AI1882" s="19">
        <v>0</v>
      </c>
      <c r="AJ1882" s="19">
        <v>2</v>
      </c>
      <c r="AK1882" s="19">
        <v>0</v>
      </c>
      <c r="AL1882" s="19">
        <v>1.5</v>
      </c>
      <c r="AM1882" s="21">
        <v>0</v>
      </c>
      <c r="AN1882" s="21">
        <v>0</v>
      </c>
      <c r="AO1882" s="21">
        <v>0</v>
      </c>
      <c r="AP1882" s="21">
        <v>1.1000000000000001</v>
      </c>
      <c r="AQ1882" s="21">
        <v>3000</v>
      </c>
      <c r="AR1882" s="21">
        <v>1.1000000000000001</v>
      </c>
      <c r="AS1882" s="21">
        <v>0</v>
      </c>
      <c r="AT1882" s="19">
        <v>0</v>
      </c>
      <c r="AU1882" s="21" t="s">
        <v>204</v>
      </c>
      <c r="AV1882" s="21"/>
      <c r="AW1882" s="35" t="s">
        <v>293</v>
      </c>
      <c r="AX1882" s="21" t="s">
        <v>551</v>
      </c>
      <c r="AY1882" s="32">
        <v>10001007</v>
      </c>
      <c r="AZ1882" s="32">
        <v>70103001</v>
      </c>
      <c r="BA1882" s="30" t="s">
        <v>206</v>
      </c>
      <c r="BB1882" s="21">
        <v>0</v>
      </c>
      <c r="BC1882" s="31">
        <v>0</v>
      </c>
      <c r="BD1882" s="31">
        <v>0</v>
      </c>
      <c r="BE1882" s="33" t="s">
        <v>552</v>
      </c>
      <c r="BF1882" s="33" t="s">
        <v>553</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70103002</v>
      </c>
      <c r="D1883" s="35" t="s">
        <v>544</v>
      </c>
      <c r="E1883" s="35" t="s">
        <v>545</v>
      </c>
      <c r="F1883" s="32">
        <v>1</v>
      </c>
      <c r="G1883" s="32">
        <v>60010500</v>
      </c>
      <c r="H1883" s="32">
        <v>0</v>
      </c>
      <c r="I1883" s="31">
        <v>0</v>
      </c>
      <c r="J1883" s="32">
        <v>1</v>
      </c>
      <c r="K1883" s="32">
        <v>0</v>
      </c>
      <c r="L1883" s="32">
        <v>0</v>
      </c>
      <c r="M1883" s="32">
        <v>0</v>
      </c>
      <c r="N1883" s="32">
        <v>0</v>
      </c>
      <c r="O1883" s="21">
        <v>2</v>
      </c>
      <c r="P1883" s="32">
        <v>2</v>
      </c>
      <c r="Q1883" s="32">
        <v>0.6</v>
      </c>
      <c r="R1883" s="32">
        <v>0</v>
      </c>
      <c r="S1883" s="19">
        <v>0</v>
      </c>
      <c r="T1883" s="31">
        <v>0</v>
      </c>
      <c r="U1883" s="21">
        <v>1</v>
      </c>
      <c r="V1883" s="32">
        <v>2</v>
      </c>
      <c r="W1883" s="32">
        <v>0</v>
      </c>
      <c r="X1883" s="32">
        <v>0</v>
      </c>
      <c r="Y1883" s="19">
        <v>0</v>
      </c>
      <c r="Z1883" s="32">
        <v>0</v>
      </c>
      <c r="AA1883" s="32">
        <v>0</v>
      </c>
      <c r="AB1883" s="32">
        <v>0</v>
      </c>
      <c r="AC1883" s="32">
        <v>0</v>
      </c>
      <c r="AD1883" s="32">
        <v>0</v>
      </c>
      <c r="AE1883" s="32">
        <v>0</v>
      </c>
      <c r="AF1883" s="32">
        <v>20</v>
      </c>
      <c r="AG1883" s="32">
        <v>0</v>
      </c>
      <c r="AH1883" s="32">
        <v>0</v>
      </c>
      <c r="AI1883" s="19">
        <v>0</v>
      </c>
      <c r="AJ1883" s="19">
        <v>0</v>
      </c>
      <c r="AK1883" s="19">
        <v>0</v>
      </c>
      <c r="AL1883" s="19">
        <v>0</v>
      </c>
      <c r="AM1883" s="32">
        <v>0</v>
      </c>
      <c r="AN1883" s="32">
        <v>0</v>
      </c>
      <c r="AO1883" s="32">
        <v>0</v>
      </c>
      <c r="AP1883" s="32">
        <v>0</v>
      </c>
      <c r="AQ1883" s="32">
        <v>1000</v>
      </c>
      <c r="AR1883" s="32">
        <v>0</v>
      </c>
      <c r="AS1883" s="32">
        <v>0</v>
      </c>
      <c r="AT1883" s="19">
        <v>90103001</v>
      </c>
      <c r="AU1883" s="32" t="s">
        <v>204</v>
      </c>
      <c r="AV1883" s="32"/>
      <c r="AW1883" s="35" t="s">
        <v>204</v>
      </c>
      <c r="AX1883" s="32" t="s">
        <v>354</v>
      </c>
      <c r="AY1883" s="32">
        <v>0</v>
      </c>
      <c r="AZ1883" s="32">
        <v>40000003</v>
      </c>
      <c r="BA1883" s="35" t="s">
        <v>206</v>
      </c>
      <c r="BB1883" s="35" t="s">
        <v>204</v>
      </c>
      <c r="BC1883" s="31">
        <v>0</v>
      </c>
      <c r="BD1883" s="31">
        <v>0</v>
      </c>
      <c r="BE1883" s="60" t="s">
        <v>554</v>
      </c>
      <c r="BF1883" s="60" t="s">
        <v>555</v>
      </c>
      <c r="BG1883" s="32">
        <v>0</v>
      </c>
      <c r="BH1883" s="21">
        <v>0</v>
      </c>
      <c r="BI1883" s="32">
        <v>0</v>
      </c>
      <c r="BJ1883" s="32">
        <v>0</v>
      </c>
      <c r="BK1883" s="32">
        <v>0</v>
      </c>
      <c r="BL1883" s="32">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70103003</v>
      </c>
      <c r="D1884" s="30" t="s">
        <v>3160</v>
      </c>
      <c r="E1884" s="30" t="s">
        <v>3161</v>
      </c>
      <c r="F1884" s="32">
        <v>1</v>
      </c>
      <c r="G1884" s="21">
        <v>60010100</v>
      </c>
      <c r="H1884" s="32">
        <v>0</v>
      </c>
      <c r="I1884" s="31">
        <v>0</v>
      </c>
      <c r="J1884" s="32">
        <v>1</v>
      </c>
      <c r="K1884" s="32">
        <v>0</v>
      </c>
      <c r="L1884" s="32">
        <v>0</v>
      </c>
      <c r="M1884" s="21">
        <v>0</v>
      </c>
      <c r="N1884" s="21">
        <v>0</v>
      </c>
      <c r="O1884" s="21">
        <v>2</v>
      </c>
      <c r="P1884" s="21">
        <v>1</v>
      </c>
      <c r="Q1884" s="21">
        <v>0.5</v>
      </c>
      <c r="R1884" s="21">
        <v>0</v>
      </c>
      <c r="S1884" s="19">
        <v>0</v>
      </c>
      <c r="T1884" s="21">
        <v>0</v>
      </c>
      <c r="U1884" s="21">
        <v>1</v>
      </c>
      <c r="V1884" s="21">
        <v>2</v>
      </c>
      <c r="W1884" s="21">
        <v>0</v>
      </c>
      <c r="X1884" s="21">
        <v>3</v>
      </c>
      <c r="Y1884" s="19">
        <v>0</v>
      </c>
      <c r="Z1884" s="21">
        <v>0</v>
      </c>
      <c r="AA1884" s="21">
        <v>1</v>
      </c>
      <c r="AB1884" s="21">
        <v>0</v>
      </c>
      <c r="AC1884" s="21">
        <v>0</v>
      </c>
      <c r="AD1884" s="21">
        <v>0</v>
      </c>
      <c r="AE1884" s="21">
        <v>0</v>
      </c>
      <c r="AF1884" s="21">
        <v>8</v>
      </c>
      <c r="AG1884" s="21">
        <v>1</v>
      </c>
      <c r="AH1884" s="21">
        <v>3</v>
      </c>
      <c r="AI1884" s="19">
        <v>1</v>
      </c>
      <c r="AJ1884" s="19">
        <v>1</v>
      </c>
      <c r="AK1884" s="19">
        <v>0</v>
      </c>
      <c r="AL1884" s="19">
        <v>1.5</v>
      </c>
      <c r="AM1884" s="21">
        <v>0</v>
      </c>
      <c r="AN1884" s="21">
        <v>0</v>
      </c>
      <c r="AO1884" s="21">
        <v>0</v>
      </c>
      <c r="AP1884" s="21">
        <v>0.5</v>
      </c>
      <c r="AQ1884" s="21">
        <v>5000</v>
      </c>
      <c r="AR1884" s="21">
        <v>3</v>
      </c>
      <c r="AS1884" s="21">
        <v>0</v>
      </c>
      <c r="AT1884" s="19">
        <v>0</v>
      </c>
      <c r="AU1884" s="21" t="s">
        <v>204</v>
      </c>
      <c r="AV1884" s="21"/>
      <c r="AW1884" s="35" t="s">
        <v>205</v>
      </c>
      <c r="AX1884" s="21" t="s">
        <v>540</v>
      </c>
      <c r="AY1884" s="32">
        <v>10000007</v>
      </c>
      <c r="AZ1884" s="32">
        <v>70103003</v>
      </c>
      <c r="BA1884" s="30" t="s">
        <v>206</v>
      </c>
      <c r="BB1884" s="21" t="s">
        <v>3162</v>
      </c>
      <c r="BC1884" s="31">
        <v>0</v>
      </c>
      <c r="BD1884" s="31">
        <v>0</v>
      </c>
      <c r="BE1884" s="33" t="s">
        <v>3163</v>
      </c>
      <c r="BF1884" s="33" t="s">
        <v>3164</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70104001</v>
      </c>
      <c r="D1885" s="30" t="s">
        <v>895</v>
      </c>
      <c r="E1885" s="30" t="s">
        <v>896</v>
      </c>
      <c r="F1885" s="32">
        <v>1</v>
      </c>
      <c r="G1885" s="21">
        <v>60010100</v>
      </c>
      <c r="H1885" s="32">
        <v>0</v>
      </c>
      <c r="I1885" s="31">
        <v>0</v>
      </c>
      <c r="J1885" s="32">
        <v>1</v>
      </c>
      <c r="K1885" s="32">
        <v>0</v>
      </c>
      <c r="L1885" s="32">
        <v>0</v>
      </c>
      <c r="M1885" s="21">
        <v>0</v>
      </c>
      <c r="N1885" s="21">
        <v>0</v>
      </c>
      <c r="O1885" s="21">
        <v>2</v>
      </c>
      <c r="P1885" s="21">
        <v>1</v>
      </c>
      <c r="Q1885" s="21">
        <v>0.3</v>
      </c>
      <c r="R1885" s="21">
        <v>0</v>
      </c>
      <c r="S1885" s="19">
        <v>0</v>
      </c>
      <c r="T1885" s="21">
        <v>0</v>
      </c>
      <c r="U1885" s="21">
        <v>1</v>
      </c>
      <c r="V1885" s="21">
        <v>2</v>
      </c>
      <c r="W1885" s="21">
        <v>0</v>
      </c>
      <c r="X1885" s="21">
        <v>3</v>
      </c>
      <c r="Y1885" s="19">
        <v>0</v>
      </c>
      <c r="Z1885" s="21">
        <v>0</v>
      </c>
      <c r="AA1885" s="21">
        <v>1</v>
      </c>
      <c r="AB1885" s="21">
        <v>0</v>
      </c>
      <c r="AC1885" s="21">
        <v>0</v>
      </c>
      <c r="AD1885" s="21">
        <v>0</v>
      </c>
      <c r="AE1885" s="21">
        <v>0</v>
      </c>
      <c r="AF1885" s="21">
        <v>5</v>
      </c>
      <c r="AG1885" s="21">
        <v>1</v>
      </c>
      <c r="AH1885" s="21" t="s">
        <v>867</v>
      </c>
      <c r="AI1885" s="19">
        <v>1</v>
      </c>
      <c r="AJ1885" s="19">
        <v>1</v>
      </c>
      <c r="AK1885" s="19">
        <v>0</v>
      </c>
      <c r="AL1885" s="19">
        <v>1.5</v>
      </c>
      <c r="AM1885" s="21">
        <v>0</v>
      </c>
      <c r="AN1885" s="21">
        <v>0</v>
      </c>
      <c r="AO1885" s="21">
        <v>0</v>
      </c>
      <c r="AP1885" s="21">
        <v>0.5</v>
      </c>
      <c r="AQ1885" s="21">
        <v>5000</v>
      </c>
      <c r="AR1885" s="21">
        <v>2</v>
      </c>
      <c r="AS1885" s="21">
        <v>0</v>
      </c>
      <c r="AT1885" s="19">
        <v>0</v>
      </c>
      <c r="AU1885" s="21" t="s">
        <v>204</v>
      </c>
      <c r="AV1885" s="21"/>
      <c r="AW1885" s="30" t="s">
        <v>293</v>
      </c>
      <c r="AX1885" s="21" t="s">
        <v>540</v>
      </c>
      <c r="AY1885" s="32">
        <v>10000007</v>
      </c>
      <c r="AZ1885" s="32">
        <v>70104001</v>
      </c>
      <c r="BA1885" s="30" t="s">
        <v>206</v>
      </c>
      <c r="BB1885" s="21" t="s">
        <v>4414</v>
      </c>
      <c r="BC1885" s="31">
        <v>0</v>
      </c>
      <c r="BD1885" s="31">
        <v>0</v>
      </c>
      <c r="BE1885" s="33" t="s">
        <v>898</v>
      </c>
      <c r="BF1885" s="33" t="s">
        <v>899</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70104002</v>
      </c>
      <c r="D1886" s="35" t="s">
        <v>573</v>
      </c>
      <c r="E1886" s="35" t="s">
        <v>574</v>
      </c>
      <c r="F1886" s="32">
        <v>1</v>
      </c>
      <c r="G1886" s="32">
        <v>60010500</v>
      </c>
      <c r="H1886" s="32">
        <v>0</v>
      </c>
      <c r="I1886" s="31">
        <v>0</v>
      </c>
      <c r="J1886" s="32">
        <v>1</v>
      </c>
      <c r="K1886" s="32">
        <v>0</v>
      </c>
      <c r="L1886" s="32">
        <v>0</v>
      </c>
      <c r="M1886" s="32">
        <v>0</v>
      </c>
      <c r="N1886" s="32">
        <v>0</v>
      </c>
      <c r="O1886" s="21">
        <v>2</v>
      </c>
      <c r="P1886" s="32">
        <v>2</v>
      </c>
      <c r="Q1886" s="32">
        <v>0.3</v>
      </c>
      <c r="R1886" s="32">
        <v>0</v>
      </c>
      <c r="S1886" s="19">
        <v>0</v>
      </c>
      <c r="T1886" s="31">
        <v>0</v>
      </c>
      <c r="U1886" s="21">
        <v>1</v>
      </c>
      <c r="V1886" s="32">
        <v>2</v>
      </c>
      <c r="W1886" s="32">
        <v>0</v>
      </c>
      <c r="X1886" s="32">
        <v>0</v>
      </c>
      <c r="Y1886" s="19">
        <v>0</v>
      </c>
      <c r="Z1886" s="32">
        <v>0</v>
      </c>
      <c r="AA1886" s="32">
        <v>0</v>
      </c>
      <c r="AB1886" s="32">
        <v>0</v>
      </c>
      <c r="AC1886" s="32">
        <v>0</v>
      </c>
      <c r="AD1886" s="32">
        <v>0</v>
      </c>
      <c r="AE1886" s="32">
        <v>0</v>
      </c>
      <c r="AF1886" s="32">
        <v>99999</v>
      </c>
      <c r="AG1886" s="32">
        <v>0</v>
      </c>
      <c r="AH1886" s="32">
        <v>0</v>
      </c>
      <c r="AI1886" s="19">
        <v>2</v>
      </c>
      <c r="AJ1886" s="19">
        <v>0</v>
      </c>
      <c r="AK1886" s="19">
        <v>0</v>
      </c>
      <c r="AL1886" s="19">
        <v>0</v>
      </c>
      <c r="AM1886" s="32">
        <v>0</v>
      </c>
      <c r="AN1886" s="32">
        <v>0</v>
      </c>
      <c r="AO1886" s="32">
        <v>0</v>
      </c>
      <c r="AP1886" s="32">
        <v>0</v>
      </c>
      <c r="AQ1886" s="32">
        <v>1000</v>
      </c>
      <c r="AR1886" s="32">
        <v>0</v>
      </c>
      <c r="AS1886" s="32">
        <v>0</v>
      </c>
      <c r="AT1886" s="19">
        <v>90104002</v>
      </c>
      <c r="AU1886" s="32" t="s">
        <v>204</v>
      </c>
      <c r="AV1886" s="32"/>
      <c r="AW1886" s="35" t="s">
        <v>205</v>
      </c>
      <c r="AX1886" s="32" t="s">
        <v>354</v>
      </c>
      <c r="AY1886" s="32">
        <v>0</v>
      </c>
      <c r="AZ1886" s="32">
        <v>0</v>
      </c>
      <c r="BA1886" s="35" t="s">
        <v>206</v>
      </c>
      <c r="BB1886" s="35" t="s">
        <v>204</v>
      </c>
      <c r="BC1886" s="31">
        <v>0</v>
      </c>
      <c r="BD1886" s="31">
        <v>0</v>
      </c>
      <c r="BE1886" s="60" t="s">
        <v>681</v>
      </c>
      <c r="BF1886" s="60" t="s">
        <v>682</v>
      </c>
      <c r="BG1886" s="32">
        <v>0</v>
      </c>
      <c r="BH1886" s="21">
        <v>0</v>
      </c>
      <c r="BI1886" s="32">
        <v>0</v>
      </c>
      <c r="BJ1886" s="32">
        <v>0</v>
      </c>
      <c r="BK1886" s="32">
        <v>0</v>
      </c>
      <c r="BL1886" s="32">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70104003</v>
      </c>
      <c r="D1887" s="30" t="s">
        <v>750</v>
      </c>
      <c r="E1887" s="30" t="s">
        <v>751</v>
      </c>
      <c r="F1887" s="32">
        <v>1</v>
      </c>
      <c r="G1887" s="21">
        <v>60010100</v>
      </c>
      <c r="H1887" s="32">
        <v>0</v>
      </c>
      <c r="I1887" s="31">
        <v>0</v>
      </c>
      <c r="J1887" s="32">
        <v>1</v>
      </c>
      <c r="K1887" s="32">
        <v>0</v>
      </c>
      <c r="L1887" s="32">
        <v>0</v>
      </c>
      <c r="M1887" s="21">
        <v>0</v>
      </c>
      <c r="N1887" s="21">
        <v>0</v>
      </c>
      <c r="O1887" s="21">
        <v>2</v>
      </c>
      <c r="P1887" s="21">
        <v>1</v>
      </c>
      <c r="Q1887" s="21">
        <v>0.3</v>
      </c>
      <c r="R1887" s="21">
        <v>0</v>
      </c>
      <c r="S1887" s="19">
        <v>0</v>
      </c>
      <c r="T1887" s="21">
        <v>0</v>
      </c>
      <c r="U1887" s="21">
        <v>1</v>
      </c>
      <c r="V1887" s="21">
        <v>2</v>
      </c>
      <c r="W1887" s="21">
        <v>0</v>
      </c>
      <c r="X1887" s="21">
        <v>5</v>
      </c>
      <c r="Y1887" s="19">
        <v>0</v>
      </c>
      <c r="Z1887" s="21">
        <v>0</v>
      </c>
      <c r="AA1887" s="21">
        <v>1</v>
      </c>
      <c r="AB1887" s="21">
        <v>0</v>
      </c>
      <c r="AC1887" s="21">
        <v>0</v>
      </c>
      <c r="AD1887" s="21">
        <v>0</v>
      </c>
      <c r="AE1887" s="21">
        <v>0</v>
      </c>
      <c r="AF1887" s="21">
        <v>10</v>
      </c>
      <c r="AG1887" s="21">
        <v>1</v>
      </c>
      <c r="AH1887" s="21" t="s">
        <v>613</v>
      </c>
      <c r="AI1887" s="19">
        <v>0</v>
      </c>
      <c r="AJ1887" s="19">
        <v>1</v>
      </c>
      <c r="AK1887" s="19">
        <v>0</v>
      </c>
      <c r="AL1887" s="19">
        <v>3</v>
      </c>
      <c r="AM1887" s="21">
        <v>0</v>
      </c>
      <c r="AN1887" s="21">
        <v>0</v>
      </c>
      <c r="AO1887" s="21">
        <v>0</v>
      </c>
      <c r="AP1887" s="21">
        <v>3.5</v>
      </c>
      <c r="AQ1887" s="21">
        <v>5000</v>
      </c>
      <c r="AR1887" s="21">
        <v>3</v>
      </c>
      <c r="AS1887" s="21">
        <v>0</v>
      </c>
      <c r="AT1887" s="19">
        <v>0</v>
      </c>
      <c r="AU1887" s="21" t="s">
        <v>204</v>
      </c>
      <c r="AV1887" s="21"/>
      <c r="AW1887" s="30" t="s">
        <v>262</v>
      </c>
      <c r="AX1887" s="21" t="s">
        <v>540</v>
      </c>
      <c r="AY1887" s="32">
        <v>10000007</v>
      </c>
      <c r="AZ1887" s="32">
        <v>70104003</v>
      </c>
      <c r="BA1887" s="30" t="s">
        <v>206</v>
      </c>
      <c r="BB1887" s="21" t="s">
        <v>4415</v>
      </c>
      <c r="BC1887" s="31">
        <v>0</v>
      </c>
      <c r="BD1887" s="31">
        <v>0</v>
      </c>
      <c r="BE1887" s="33" t="s">
        <v>4416</v>
      </c>
      <c r="BF1887" s="33" t="s">
        <v>4417</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70105001</v>
      </c>
      <c r="D1888" s="30" t="s">
        <v>538</v>
      </c>
      <c r="E1888" s="30" t="s">
        <v>261</v>
      </c>
      <c r="F1888" s="32">
        <v>1</v>
      </c>
      <c r="G1888" s="21">
        <v>60010100</v>
      </c>
      <c r="H1888" s="32">
        <v>0</v>
      </c>
      <c r="I1888" s="31">
        <v>0</v>
      </c>
      <c r="J1888" s="32">
        <v>1</v>
      </c>
      <c r="K1888" s="32">
        <v>0</v>
      </c>
      <c r="L1888" s="32">
        <v>0</v>
      </c>
      <c r="M1888" s="21">
        <v>0</v>
      </c>
      <c r="N1888" s="21">
        <v>0</v>
      </c>
      <c r="O1888" s="21">
        <v>2</v>
      </c>
      <c r="P1888" s="21">
        <v>1</v>
      </c>
      <c r="Q1888" s="21">
        <v>1</v>
      </c>
      <c r="R1888" s="21">
        <v>0</v>
      </c>
      <c r="S1888" s="19">
        <v>0</v>
      </c>
      <c r="T1888" s="21">
        <v>0</v>
      </c>
      <c r="U1888" s="21">
        <v>1</v>
      </c>
      <c r="V1888" s="21">
        <v>2</v>
      </c>
      <c r="W1888" s="21">
        <v>0</v>
      </c>
      <c r="X1888" s="21">
        <v>2</v>
      </c>
      <c r="Y1888" s="19">
        <v>0</v>
      </c>
      <c r="Z1888" s="21">
        <v>0</v>
      </c>
      <c r="AA1888" s="21">
        <v>1</v>
      </c>
      <c r="AB1888" s="21">
        <v>0</v>
      </c>
      <c r="AC1888" s="21">
        <v>0</v>
      </c>
      <c r="AD1888" s="21">
        <v>0</v>
      </c>
      <c r="AE1888" s="21">
        <v>0</v>
      </c>
      <c r="AF1888" s="21">
        <v>6</v>
      </c>
      <c r="AG1888" s="21">
        <v>1</v>
      </c>
      <c r="AH1888" s="21">
        <v>3</v>
      </c>
      <c r="AI1888" s="19">
        <v>0</v>
      </c>
      <c r="AJ1888" s="19">
        <v>0</v>
      </c>
      <c r="AK1888" s="19">
        <v>0</v>
      </c>
      <c r="AL1888" s="19">
        <v>1.5</v>
      </c>
      <c r="AM1888" s="21">
        <v>0</v>
      </c>
      <c r="AN1888" s="21">
        <v>0</v>
      </c>
      <c r="AO1888" s="21">
        <v>0</v>
      </c>
      <c r="AP1888" s="21">
        <v>1</v>
      </c>
      <c r="AQ1888" s="21">
        <v>5000</v>
      </c>
      <c r="AR1888" s="21">
        <v>0.5</v>
      </c>
      <c r="AS1888" s="21">
        <v>0</v>
      </c>
      <c r="AT1888" s="19">
        <v>0</v>
      </c>
      <c r="AU1888" s="21" t="s">
        <v>204</v>
      </c>
      <c r="AV1888" s="21"/>
      <c r="AW1888" s="35" t="s">
        <v>205</v>
      </c>
      <c r="AX1888" s="21" t="s">
        <v>540</v>
      </c>
      <c r="AY1888" s="32">
        <v>10000007</v>
      </c>
      <c r="AZ1888" s="32">
        <v>70105001</v>
      </c>
      <c r="BA1888" s="30" t="s">
        <v>206</v>
      </c>
      <c r="BB1888" s="21" t="s">
        <v>4418</v>
      </c>
      <c r="BC1888" s="31">
        <v>0</v>
      </c>
      <c r="BD1888" s="31">
        <v>0</v>
      </c>
      <c r="BE1888" s="33" t="s">
        <v>4419</v>
      </c>
      <c r="BF1888" s="33" t="s">
        <v>4420</v>
      </c>
      <c r="BG1888" s="21">
        <v>0</v>
      </c>
      <c r="BH1888" s="21">
        <v>0</v>
      </c>
      <c r="BI1888" s="21">
        <v>0</v>
      </c>
      <c r="BJ1888" s="21">
        <v>0</v>
      </c>
      <c r="BK1888" s="21">
        <v>0</v>
      </c>
      <c r="BL1888" s="21">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70105002</v>
      </c>
      <c r="D1889" s="35" t="s">
        <v>573</v>
      </c>
      <c r="E1889" s="35" t="s">
        <v>574</v>
      </c>
      <c r="F1889" s="32">
        <v>1</v>
      </c>
      <c r="G1889" s="32">
        <v>60010500</v>
      </c>
      <c r="H1889" s="32">
        <v>0</v>
      </c>
      <c r="I1889" s="31">
        <v>0</v>
      </c>
      <c r="J1889" s="32">
        <v>1</v>
      </c>
      <c r="K1889" s="32">
        <v>0</v>
      </c>
      <c r="L1889" s="32">
        <v>0</v>
      </c>
      <c r="M1889" s="32">
        <v>0</v>
      </c>
      <c r="N1889" s="32">
        <v>0</v>
      </c>
      <c r="O1889" s="21">
        <v>2</v>
      </c>
      <c r="P1889" s="32">
        <v>2</v>
      </c>
      <c r="Q1889" s="32">
        <v>0.6</v>
      </c>
      <c r="R1889" s="32">
        <v>0</v>
      </c>
      <c r="S1889" s="19">
        <v>0</v>
      </c>
      <c r="T1889" s="31">
        <v>0</v>
      </c>
      <c r="U1889" s="21">
        <v>1</v>
      </c>
      <c r="V1889" s="32">
        <v>2</v>
      </c>
      <c r="W1889" s="32">
        <v>0</v>
      </c>
      <c r="X1889" s="32">
        <v>0</v>
      </c>
      <c r="Y1889" s="19">
        <v>0</v>
      </c>
      <c r="Z1889" s="32">
        <v>0</v>
      </c>
      <c r="AA1889" s="32">
        <v>0</v>
      </c>
      <c r="AB1889" s="32">
        <v>0</v>
      </c>
      <c r="AC1889" s="32">
        <v>0</v>
      </c>
      <c r="AD1889" s="32">
        <v>0</v>
      </c>
      <c r="AE1889" s="32">
        <v>0</v>
      </c>
      <c r="AF1889" s="21">
        <v>99999</v>
      </c>
      <c r="AG1889" s="32">
        <v>0</v>
      </c>
      <c r="AH1889" s="32">
        <v>0</v>
      </c>
      <c r="AI1889" s="19">
        <v>2</v>
      </c>
      <c r="AJ1889" s="19">
        <v>0</v>
      </c>
      <c r="AK1889" s="19">
        <v>0</v>
      </c>
      <c r="AL1889" s="19">
        <v>0</v>
      </c>
      <c r="AM1889" s="32">
        <v>0</v>
      </c>
      <c r="AN1889" s="32">
        <v>0</v>
      </c>
      <c r="AO1889" s="32">
        <v>0</v>
      </c>
      <c r="AP1889" s="32">
        <v>0</v>
      </c>
      <c r="AQ1889" s="32">
        <v>1000</v>
      </c>
      <c r="AR1889" s="32">
        <v>0</v>
      </c>
      <c r="AS1889" s="32">
        <v>0</v>
      </c>
      <c r="AT1889" s="19">
        <v>90104002</v>
      </c>
      <c r="AU1889" s="32" t="s">
        <v>204</v>
      </c>
      <c r="AV1889" s="32"/>
      <c r="AW1889" s="35" t="s">
        <v>205</v>
      </c>
      <c r="AX1889" s="32" t="s">
        <v>354</v>
      </c>
      <c r="AY1889" s="32">
        <v>0</v>
      </c>
      <c r="AZ1889" s="32">
        <v>0</v>
      </c>
      <c r="BA1889" s="35" t="s">
        <v>206</v>
      </c>
      <c r="BB1889" s="35" t="s">
        <v>204</v>
      </c>
      <c r="BC1889" s="31">
        <v>0</v>
      </c>
      <c r="BD1889" s="31">
        <v>0</v>
      </c>
      <c r="BE1889" s="60" t="s">
        <v>681</v>
      </c>
      <c r="BF1889" s="60" t="s">
        <v>682</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70105003</v>
      </c>
      <c r="D1890" s="30" t="s">
        <v>4421</v>
      </c>
      <c r="E1890" s="30" t="s">
        <v>4422</v>
      </c>
      <c r="F1890" s="32">
        <v>1</v>
      </c>
      <c r="G1890" s="21">
        <v>60010300</v>
      </c>
      <c r="H1890" s="32">
        <v>0</v>
      </c>
      <c r="I1890" s="31">
        <v>0</v>
      </c>
      <c r="J1890" s="32">
        <v>1</v>
      </c>
      <c r="K1890" s="32">
        <v>0</v>
      </c>
      <c r="L1890" s="32">
        <v>0</v>
      </c>
      <c r="M1890" s="21">
        <v>0</v>
      </c>
      <c r="N1890" s="21">
        <v>0</v>
      </c>
      <c r="O1890" s="21">
        <v>2</v>
      </c>
      <c r="P1890" s="21">
        <v>2</v>
      </c>
      <c r="Q1890" s="21">
        <v>0.8</v>
      </c>
      <c r="R1890" s="21">
        <v>0</v>
      </c>
      <c r="S1890" s="19">
        <v>0</v>
      </c>
      <c r="T1890" s="21">
        <v>0</v>
      </c>
      <c r="U1890" s="21">
        <v>1</v>
      </c>
      <c r="V1890" s="21">
        <v>2</v>
      </c>
      <c r="W1890" s="21">
        <v>0</v>
      </c>
      <c r="X1890" s="21">
        <v>0</v>
      </c>
      <c r="Y1890" s="19">
        <v>0</v>
      </c>
      <c r="Z1890" s="21">
        <v>0</v>
      </c>
      <c r="AA1890" s="21">
        <v>0</v>
      </c>
      <c r="AB1890" s="21">
        <v>0</v>
      </c>
      <c r="AC1890" s="21">
        <v>0</v>
      </c>
      <c r="AD1890" s="21">
        <v>0</v>
      </c>
      <c r="AE1890" s="21">
        <v>0</v>
      </c>
      <c r="AF1890" s="21">
        <v>20</v>
      </c>
      <c r="AG1890" s="21">
        <v>0</v>
      </c>
      <c r="AH1890" s="21">
        <v>0</v>
      </c>
      <c r="AI1890" s="19">
        <v>2</v>
      </c>
      <c r="AJ1890" s="19">
        <v>2</v>
      </c>
      <c r="AK1890" s="19">
        <v>0</v>
      </c>
      <c r="AL1890" s="19">
        <v>1.5</v>
      </c>
      <c r="AM1890" s="21">
        <v>0</v>
      </c>
      <c r="AN1890" s="21">
        <v>0</v>
      </c>
      <c r="AO1890" s="21">
        <v>0</v>
      </c>
      <c r="AP1890" s="21">
        <v>1</v>
      </c>
      <c r="AQ1890" s="21">
        <v>3000</v>
      </c>
      <c r="AR1890" s="21">
        <v>0.5</v>
      </c>
      <c r="AS1890" s="21">
        <v>0</v>
      </c>
      <c r="AT1890" s="19">
        <v>0</v>
      </c>
      <c r="AU1890" s="21" t="s">
        <v>204</v>
      </c>
      <c r="AV1890" s="21"/>
      <c r="AW1890" s="35" t="s">
        <v>205</v>
      </c>
      <c r="AX1890" s="21" t="s">
        <v>551</v>
      </c>
      <c r="AY1890" s="32">
        <v>0</v>
      </c>
      <c r="AZ1890" s="32">
        <v>0</v>
      </c>
      <c r="BA1890" s="30" t="s">
        <v>534</v>
      </c>
      <c r="BB1890" s="21" t="s">
        <v>4423</v>
      </c>
      <c r="BC1890" s="31">
        <v>0</v>
      </c>
      <c r="BD1890" s="31">
        <v>0</v>
      </c>
      <c r="BE1890" s="33" t="s">
        <v>4424</v>
      </c>
      <c r="BF1890" s="33" t="s">
        <v>4425</v>
      </c>
      <c r="BG1890" s="21">
        <v>0</v>
      </c>
      <c r="BH1890" s="21">
        <v>0</v>
      </c>
      <c r="BI1890" s="21">
        <v>0</v>
      </c>
      <c r="BJ1890" s="21">
        <v>0</v>
      </c>
      <c r="BK1890" s="21">
        <v>0</v>
      </c>
      <c r="BL1890" s="21">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20.100000000000001" customHeight="1">
      <c r="C1891" s="32">
        <v>70105004</v>
      </c>
      <c r="D1891" s="35" t="s">
        <v>544</v>
      </c>
      <c r="E1891" s="35" t="s">
        <v>545</v>
      </c>
      <c r="F1891" s="32">
        <v>1</v>
      </c>
      <c r="G1891" s="32">
        <v>60010500</v>
      </c>
      <c r="H1891" s="32">
        <v>0</v>
      </c>
      <c r="I1891" s="31">
        <v>0</v>
      </c>
      <c r="J1891" s="32">
        <v>1</v>
      </c>
      <c r="K1891" s="32">
        <v>0</v>
      </c>
      <c r="L1891" s="32">
        <v>0</v>
      </c>
      <c r="M1891" s="32">
        <v>0</v>
      </c>
      <c r="N1891" s="32">
        <v>0</v>
      </c>
      <c r="O1891" s="21">
        <v>2</v>
      </c>
      <c r="P1891" s="32">
        <v>2</v>
      </c>
      <c r="Q1891" s="32">
        <v>0.6</v>
      </c>
      <c r="R1891" s="32">
        <v>0</v>
      </c>
      <c r="S1891" s="19">
        <v>0</v>
      </c>
      <c r="T1891" s="31">
        <v>0</v>
      </c>
      <c r="U1891" s="21">
        <v>1</v>
      </c>
      <c r="V1891" s="32">
        <v>2</v>
      </c>
      <c r="W1891" s="32">
        <v>0</v>
      </c>
      <c r="X1891" s="32">
        <v>0</v>
      </c>
      <c r="Y1891" s="19">
        <v>0</v>
      </c>
      <c r="Z1891" s="32">
        <v>0</v>
      </c>
      <c r="AA1891" s="32">
        <v>0</v>
      </c>
      <c r="AB1891" s="32">
        <v>0</v>
      </c>
      <c r="AC1891" s="32">
        <v>0</v>
      </c>
      <c r="AD1891" s="32">
        <v>0</v>
      </c>
      <c r="AE1891" s="32">
        <v>0</v>
      </c>
      <c r="AF1891" s="32">
        <v>20</v>
      </c>
      <c r="AG1891" s="32">
        <v>0</v>
      </c>
      <c r="AH1891" s="32">
        <v>0</v>
      </c>
      <c r="AI1891" s="19">
        <v>2</v>
      </c>
      <c r="AJ1891" s="19">
        <v>0</v>
      </c>
      <c r="AK1891" s="19">
        <v>0</v>
      </c>
      <c r="AL1891" s="19">
        <v>0</v>
      </c>
      <c r="AM1891" s="32">
        <v>0</v>
      </c>
      <c r="AN1891" s="32">
        <v>0</v>
      </c>
      <c r="AO1891" s="32">
        <v>0</v>
      </c>
      <c r="AP1891" s="32">
        <v>0</v>
      </c>
      <c r="AQ1891" s="32">
        <v>1000</v>
      </c>
      <c r="AR1891" s="32">
        <v>0</v>
      </c>
      <c r="AS1891" s="32">
        <v>0</v>
      </c>
      <c r="AT1891" s="19">
        <v>90103001</v>
      </c>
      <c r="AU1891" s="32" t="s">
        <v>204</v>
      </c>
      <c r="AV1891" s="32"/>
      <c r="AW1891" s="35" t="s">
        <v>204</v>
      </c>
      <c r="AX1891" s="32" t="s">
        <v>354</v>
      </c>
      <c r="AY1891" s="32">
        <v>0</v>
      </c>
      <c r="AZ1891" s="32">
        <v>40000003</v>
      </c>
      <c r="BA1891" s="35" t="s">
        <v>206</v>
      </c>
      <c r="BB1891" s="35" t="s">
        <v>204</v>
      </c>
      <c r="BC1891" s="31">
        <v>0</v>
      </c>
      <c r="BD1891" s="31">
        <v>0</v>
      </c>
      <c r="BE1891" s="60" t="s">
        <v>554</v>
      </c>
      <c r="BF1891" s="60" t="s">
        <v>555</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70106001</v>
      </c>
      <c r="D1892" s="35" t="s">
        <v>579</v>
      </c>
      <c r="E1892" s="35" t="s">
        <v>580</v>
      </c>
      <c r="F1892" s="32">
        <v>1</v>
      </c>
      <c r="G1892" s="32">
        <v>60010300</v>
      </c>
      <c r="H1892" s="32">
        <v>0</v>
      </c>
      <c r="I1892" s="31">
        <v>0</v>
      </c>
      <c r="J1892" s="32">
        <v>1</v>
      </c>
      <c r="K1892" s="32">
        <v>0</v>
      </c>
      <c r="L1892" s="32">
        <v>0</v>
      </c>
      <c r="M1892" s="32">
        <v>0</v>
      </c>
      <c r="N1892" s="32">
        <v>0</v>
      </c>
      <c r="O1892" s="21">
        <v>2</v>
      </c>
      <c r="P1892" s="32">
        <v>1</v>
      </c>
      <c r="Q1892" s="32">
        <v>0.5</v>
      </c>
      <c r="R1892" s="32">
        <v>0</v>
      </c>
      <c r="S1892" s="19">
        <v>0</v>
      </c>
      <c r="T1892" s="31">
        <v>0</v>
      </c>
      <c r="U1892" s="21">
        <v>1</v>
      </c>
      <c r="V1892" s="32">
        <v>2</v>
      </c>
      <c r="W1892" s="32">
        <v>0</v>
      </c>
      <c r="X1892" s="32">
        <v>0.5</v>
      </c>
      <c r="Y1892" s="19">
        <v>0</v>
      </c>
      <c r="Z1892" s="32">
        <v>0</v>
      </c>
      <c r="AA1892" s="32">
        <v>0</v>
      </c>
      <c r="AB1892" s="32">
        <v>0</v>
      </c>
      <c r="AC1892" s="32">
        <v>0</v>
      </c>
      <c r="AD1892" s="32">
        <v>0</v>
      </c>
      <c r="AE1892" s="32">
        <v>0</v>
      </c>
      <c r="AF1892" s="32">
        <v>15</v>
      </c>
      <c r="AG1892" s="32">
        <v>1</v>
      </c>
      <c r="AH1892" s="32">
        <v>3</v>
      </c>
      <c r="AI1892" s="19">
        <v>1</v>
      </c>
      <c r="AJ1892" s="19">
        <v>0</v>
      </c>
      <c r="AK1892" s="19">
        <v>0</v>
      </c>
      <c r="AL1892" s="19">
        <v>1.5</v>
      </c>
      <c r="AM1892" s="32">
        <v>0</v>
      </c>
      <c r="AN1892" s="32">
        <v>0</v>
      </c>
      <c r="AO1892" s="32">
        <v>0</v>
      </c>
      <c r="AP1892" s="32">
        <v>1</v>
      </c>
      <c r="AQ1892" s="32">
        <v>360000</v>
      </c>
      <c r="AR1892" s="32">
        <v>0.5</v>
      </c>
      <c r="AS1892" s="32">
        <v>0</v>
      </c>
      <c r="AT1892" s="19">
        <v>0</v>
      </c>
      <c r="AU1892" s="32" t="s">
        <v>581</v>
      </c>
      <c r="AV1892" s="32"/>
      <c r="AW1892" s="35" t="s">
        <v>205</v>
      </c>
      <c r="AX1892" s="32" t="s">
        <v>551</v>
      </c>
      <c r="AY1892" s="32">
        <v>10002001</v>
      </c>
      <c r="AZ1892" s="32">
        <v>70106001</v>
      </c>
      <c r="BA1892" s="35" t="s">
        <v>321</v>
      </c>
      <c r="BB1892" s="35" t="s">
        <v>582</v>
      </c>
      <c r="BC1892" s="31">
        <v>0</v>
      </c>
      <c r="BD1892" s="31">
        <v>0</v>
      </c>
      <c r="BE1892" s="60" t="s">
        <v>583</v>
      </c>
      <c r="BF1892" s="60" t="s">
        <v>584</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20.100000000000001" customHeight="1">
      <c r="C1893" s="32">
        <v>70106002</v>
      </c>
      <c r="D1893" s="30" t="s">
        <v>585</v>
      </c>
      <c r="E1893" s="30" t="s">
        <v>586</v>
      </c>
      <c r="F1893" s="32">
        <v>1</v>
      </c>
      <c r="G1893" s="21">
        <v>60010100</v>
      </c>
      <c r="H1893" s="32">
        <v>0</v>
      </c>
      <c r="I1893" s="31">
        <v>0</v>
      </c>
      <c r="J1893" s="32">
        <v>1</v>
      </c>
      <c r="K1893" s="32">
        <v>0</v>
      </c>
      <c r="L1893" s="32">
        <v>0</v>
      </c>
      <c r="M1893" s="21">
        <v>0</v>
      </c>
      <c r="N1893" s="21">
        <v>0</v>
      </c>
      <c r="O1893" s="21">
        <v>2</v>
      </c>
      <c r="P1893" s="21">
        <v>1</v>
      </c>
      <c r="Q1893" s="21">
        <v>0.3</v>
      </c>
      <c r="R1893" s="21">
        <v>0</v>
      </c>
      <c r="S1893" s="19">
        <v>0</v>
      </c>
      <c r="T1893" s="21">
        <v>0</v>
      </c>
      <c r="U1893" s="21">
        <v>1</v>
      </c>
      <c r="V1893" s="21">
        <v>2</v>
      </c>
      <c r="W1893" s="21">
        <v>0</v>
      </c>
      <c r="X1893" s="21">
        <v>3</v>
      </c>
      <c r="Y1893" s="19">
        <v>0</v>
      </c>
      <c r="Z1893" s="21">
        <v>0</v>
      </c>
      <c r="AA1893" s="21">
        <v>0</v>
      </c>
      <c r="AB1893" s="21">
        <v>0</v>
      </c>
      <c r="AC1893" s="21">
        <v>0</v>
      </c>
      <c r="AD1893" s="21">
        <v>0</v>
      </c>
      <c r="AE1893" s="21">
        <v>0</v>
      </c>
      <c r="AF1893" s="21">
        <v>12</v>
      </c>
      <c r="AG1893" s="21">
        <v>1</v>
      </c>
      <c r="AH1893" s="21">
        <v>3</v>
      </c>
      <c r="AI1893" s="19">
        <v>6</v>
      </c>
      <c r="AJ1893" s="19">
        <v>1</v>
      </c>
      <c r="AK1893" s="19">
        <v>0</v>
      </c>
      <c r="AL1893" s="19">
        <v>1.5</v>
      </c>
      <c r="AM1893" s="21">
        <v>0</v>
      </c>
      <c r="AN1893" s="21">
        <v>0</v>
      </c>
      <c r="AO1893" s="21">
        <v>0</v>
      </c>
      <c r="AP1893" s="21">
        <v>3</v>
      </c>
      <c r="AQ1893" s="21">
        <v>5000</v>
      </c>
      <c r="AR1893" s="21">
        <v>3</v>
      </c>
      <c r="AS1893" s="21">
        <v>0</v>
      </c>
      <c r="AT1893" s="19">
        <v>0</v>
      </c>
      <c r="AU1893" s="21" t="s">
        <v>204</v>
      </c>
      <c r="AV1893" s="21"/>
      <c r="AW1893" s="35" t="s">
        <v>205</v>
      </c>
      <c r="AX1893" s="21" t="s">
        <v>540</v>
      </c>
      <c r="AY1893" s="32">
        <v>10000007</v>
      </c>
      <c r="AZ1893" s="32">
        <v>70106004</v>
      </c>
      <c r="BA1893" s="30" t="s">
        <v>206</v>
      </c>
      <c r="BB1893" s="21" t="s">
        <v>4426</v>
      </c>
      <c r="BC1893" s="31">
        <v>0</v>
      </c>
      <c r="BD1893" s="31">
        <v>0</v>
      </c>
      <c r="BE1893" s="33" t="s">
        <v>588</v>
      </c>
      <c r="BF1893" s="33" t="s">
        <v>589</v>
      </c>
      <c r="BG1893" s="21">
        <v>0</v>
      </c>
      <c r="BH1893" s="21">
        <v>0</v>
      </c>
      <c r="BI1893" s="21">
        <v>0</v>
      </c>
      <c r="BJ1893" s="21">
        <v>0</v>
      </c>
      <c r="BK1893" s="21">
        <v>0</v>
      </c>
      <c r="BL1893" s="21">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19.5" customHeight="1">
      <c r="C1894" s="32">
        <v>70106003</v>
      </c>
      <c r="D1894" s="35" t="s">
        <v>590</v>
      </c>
      <c r="E1894" s="35" t="s">
        <v>591</v>
      </c>
      <c r="F1894" s="32">
        <v>1</v>
      </c>
      <c r="G1894" s="32">
        <v>60010300</v>
      </c>
      <c r="H1894" s="32">
        <v>0</v>
      </c>
      <c r="I1894" s="31">
        <v>0</v>
      </c>
      <c r="J1894" s="32">
        <v>1</v>
      </c>
      <c r="K1894" s="32">
        <v>0</v>
      </c>
      <c r="L1894" s="32">
        <v>0</v>
      </c>
      <c r="M1894" s="32">
        <v>0</v>
      </c>
      <c r="N1894" s="32">
        <v>0</v>
      </c>
      <c r="O1894" s="21">
        <v>2</v>
      </c>
      <c r="P1894" s="32">
        <v>1</v>
      </c>
      <c r="Q1894" s="32">
        <v>0.5</v>
      </c>
      <c r="R1894" s="32">
        <v>0</v>
      </c>
      <c r="S1894" s="19">
        <v>0</v>
      </c>
      <c r="T1894" s="31">
        <v>0</v>
      </c>
      <c r="U1894" s="21">
        <v>1</v>
      </c>
      <c r="V1894" s="32">
        <v>2</v>
      </c>
      <c r="W1894" s="32">
        <v>0</v>
      </c>
      <c r="X1894" s="32">
        <v>3</v>
      </c>
      <c r="Y1894" s="19">
        <v>0</v>
      </c>
      <c r="Z1894" s="32">
        <v>0</v>
      </c>
      <c r="AA1894" s="32">
        <v>0</v>
      </c>
      <c r="AB1894" s="32">
        <v>0</v>
      </c>
      <c r="AC1894" s="32">
        <v>0</v>
      </c>
      <c r="AD1894" s="32">
        <v>0</v>
      </c>
      <c r="AE1894" s="32">
        <v>0</v>
      </c>
      <c r="AF1894" s="32">
        <v>9</v>
      </c>
      <c r="AG1894" s="32">
        <v>1</v>
      </c>
      <c r="AH1894" s="32">
        <v>2</v>
      </c>
      <c r="AI1894" s="19">
        <v>2</v>
      </c>
      <c r="AJ1894" s="19">
        <v>2</v>
      </c>
      <c r="AK1894" s="19">
        <v>0</v>
      </c>
      <c r="AL1894" s="19">
        <v>3</v>
      </c>
      <c r="AM1894" s="32">
        <v>0</v>
      </c>
      <c r="AN1894" s="32">
        <v>0</v>
      </c>
      <c r="AO1894" s="32">
        <v>0</v>
      </c>
      <c r="AP1894" s="32">
        <v>2</v>
      </c>
      <c r="AQ1894" s="32">
        <v>30000</v>
      </c>
      <c r="AR1894" s="32">
        <v>2</v>
      </c>
      <c r="AS1894" s="32">
        <v>4</v>
      </c>
      <c r="AT1894" s="19">
        <v>0</v>
      </c>
      <c r="AU1894" s="32" t="s">
        <v>204</v>
      </c>
      <c r="AV1894" s="32"/>
      <c r="AW1894" s="35" t="s">
        <v>205</v>
      </c>
      <c r="AX1894" s="32" t="s">
        <v>551</v>
      </c>
      <c r="AY1894" s="32">
        <v>10003002</v>
      </c>
      <c r="AZ1894" s="32">
        <v>70106005</v>
      </c>
      <c r="BA1894" s="35" t="s">
        <v>592</v>
      </c>
      <c r="BB1894" s="35">
        <v>0</v>
      </c>
      <c r="BC1894" s="31">
        <v>0</v>
      </c>
      <c r="BD1894" s="31">
        <v>0</v>
      </c>
      <c r="BE1894" s="60" t="s">
        <v>583</v>
      </c>
      <c r="BF1894" s="60" t="s">
        <v>584</v>
      </c>
      <c r="BG1894" s="32">
        <v>0</v>
      </c>
      <c r="BH1894" s="21">
        <v>0</v>
      </c>
      <c r="BI1894" s="32">
        <v>0</v>
      </c>
      <c r="BJ1894" s="32">
        <v>0</v>
      </c>
      <c r="BK1894" s="32">
        <v>0</v>
      </c>
      <c r="BL1894" s="32">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70106004</v>
      </c>
      <c r="D1895" s="35" t="s">
        <v>573</v>
      </c>
      <c r="E1895" s="35" t="s">
        <v>574</v>
      </c>
      <c r="F1895" s="32">
        <v>1</v>
      </c>
      <c r="G1895" s="32">
        <v>60010500</v>
      </c>
      <c r="H1895" s="32">
        <v>0</v>
      </c>
      <c r="I1895" s="31">
        <v>0</v>
      </c>
      <c r="J1895" s="32">
        <v>1</v>
      </c>
      <c r="K1895" s="32">
        <v>0</v>
      </c>
      <c r="L1895" s="32">
        <v>0</v>
      </c>
      <c r="M1895" s="32">
        <v>0</v>
      </c>
      <c r="N1895" s="32">
        <v>0</v>
      </c>
      <c r="O1895" s="21">
        <v>2</v>
      </c>
      <c r="P1895" s="32">
        <v>2</v>
      </c>
      <c r="Q1895" s="32">
        <v>0.6</v>
      </c>
      <c r="R1895" s="32">
        <v>0</v>
      </c>
      <c r="S1895" s="19">
        <v>0</v>
      </c>
      <c r="T1895" s="31">
        <v>0</v>
      </c>
      <c r="U1895" s="21">
        <v>1</v>
      </c>
      <c r="V1895" s="32">
        <v>2</v>
      </c>
      <c r="W1895" s="32">
        <v>0</v>
      </c>
      <c r="X1895" s="32">
        <v>0</v>
      </c>
      <c r="Y1895" s="19">
        <v>0</v>
      </c>
      <c r="Z1895" s="32">
        <v>0</v>
      </c>
      <c r="AA1895" s="32">
        <v>0</v>
      </c>
      <c r="AB1895" s="32">
        <v>0</v>
      </c>
      <c r="AC1895" s="32">
        <v>0</v>
      </c>
      <c r="AD1895" s="32">
        <v>0</v>
      </c>
      <c r="AE1895" s="32">
        <v>0</v>
      </c>
      <c r="AF1895" s="21">
        <v>30</v>
      </c>
      <c r="AG1895" s="32">
        <v>0</v>
      </c>
      <c r="AH1895" s="32">
        <v>0</v>
      </c>
      <c r="AI1895" s="19">
        <v>2</v>
      </c>
      <c r="AJ1895" s="19">
        <v>0</v>
      </c>
      <c r="AK1895" s="19">
        <v>0</v>
      </c>
      <c r="AL1895" s="19">
        <v>0</v>
      </c>
      <c r="AM1895" s="32">
        <v>0</v>
      </c>
      <c r="AN1895" s="32">
        <v>0</v>
      </c>
      <c r="AO1895" s="32">
        <v>0</v>
      </c>
      <c r="AP1895" s="32">
        <v>0</v>
      </c>
      <c r="AQ1895" s="32">
        <v>1000</v>
      </c>
      <c r="AR1895" s="32">
        <v>0</v>
      </c>
      <c r="AS1895" s="32">
        <v>0</v>
      </c>
      <c r="AT1895" s="19">
        <v>90104002</v>
      </c>
      <c r="AU1895" s="32" t="s">
        <v>204</v>
      </c>
      <c r="AV1895" s="32"/>
      <c r="AW1895" s="35" t="s">
        <v>205</v>
      </c>
      <c r="AX1895" s="32" t="s">
        <v>354</v>
      </c>
      <c r="AY1895" s="32">
        <v>0</v>
      </c>
      <c r="AZ1895" s="32">
        <v>0</v>
      </c>
      <c r="BA1895" s="35" t="s">
        <v>206</v>
      </c>
      <c r="BB1895" s="35" t="s">
        <v>204</v>
      </c>
      <c r="BC1895" s="31">
        <v>0</v>
      </c>
      <c r="BD1895" s="31">
        <v>0</v>
      </c>
      <c r="BE1895" s="60" t="s">
        <v>593</v>
      </c>
      <c r="BF1895" s="60" t="s">
        <v>594</v>
      </c>
      <c r="BG1895" s="32">
        <v>0</v>
      </c>
      <c r="BH1895" s="21">
        <v>0</v>
      </c>
      <c r="BI1895" s="32">
        <v>0</v>
      </c>
      <c r="BJ1895" s="32">
        <v>0</v>
      </c>
      <c r="BK1895" s="32">
        <v>0</v>
      </c>
      <c r="BL1895" s="32">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20.100000000000001" customHeight="1">
      <c r="C1896" s="32">
        <v>70106005</v>
      </c>
      <c r="D1896" s="30" t="s">
        <v>595</v>
      </c>
      <c r="E1896" s="30" t="s">
        <v>596</v>
      </c>
      <c r="F1896" s="32">
        <v>1</v>
      </c>
      <c r="G1896" s="21">
        <v>60010300</v>
      </c>
      <c r="H1896" s="32">
        <v>0</v>
      </c>
      <c r="I1896" s="31">
        <v>0</v>
      </c>
      <c r="J1896" s="32">
        <v>1</v>
      </c>
      <c r="K1896" s="32">
        <v>0</v>
      </c>
      <c r="L1896" s="32">
        <v>0</v>
      </c>
      <c r="M1896" s="21">
        <v>0</v>
      </c>
      <c r="N1896" s="21">
        <v>0</v>
      </c>
      <c r="O1896" s="21">
        <v>2</v>
      </c>
      <c r="P1896" s="21">
        <v>1</v>
      </c>
      <c r="Q1896" s="21">
        <v>0.6</v>
      </c>
      <c r="R1896" s="21">
        <v>0</v>
      </c>
      <c r="S1896" s="19">
        <v>0</v>
      </c>
      <c r="T1896" s="21">
        <v>0</v>
      </c>
      <c r="U1896" s="21">
        <v>1</v>
      </c>
      <c r="V1896" s="21">
        <v>2</v>
      </c>
      <c r="W1896" s="21">
        <v>0</v>
      </c>
      <c r="X1896" s="21">
        <v>0</v>
      </c>
      <c r="Y1896" s="19">
        <v>0</v>
      </c>
      <c r="Z1896" s="21">
        <v>0</v>
      </c>
      <c r="AA1896" s="21">
        <v>0</v>
      </c>
      <c r="AB1896" s="21">
        <v>0</v>
      </c>
      <c r="AC1896" s="21">
        <v>0</v>
      </c>
      <c r="AD1896" s="21">
        <v>0</v>
      </c>
      <c r="AE1896" s="21">
        <v>0</v>
      </c>
      <c r="AF1896" s="21">
        <v>20</v>
      </c>
      <c r="AG1896" s="21">
        <v>0</v>
      </c>
      <c r="AH1896" s="21">
        <v>0</v>
      </c>
      <c r="AI1896" s="19">
        <v>2</v>
      </c>
      <c r="AJ1896" s="19">
        <v>2</v>
      </c>
      <c r="AK1896" s="19">
        <v>0</v>
      </c>
      <c r="AL1896" s="19">
        <v>1.5</v>
      </c>
      <c r="AM1896" s="21">
        <v>0</v>
      </c>
      <c r="AN1896" s="21">
        <v>0</v>
      </c>
      <c r="AO1896" s="21">
        <v>0</v>
      </c>
      <c r="AP1896" s="21">
        <v>1</v>
      </c>
      <c r="AQ1896" s="21">
        <v>3000</v>
      </c>
      <c r="AR1896" s="21">
        <v>0.5</v>
      </c>
      <c r="AS1896" s="21">
        <v>0</v>
      </c>
      <c r="AT1896" s="19">
        <v>0</v>
      </c>
      <c r="AU1896" s="21" t="s">
        <v>204</v>
      </c>
      <c r="AV1896" s="21"/>
      <c r="AW1896" s="35" t="s">
        <v>205</v>
      </c>
      <c r="AX1896" s="21" t="s">
        <v>551</v>
      </c>
      <c r="AY1896" s="32">
        <v>0</v>
      </c>
      <c r="AZ1896" s="32">
        <v>0</v>
      </c>
      <c r="BA1896" s="30" t="s">
        <v>534</v>
      </c>
      <c r="BB1896" s="21" t="s">
        <v>597</v>
      </c>
      <c r="BC1896" s="31">
        <v>0</v>
      </c>
      <c r="BD1896" s="31">
        <v>0</v>
      </c>
      <c r="BE1896" s="33" t="s">
        <v>598</v>
      </c>
      <c r="BF1896" s="33" t="s">
        <v>599</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19.5" customHeight="1">
      <c r="C1897" s="32">
        <v>70107001</v>
      </c>
      <c r="D1897" s="30" t="s">
        <v>611</v>
      </c>
      <c r="E1897" s="30" t="s">
        <v>612</v>
      </c>
      <c r="F1897" s="32">
        <v>1</v>
      </c>
      <c r="G1897" s="21">
        <v>60010100</v>
      </c>
      <c r="H1897" s="32">
        <v>0</v>
      </c>
      <c r="I1897" s="31">
        <v>0</v>
      </c>
      <c r="J1897" s="32">
        <v>1</v>
      </c>
      <c r="K1897" s="32">
        <v>0</v>
      </c>
      <c r="L1897" s="32">
        <v>0</v>
      </c>
      <c r="M1897" s="21">
        <v>0</v>
      </c>
      <c r="N1897" s="21">
        <v>0</v>
      </c>
      <c r="O1897" s="21">
        <v>2</v>
      </c>
      <c r="P1897" s="21">
        <v>1</v>
      </c>
      <c r="Q1897" s="21">
        <v>0.3</v>
      </c>
      <c r="R1897" s="21">
        <v>0</v>
      </c>
      <c r="S1897" s="19">
        <v>0</v>
      </c>
      <c r="T1897" s="21">
        <v>0</v>
      </c>
      <c r="U1897" s="21">
        <v>1</v>
      </c>
      <c r="V1897" s="21">
        <v>2</v>
      </c>
      <c r="W1897" s="21">
        <v>0</v>
      </c>
      <c r="X1897" s="21">
        <v>3</v>
      </c>
      <c r="Y1897" s="19">
        <v>0</v>
      </c>
      <c r="Z1897" s="21">
        <v>0</v>
      </c>
      <c r="AA1897" s="21">
        <v>1</v>
      </c>
      <c r="AB1897" s="21">
        <v>0</v>
      </c>
      <c r="AC1897" s="21">
        <v>0</v>
      </c>
      <c r="AD1897" s="21">
        <v>0</v>
      </c>
      <c r="AE1897" s="21">
        <v>0</v>
      </c>
      <c r="AF1897" s="21">
        <v>12</v>
      </c>
      <c r="AG1897" s="21">
        <v>1</v>
      </c>
      <c r="AH1897" s="21" t="s">
        <v>613</v>
      </c>
      <c r="AI1897" s="19">
        <v>1</v>
      </c>
      <c r="AJ1897" s="19">
        <v>1</v>
      </c>
      <c r="AK1897" s="19">
        <v>0</v>
      </c>
      <c r="AL1897" s="19">
        <v>3</v>
      </c>
      <c r="AM1897" s="21">
        <v>0</v>
      </c>
      <c r="AN1897" s="21">
        <v>0</v>
      </c>
      <c r="AO1897" s="21">
        <v>0</v>
      </c>
      <c r="AP1897" s="21">
        <v>3</v>
      </c>
      <c r="AQ1897" s="21">
        <v>5000</v>
      </c>
      <c r="AR1897" s="21">
        <v>2.5</v>
      </c>
      <c r="AS1897" s="21">
        <v>0</v>
      </c>
      <c r="AT1897" s="19">
        <v>0</v>
      </c>
      <c r="AU1897" s="21" t="s">
        <v>204</v>
      </c>
      <c r="AV1897" s="21"/>
      <c r="AW1897" s="35" t="s">
        <v>293</v>
      </c>
      <c r="AX1897" s="21" t="s">
        <v>540</v>
      </c>
      <c r="AY1897" s="32">
        <v>10000007</v>
      </c>
      <c r="AZ1897" s="32">
        <v>70107001</v>
      </c>
      <c r="BA1897" s="30" t="s">
        <v>206</v>
      </c>
      <c r="BB1897" s="21">
        <v>0</v>
      </c>
      <c r="BC1897" s="31">
        <v>0</v>
      </c>
      <c r="BD1897" s="31">
        <v>0</v>
      </c>
      <c r="BE1897" s="33" t="s">
        <v>614</v>
      </c>
      <c r="BF1897" s="33" t="s">
        <v>615</v>
      </c>
      <c r="BG1897" s="21">
        <v>0</v>
      </c>
      <c r="BH1897" s="21">
        <v>0</v>
      </c>
      <c r="BI1897" s="21">
        <v>0</v>
      </c>
      <c r="BJ1897" s="21">
        <v>0</v>
      </c>
      <c r="BK1897" s="21">
        <v>0</v>
      </c>
      <c r="BL1897" s="21">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70107002</v>
      </c>
      <c r="D1898" s="30" t="s">
        <v>666</v>
      </c>
      <c r="E1898" s="30" t="s">
        <v>667</v>
      </c>
      <c r="F1898" s="32">
        <v>1</v>
      </c>
      <c r="G1898" s="21">
        <v>60010100</v>
      </c>
      <c r="H1898" s="32">
        <v>0</v>
      </c>
      <c r="I1898" s="31">
        <v>0</v>
      </c>
      <c r="J1898" s="32">
        <v>1</v>
      </c>
      <c r="K1898" s="32">
        <v>0</v>
      </c>
      <c r="L1898" s="32">
        <v>0</v>
      </c>
      <c r="M1898" s="21">
        <v>0</v>
      </c>
      <c r="N1898" s="21">
        <v>0</v>
      </c>
      <c r="O1898" s="21">
        <v>2</v>
      </c>
      <c r="P1898" s="21">
        <v>1</v>
      </c>
      <c r="Q1898" s="21">
        <v>0.3</v>
      </c>
      <c r="R1898" s="21">
        <v>0</v>
      </c>
      <c r="S1898" s="19">
        <v>0</v>
      </c>
      <c r="T1898" s="21">
        <v>0</v>
      </c>
      <c r="U1898" s="21">
        <v>1</v>
      </c>
      <c r="V1898" s="21">
        <v>2</v>
      </c>
      <c r="W1898" s="21">
        <v>0</v>
      </c>
      <c r="X1898" s="21">
        <v>3</v>
      </c>
      <c r="Y1898" s="19">
        <v>0</v>
      </c>
      <c r="Z1898" s="21">
        <v>0</v>
      </c>
      <c r="AA1898" s="21">
        <v>1</v>
      </c>
      <c r="AB1898" s="21">
        <v>0</v>
      </c>
      <c r="AC1898" s="21">
        <v>0</v>
      </c>
      <c r="AD1898" s="21">
        <v>0</v>
      </c>
      <c r="AE1898" s="21">
        <v>0</v>
      </c>
      <c r="AF1898" s="21">
        <v>12</v>
      </c>
      <c r="AG1898" s="21">
        <v>1</v>
      </c>
      <c r="AH1898" s="21">
        <v>3</v>
      </c>
      <c r="AI1898" s="19">
        <v>4</v>
      </c>
      <c r="AJ1898" s="19">
        <v>1</v>
      </c>
      <c r="AK1898" s="19">
        <v>0</v>
      </c>
      <c r="AL1898" s="19">
        <v>1.5</v>
      </c>
      <c r="AM1898" s="21">
        <v>0</v>
      </c>
      <c r="AN1898" s="21">
        <v>0</v>
      </c>
      <c r="AO1898" s="21">
        <v>0</v>
      </c>
      <c r="AP1898" s="21">
        <v>3</v>
      </c>
      <c r="AQ1898" s="21">
        <v>5000</v>
      </c>
      <c r="AR1898" s="21">
        <v>3</v>
      </c>
      <c r="AS1898" s="21">
        <v>0</v>
      </c>
      <c r="AT1898" s="19">
        <v>0</v>
      </c>
      <c r="AU1898" s="21" t="s">
        <v>204</v>
      </c>
      <c r="AV1898" s="21"/>
      <c r="AW1898" s="35" t="s">
        <v>205</v>
      </c>
      <c r="AX1898" s="21" t="s">
        <v>540</v>
      </c>
      <c r="AY1898" s="32">
        <v>10000007</v>
      </c>
      <c r="AZ1898" s="32">
        <v>70103003</v>
      </c>
      <c r="BA1898" s="30" t="s">
        <v>206</v>
      </c>
      <c r="BB1898" s="21" t="s">
        <v>4427</v>
      </c>
      <c r="BC1898" s="31">
        <v>0</v>
      </c>
      <c r="BD1898" s="31">
        <v>0</v>
      </c>
      <c r="BE1898" s="33" t="s">
        <v>669</v>
      </c>
      <c r="BF1898" s="33" t="s">
        <v>670</v>
      </c>
      <c r="BG1898" s="21">
        <v>0</v>
      </c>
      <c r="BH1898" s="21">
        <v>0</v>
      </c>
      <c r="BI1898" s="21">
        <v>0</v>
      </c>
      <c r="BJ1898" s="21">
        <v>0</v>
      </c>
      <c r="BK1898" s="21">
        <v>0</v>
      </c>
      <c r="BL1898" s="21">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20.100000000000001" customHeight="1">
      <c r="C1899" s="32">
        <v>70107003</v>
      </c>
      <c r="D1899" s="30" t="s">
        <v>671</v>
      </c>
      <c r="E1899" s="30" t="s">
        <v>612</v>
      </c>
      <c r="F1899" s="21">
        <v>1</v>
      </c>
      <c r="G1899" s="21">
        <v>60010100</v>
      </c>
      <c r="H1899" s="32">
        <v>0</v>
      </c>
      <c r="I1899" s="31">
        <v>0</v>
      </c>
      <c r="J1899" s="32">
        <v>1</v>
      </c>
      <c r="K1899" s="32">
        <v>0</v>
      </c>
      <c r="L1899" s="32">
        <v>0</v>
      </c>
      <c r="M1899" s="21">
        <v>0</v>
      </c>
      <c r="N1899" s="21">
        <v>0</v>
      </c>
      <c r="O1899" s="21">
        <v>2</v>
      </c>
      <c r="P1899" s="21">
        <v>1</v>
      </c>
      <c r="Q1899" s="21">
        <v>0.3</v>
      </c>
      <c r="R1899" s="21">
        <v>0</v>
      </c>
      <c r="S1899" s="19">
        <v>0</v>
      </c>
      <c r="T1899" s="21">
        <v>0</v>
      </c>
      <c r="U1899" s="21">
        <v>1</v>
      </c>
      <c r="V1899" s="21">
        <v>2</v>
      </c>
      <c r="W1899" s="21">
        <v>0</v>
      </c>
      <c r="X1899" s="21">
        <v>3</v>
      </c>
      <c r="Y1899" s="19">
        <v>0</v>
      </c>
      <c r="Z1899" s="21">
        <v>0</v>
      </c>
      <c r="AA1899" s="21">
        <v>0</v>
      </c>
      <c r="AB1899" s="21">
        <v>0</v>
      </c>
      <c r="AC1899" s="21">
        <v>0</v>
      </c>
      <c r="AD1899" s="21">
        <v>0</v>
      </c>
      <c r="AE1899" s="21">
        <v>0</v>
      </c>
      <c r="AF1899" s="21">
        <v>12</v>
      </c>
      <c r="AG1899" s="21">
        <v>1</v>
      </c>
      <c r="AH1899" s="21">
        <v>3</v>
      </c>
      <c r="AI1899" s="19">
        <v>6</v>
      </c>
      <c r="AJ1899" s="19">
        <v>1</v>
      </c>
      <c r="AK1899" s="19">
        <v>0</v>
      </c>
      <c r="AL1899" s="19">
        <v>1.5</v>
      </c>
      <c r="AM1899" s="21">
        <v>0</v>
      </c>
      <c r="AN1899" s="21">
        <v>0</v>
      </c>
      <c r="AO1899" s="21">
        <v>0</v>
      </c>
      <c r="AP1899" s="21">
        <v>3</v>
      </c>
      <c r="AQ1899" s="21">
        <v>5000</v>
      </c>
      <c r="AR1899" s="21">
        <v>3</v>
      </c>
      <c r="AS1899" s="21">
        <v>0</v>
      </c>
      <c r="AT1899" s="19">
        <v>0</v>
      </c>
      <c r="AU1899" s="21" t="s">
        <v>204</v>
      </c>
      <c r="AV1899" s="21"/>
      <c r="AW1899" s="35" t="s">
        <v>262</v>
      </c>
      <c r="AX1899" s="21" t="s">
        <v>540</v>
      </c>
      <c r="AY1899" s="32">
        <v>10000007</v>
      </c>
      <c r="AZ1899" s="32">
        <v>70103003</v>
      </c>
      <c r="BA1899" s="30" t="s">
        <v>206</v>
      </c>
      <c r="BB1899" s="21" t="s">
        <v>4428</v>
      </c>
      <c r="BC1899" s="31">
        <v>0</v>
      </c>
      <c r="BD1899" s="31">
        <v>0</v>
      </c>
      <c r="BE1899" s="33" t="s">
        <v>673</v>
      </c>
      <c r="BF1899" s="33" t="s">
        <v>674</v>
      </c>
      <c r="BG1899" s="21">
        <v>0</v>
      </c>
      <c r="BH1899" s="21">
        <v>0</v>
      </c>
      <c r="BI1899" s="21">
        <v>0</v>
      </c>
      <c r="BJ1899" s="21">
        <v>0</v>
      </c>
      <c r="BK1899" s="21">
        <v>0</v>
      </c>
      <c r="BL1899" s="21">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19.5" customHeight="1">
      <c r="C1900" s="32">
        <v>70107004</v>
      </c>
      <c r="D1900" s="35" t="s">
        <v>675</v>
      </c>
      <c r="E1900" s="35" t="s">
        <v>676</v>
      </c>
      <c r="F1900" s="32">
        <v>1</v>
      </c>
      <c r="G1900" s="32">
        <v>60010500</v>
      </c>
      <c r="H1900" s="32">
        <v>0</v>
      </c>
      <c r="I1900" s="31">
        <v>0</v>
      </c>
      <c r="J1900" s="32">
        <v>1</v>
      </c>
      <c r="K1900" s="32">
        <v>0</v>
      </c>
      <c r="L1900" s="32">
        <v>0</v>
      </c>
      <c r="M1900" s="32">
        <v>0</v>
      </c>
      <c r="N1900" s="32">
        <v>0</v>
      </c>
      <c r="O1900" s="21">
        <v>2</v>
      </c>
      <c r="P1900" s="32">
        <v>2</v>
      </c>
      <c r="Q1900" s="32">
        <v>0.6</v>
      </c>
      <c r="R1900" s="32">
        <v>0</v>
      </c>
      <c r="S1900" s="19">
        <v>0</v>
      </c>
      <c r="T1900" s="31">
        <v>0</v>
      </c>
      <c r="U1900" s="21">
        <v>1</v>
      </c>
      <c r="V1900" s="32">
        <v>2</v>
      </c>
      <c r="W1900" s="32">
        <v>0</v>
      </c>
      <c r="X1900" s="32">
        <v>0</v>
      </c>
      <c r="Y1900" s="19">
        <v>0</v>
      </c>
      <c r="Z1900" s="32">
        <v>0</v>
      </c>
      <c r="AA1900" s="32">
        <v>0</v>
      </c>
      <c r="AB1900" s="32">
        <v>0</v>
      </c>
      <c r="AC1900" s="32">
        <v>0</v>
      </c>
      <c r="AD1900" s="32">
        <v>0</v>
      </c>
      <c r="AE1900" s="32">
        <v>0</v>
      </c>
      <c r="AF1900" s="32">
        <v>20</v>
      </c>
      <c r="AG1900" s="32">
        <v>0</v>
      </c>
      <c r="AH1900" s="32">
        <v>0</v>
      </c>
      <c r="AI1900" s="19">
        <v>2</v>
      </c>
      <c r="AJ1900" s="19">
        <v>0</v>
      </c>
      <c r="AK1900" s="19">
        <v>0</v>
      </c>
      <c r="AL1900" s="19">
        <v>0</v>
      </c>
      <c r="AM1900" s="32">
        <v>0</v>
      </c>
      <c r="AN1900" s="32">
        <v>0</v>
      </c>
      <c r="AO1900" s="32">
        <v>0</v>
      </c>
      <c r="AP1900" s="32">
        <v>0</v>
      </c>
      <c r="AQ1900" s="32">
        <v>1000</v>
      </c>
      <c r="AR1900" s="32">
        <v>0</v>
      </c>
      <c r="AS1900" s="32">
        <v>0</v>
      </c>
      <c r="AT1900" s="19">
        <v>90102001</v>
      </c>
      <c r="AU1900" s="32" t="s">
        <v>204</v>
      </c>
      <c r="AV1900" s="32"/>
      <c r="AW1900" s="35" t="s">
        <v>205</v>
      </c>
      <c r="AX1900" s="32" t="s">
        <v>354</v>
      </c>
      <c r="AY1900" s="32">
        <v>0</v>
      </c>
      <c r="AZ1900" s="32">
        <v>40000003</v>
      </c>
      <c r="BA1900" s="35" t="s">
        <v>206</v>
      </c>
      <c r="BB1900" s="35" t="s">
        <v>204</v>
      </c>
      <c r="BC1900" s="31">
        <v>0</v>
      </c>
      <c r="BD1900" s="31">
        <v>0</v>
      </c>
      <c r="BE1900" s="60" t="s">
        <v>677</v>
      </c>
      <c r="BF1900" s="60" t="s">
        <v>678</v>
      </c>
      <c r="BG1900" s="32">
        <v>0</v>
      </c>
      <c r="BH1900" s="21">
        <v>0</v>
      </c>
      <c r="BI1900" s="32">
        <v>0</v>
      </c>
      <c r="BJ1900" s="32">
        <v>0</v>
      </c>
      <c r="BK1900" s="32">
        <v>0</v>
      </c>
      <c r="BL1900" s="32">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70107005</v>
      </c>
      <c r="D1901" s="35" t="s">
        <v>679</v>
      </c>
      <c r="E1901" s="35" t="s">
        <v>680</v>
      </c>
      <c r="F1901" s="32">
        <v>1</v>
      </c>
      <c r="G1901" s="32">
        <v>60010500</v>
      </c>
      <c r="H1901" s="32">
        <v>0</v>
      </c>
      <c r="I1901" s="31">
        <v>0</v>
      </c>
      <c r="J1901" s="32">
        <v>1</v>
      </c>
      <c r="K1901" s="32">
        <v>0</v>
      </c>
      <c r="L1901" s="32">
        <v>0</v>
      </c>
      <c r="M1901" s="32">
        <v>0</v>
      </c>
      <c r="N1901" s="32">
        <v>0</v>
      </c>
      <c r="O1901" s="21">
        <v>2</v>
      </c>
      <c r="P1901" s="32">
        <v>2</v>
      </c>
      <c r="Q1901" s="32">
        <v>0.6</v>
      </c>
      <c r="R1901" s="32">
        <v>0</v>
      </c>
      <c r="S1901" s="19">
        <v>0</v>
      </c>
      <c r="T1901" s="31">
        <v>0</v>
      </c>
      <c r="U1901" s="21">
        <v>1</v>
      </c>
      <c r="V1901" s="32">
        <v>2</v>
      </c>
      <c r="W1901" s="32">
        <v>0</v>
      </c>
      <c r="X1901" s="32">
        <v>0</v>
      </c>
      <c r="Y1901" s="19">
        <v>0</v>
      </c>
      <c r="Z1901" s="32">
        <v>0</v>
      </c>
      <c r="AA1901" s="32">
        <v>0</v>
      </c>
      <c r="AB1901" s="32">
        <v>0</v>
      </c>
      <c r="AC1901" s="32">
        <v>0</v>
      </c>
      <c r="AD1901" s="32">
        <v>0</v>
      </c>
      <c r="AE1901" s="32">
        <v>0</v>
      </c>
      <c r="AF1901" s="21">
        <v>99999</v>
      </c>
      <c r="AG1901" s="32">
        <v>0</v>
      </c>
      <c r="AH1901" s="32">
        <v>0</v>
      </c>
      <c r="AI1901" s="19">
        <v>2</v>
      </c>
      <c r="AJ1901" s="19">
        <v>0</v>
      </c>
      <c r="AK1901" s="19">
        <v>0</v>
      </c>
      <c r="AL1901" s="19">
        <v>0</v>
      </c>
      <c r="AM1901" s="32">
        <v>0</v>
      </c>
      <c r="AN1901" s="32">
        <v>0</v>
      </c>
      <c r="AO1901" s="32">
        <v>0</v>
      </c>
      <c r="AP1901" s="32">
        <v>0</v>
      </c>
      <c r="AQ1901" s="32">
        <v>1000</v>
      </c>
      <c r="AR1901" s="32">
        <v>0</v>
      </c>
      <c r="AS1901" s="32">
        <v>0</v>
      </c>
      <c r="AT1901" s="19">
        <v>90104002</v>
      </c>
      <c r="AU1901" s="32" t="s">
        <v>204</v>
      </c>
      <c r="AV1901" s="32"/>
      <c r="AW1901" s="35" t="s">
        <v>205</v>
      </c>
      <c r="AX1901" s="32" t="s">
        <v>354</v>
      </c>
      <c r="AY1901" s="32">
        <v>0</v>
      </c>
      <c r="AZ1901" s="32">
        <v>0</v>
      </c>
      <c r="BA1901" s="35" t="s">
        <v>206</v>
      </c>
      <c r="BB1901" s="35" t="s">
        <v>204</v>
      </c>
      <c r="BC1901" s="31">
        <v>0</v>
      </c>
      <c r="BD1901" s="31">
        <v>0</v>
      </c>
      <c r="BE1901" s="60" t="s">
        <v>681</v>
      </c>
      <c r="BF1901" s="60" t="s">
        <v>682</v>
      </c>
      <c r="BG1901" s="32">
        <v>0</v>
      </c>
      <c r="BH1901" s="21">
        <v>0</v>
      </c>
      <c r="BI1901" s="32">
        <v>0</v>
      </c>
      <c r="BJ1901" s="32">
        <v>0</v>
      </c>
      <c r="BK1901" s="32">
        <v>0</v>
      </c>
      <c r="BL1901" s="32">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70107006</v>
      </c>
      <c r="D1902" s="30" t="s">
        <v>4421</v>
      </c>
      <c r="E1902" s="30" t="s">
        <v>4422</v>
      </c>
      <c r="F1902" s="21">
        <v>1</v>
      </c>
      <c r="G1902" s="21">
        <v>60010300</v>
      </c>
      <c r="H1902" s="32">
        <v>0</v>
      </c>
      <c r="I1902" s="31">
        <v>0</v>
      </c>
      <c r="J1902" s="32">
        <v>1</v>
      </c>
      <c r="K1902" s="32">
        <v>0</v>
      </c>
      <c r="L1902" s="32">
        <v>0</v>
      </c>
      <c r="M1902" s="21">
        <v>0</v>
      </c>
      <c r="N1902" s="21">
        <v>0</v>
      </c>
      <c r="O1902" s="21">
        <v>2</v>
      </c>
      <c r="P1902" s="21">
        <v>2</v>
      </c>
      <c r="Q1902" s="21">
        <v>0.8</v>
      </c>
      <c r="R1902" s="21">
        <v>0</v>
      </c>
      <c r="S1902" s="19">
        <v>0</v>
      </c>
      <c r="T1902" s="21">
        <v>0</v>
      </c>
      <c r="U1902" s="21">
        <v>1</v>
      </c>
      <c r="V1902" s="21">
        <v>2</v>
      </c>
      <c r="W1902" s="21">
        <v>0</v>
      </c>
      <c r="X1902" s="21">
        <v>0</v>
      </c>
      <c r="Y1902" s="19">
        <v>0</v>
      </c>
      <c r="Z1902" s="21">
        <v>0</v>
      </c>
      <c r="AA1902" s="21">
        <v>0</v>
      </c>
      <c r="AB1902" s="21">
        <v>0</v>
      </c>
      <c r="AC1902" s="21">
        <v>0</v>
      </c>
      <c r="AD1902" s="21">
        <v>0</v>
      </c>
      <c r="AE1902" s="21">
        <v>0</v>
      </c>
      <c r="AF1902" s="21">
        <v>30</v>
      </c>
      <c r="AG1902" s="21">
        <v>0</v>
      </c>
      <c r="AH1902" s="21">
        <v>0</v>
      </c>
      <c r="AI1902" s="19">
        <v>2</v>
      </c>
      <c r="AJ1902" s="19">
        <v>2</v>
      </c>
      <c r="AK1902" s="19">
        <v>0</v>
      </c>
      <c r="AL1902" s="19">
        <v>1.5</v>
      </c>
      <c r="AM1902" s="21">
        <v>0</v>
      </c>
      <c r="AN1902" s="21">
        <v>0</v>
      </c>
      <c r="AO1902" s="21">
        <v>0</v>
      </c>
      <c r="AP1902" s="21">
        <v>1</v>
      </c>
      <c r="AQ1902" s="21">
        <v>3000</v>
      </c>
      <c r="AR1902" s="21">
        <v>0.5</v>
      </c>
      <c r="AS1902" s="21">
        <v>0</v>
      </c>
      <c r="AT1902" s="19">
        <v>0</v>
      </c>
      <c r="AU1902" s="21" t="s">
        <v>204</v>
      </c>
      <c r="AV1902" s="21"/>
      <c r="AW1902" s="35" t="s">
        <v>205</v>
      </c>
      <c r="AX1902" s="21" t="s">
        <v>551</v>
      </c>
      <c r="AY1902" s="32">
        <v>0</v>
      </c>
      <c r="AZ1902" s="32">
        <v>0</v>
      </c>
      <c r="BA1902" s="30" t="s">
        <v>534</v>
      </c>
      <c r="BB1902" s="21" t="s">
        <v>4429</v>
      </c>
      <c r="BC1902" s="31">
        <v>0</v>
      </c>
      <c r="BD1902" s="31">
        <v>0</v>
      </c>
      <c r="BE1902" s="33" t="s">
        <v>4430</v>
      </c>
      <c r="BF1902" s="33" t="s">
        <v>4431</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70201001</v>
      </c>
      <c r="D1903" s="30" t="s">
        <v>754</v>
      </c>
      <c r="E1903" s="30" t="s">
        <v>755</v>
      </c>
      <c r="F1903" s="32">
        <v>1</v>
      </c>
      <c r="G1903" s="21">
        <v>60010100</v>
      </c>
      <c r="H1903" s="32">
        <v>0</v>
      </c>
      <c r="I1903" s="31">
        <v>0</v>
      </c>
      <c r="J1903" s="32">
        <v>1</v>
      </c>
      <c r="K1903" s="32">
        <v>0</v>
      </c>
      <c r="L1903" s="32">
        <v>0</v>
      </c>
      <c r="M1903" s="21">
        <v>0</v>
      </c>
      <c r="N1903" s="21">
        <v>0</v>
      </c>
      <c r="O1903" s="21">
        <v>2</v>
      </c>
      <c r="P1903" s="21">
        <v>1</v>
      </c>
      <c r="Q1903" s="21">
        <v>1</v>
      </c>
      <c r="R1903" s="21">
        <v>0</v>
      </c>
      <c r="S1903" s="19">
        <v>0</v>
      </c>
      <c r="T1903" s="21">
        <v>0</v>
      </c>
      <c r="U1903" s="21">
        <v>1</v>
      </c>
      <c r="V1903" s="21">
        <v>2</v>
      </c>
      <c r="W1903" s="21">
        <v>0</v>
      </c>
      <c r="X1903" s="21">
        <v>2</v>
      </c>
      <c r="Y1903" s="19">
        <v>0</v>
      </c>
      <c r="Z1903" s="21">
        <v>0</v>
      </c>
      <c r="AA1903" s="21">
        <v>1</v>
      </c>
      <c r="AB1903" s="21">
        <v>0</v>
      </c>
      <c r="AC1903" s="21">
        <v>0</v>
      </c>
      <c r="AD1903" s="21">
        <v>0</v>
      </c>
      <c r="AE1903" s="21">
        <v>0</v>
      </c>
      <c r="AF1903" s="21">
        <v>12</v>
      </c>
      <c r="AG1903" s="21">
        <v>2</v>
      </c>
      <c r="AH1903" s="21" t="s">
        <v>219</v>
      </c>
      <c r="AI1903" s="19">
        <v>0</v>
      </c>
      <c r="AJ1903" s="19">
        <v>0</v>
      </c>
      <c r="AK1903" s="19">
        <v>0</v>
      </c>
      <c r="AL1903" s="19">
        <v>1.5</v>
      </c>
      <c r="AM1903" s="21">
        <v>0</v>
      </c>
      <c r="AN1903" s="21">
        <v>0</v>
      </c>
      <c r="AO1903" s="21">
        <v>0</v>
      </c>
      <c r="AP1903" s="21">
        <v>1</v>
      </c>
      <c r="AQ1903" s="21">
        <v>5000</v>
      </c>
      <c r="AR1903" s="21">
        <v>0.5</v>
      </c>
      <c r="AS1903" s="21">
        <v>0</v>
      </c>
      <c r="AT1903" s="19">
        <v>0</v>
      </c>
      <c r="AU1903" s="21" t="s">
        <v>204</v>
      </c>
      <c r="AV1903" s="21"/>
      <c r="AW1903" s="35" t="s">
        <v>293</v>
      </c>
      <c r="AX1903" s="21" t="s">
        <v>540</v>
      </c>
      <c r="AY1903" s="32">
        <v>10000007</v>
      </c>
      <c r="AZ1903" s="32">
        <v>70201001</v>
      </c>
      <c r="BA1903" s="30" t="s">
        <v>206</v>
      </c>
      <c r="BB1903" s="21">
        <v>0</v>
      </c>
      <c r="BC1903" s="31">
        <v>0</v>
      </c>
      <c r="BD1903" s="31">
        <v>0</v>
      </c>
      <c r="BE1903" s="33" t="s">
        <v>756</v>
      </c>
      <c r="BF1903" s="33" t="s">
        <v>757</v>
      </c>
      <c r="BG1903" s="21">
        <v>0</v>
      </c>
      <c r="BH1903" s="21">
        <v>0</v>
      </c>
      <c r="BI1903" s="21">
        <v>0</v>
      </c>
      <c r="BJ1903" s="21">
        <v>0</v>
      </c>
      <c r="BK1903" s="21">
        <v>0</v>
      </c>
      <c r="BL1903" s="21">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20.100000000000001" customHeight="1">
      <c r="C1904" s="32">
        <v>70201002</v>
      </c>
      <c r="D1904" s="30" t="s">
        <v>606</v>
      </c>
      <c r="E1904" s="30" t="s">
        <v>607</v>
      </c>
      <c r="F1904" s="21">
        <v>1</v>
      </c>
      <c r="G1904" s="21">
        <v>60010300</v>
      </c>
      <c r="H1904" s="32">
        <v>0</v>
      </c>
      <c r="I1904" s="31">
        <v>0</v>
      </c>
      <c r="J1904" s="32">
        <v>1</v>
      </c>
      <c r="K1904" s="32">
        <v>0</v>
      </c>
      <c r="L1904" s="32">
        <v>0</v>
      </c>
      <c r="M1904" s="21">
        <v>0</v>
      </c>
      <c r="N1904" s="21">
        <v>0</v>
      </c>
      <c r="O1904" s="21">
        <v>2</v>
      </c>
      <c r="P1904" s="21">
        <v>2</v>
      </c>
      <c r="Q1904" s="21">
        <v>0.8</v>
      </c>
      <c r="R1904" s="21">
        <v>0</v>
      </c>
      <c r="S1904" s="19">
        <v>0</v>
      </c>
      <c r="T1904" s="21">
        <v>0</v>
      </c>
      <c r="U1904" s="21">
        <v>1</v>
      </c>
      <c r="V1904" s="21">
        <v>2</v>
      </c>
      <c r="W1904" s="21">
        <v>0</v>
      </c>
      <c r="X1904" s="21">
        <v>0</v>
      </c>
      <c r="Y1904" s="19">
        <v>0</v>
      </c>
      <c r="Z1904" s="21">
        <v>0</v>
      </c>
      <c r="AA1904" s="21">
        <v>0</v>
      </c>
      <c r="AB1904" s="21">
        <v>0</v>
      </c>
      <c r="AC1904" s="21">
        <v>0</v>
      </c>
      <c r="AD1904" s="21">
        <v>0</v>
      </c>
      <c r="AE1904" s="21">
        <v>0</v>
      </c>
      <c r="AF1904" s="21">
        <v>30</v>
      </c>
      <c r="AG1904" s="21">
        <v>0</v>
      </c>
      <c r="AH1904" s="21">
        <v>0</v>
      </c>
      <c r="AI1904" s="19">
        <v>2</v>
      </c>
      <c r="AJ1904" s="19">
        <v>2</v>
      </c>
      <c r="AK1904" s="19">
        <v>0</v>
      </c>
      <c r="AL1904" s="19">
        <v>1.5</v>
      </c>
      <c r="AM1904" s="21">
        <v>0</v>
      </c>
      <c r="AN1904" s="21">
        <v>0</v>
      </c>
      <c r="AO1904" s="21">
        <v>0</v>
      </c>
      <c r="AP1904" s="21">
        <v>1</v>
      </c>
      <c r="AQ1904" s="21">
        <v>3000</v>
      </c>
      <c r="AR1904" s="21">
        <v>0.5</v>
      </c>
      <c r="AS1904" s="21">
        <v>0</v>
      </c>
      <c r="AT1904" s="19">
        <v>0</v>
      </c>
      <c r="AU1904" s="21" t="s">
        <v>204</v>
      </c>
      <c r="AV1904" s="21"/>
      <c r="AW1904" s="35" t="s">
        <v>262</v>
      </c>
      <c r="AX1904" s="21" t="s">
        <v>551</v>
      </c>
      <c r="AY1904" s="32">
        <v>0</v>
      </c>
      <c r="AZ1904" s="32">
        <v>0</v>
      </c>
      <c r="BA1904" s="30" t="s">
        <v>534</v>
      </c>
      <c r="BB1904" s="21" t="s">
        <v>4432</v>
      </c>
      <c r="BC1904" s="31">
        <v>0</v>
      </c>
      <c r="BD1904" s="31">
        <v>0</v>
      </c>
      <c r="BE1904" s="33" t="s">
        <v>609</v>
      </c>
      <c r="BF1904" s="33" t="s">
        <v>610</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70201003</v>
      </c>
      <c r="D1905" s="30" t="s">
        <v>4433</v>
      </c>
      <c r="E1905" s="30" t="s">
        <v>4434</v>
      </c>
      <c r="F1905" s="32">
        <v>1</v>
      </c>
      <c r="G1905" s="21">
        <v>60010100</v>
      </c>
      <c r="H1905" s="32">
        <v>0</v>
      </c>
      <c r="I1905" s="31">
        <v>0</v>
      </c>
      <c r="J1905" s="32">
        <v>1</v>
      </c>
      <c r="K1905" s="32">
        <v>0</v>
      </c>
      <c r="L1905" s="32">
        <v>0</v>
      </c>
      <c r="M1905" s="21">
        <v>0</v>
      </c>
      <c r="N1905" s="21">
        <v>0</v>
      </c>
      <c r="O1905" s="21">
        <v>2</v>
      </c>
      <c r="P1905" s="21">
        <v>1</v>
      </c>
      <c r="Q1905" s="21">
        <v>1</v>
      </c>
      <c r="R1905" s="21">
        <v>0</v>
      </c>
      <c r="S1905" s="19">
        <v>0</v>
      </c>
      <c r="T1905" s="21">
        <v>0</v>
      </c>
      <c r="U1905" s="21">
        <v>1</v>
      </c>
      <c r="V1905" s="21">
        <v>2</v>
      </c>
      <c r="W1905" s="21">
        <v>0</v>
      </c>
      <c r="X1905" s="21">
        <v>2</v>
      </c>
      <c r="Y1905" s="19">
        <v>0</v>
      </c>
      <c r="Z1905" s="21">
        <v>0</v>
      </c>
      <c r="AA1905" s="21">
        <v>1</v>
      </c>
      <c r="AB1905" s="21">
        <v>0</v>
      </c>
      <c r="AC1905" s="21">
        <v>0</v>
      </c>
      <c r="AD1905" s="21">
        <v>0</v>
      </c>
      <c r="AE1905" s="21">
        <v>0</v>
      </c>
      <c r="AF1905" s="21">
        <v>15</v>
      </c>
      <c r="AG1905" s="21">
        <v>1</v>
      </c>
      <c r="AH1905" s="21" t="s">
        <v>4435</v>
      </c>
      <c r="AI1905" s="19">
        <v>0</v>
      </c>
      <c r="AJ1905" s="19">
        <v>1</v>
      </c>
      <c r="AK1905" s="19">
        <v>0</v>
      </c>
      <c r="AL1905" s="19">
        <v>2.5</v>
      </c>
      <c r="AM1905" s="21">
        <v>0</v>
      </c>
      <c r="AN1905" s="21">
        <v>0</v>
      </c>
      <c r="AO1905" s="21">
        <v>0</v>
      </c>
      <c r="AP1905" s="21">
        <v>4</v>
      </c>
      <c r="AQ1905" s="21">
        <v>5000</v>
      </c>
      <c r="AR1905" s="21">
        <v>3</v>
      </c>
      <c r="AS1905" s="21">
        <v>0</v>
      </c>
      <c r="AT1905" s="19">
        <v>0</v>
      </c>
      <c r="AU1905" s="21" t="s">
        <v>204</v>
      </c>
      <c r="AV1905" s="21"/>
      <c r="AW1905" s="35" t="s">
        <v>623</v>
      </c>
      <c r="AX1905" s="21" t="s">
        <v>540</v>
      </c>
      <c r="AY1905" s="32">
        <v>10000007</v>
      </c>
      <c r="AZ1905" s="32">
        <v>70201003</v>
      </c>
      <c r="BA1905" s="30" t="s">
        <v>206</v>
      </c>
      <c r="BB1905" s="21">
        <v>0</v>
      </c>
      <c r="BC1905" s="31">
        <v>0</v>
      </c>
      <c r="BD1905" s="31">
        <v>0</v>
      </c>
      <c r="BE1905" s="33" t="s">
        <v>4436</v>
      </c>
      <c r="BF1905" s="33" t="s">
        <v>4437</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20.100000000000001" customHeight="1">
      <c r="C1906" s="32">
        <v>70201004</v>
      </c>
      <c r="D1906" s="35" t="s">
        <v>4438</v>
      </c>
      <c r="E1906" s="35" t="s">
        <v>4439</v>
      </c>
      <c r="F1906" s="32">
        <v>1</v>
      </c>
      <c r="G1906" s="32">
        <v>60010500</v>
      </c>
      <c r="H1906" s="32">
        <v>0</v>
      </c>
      <c r="I1906" s="31">
        <v>0</v>
      </c>
      <c r="J1906" s="32">
        <v>1</v>
      </c>
      <c r="K1906" s="32">
        <v>0</v>
      </c>
      <c r="L1906" s="32">
        <v>0</v>
      </c>
      <c r="M1906" s="32">
        <v>0</v>
      </c>
      <c r="N1906" s="32">
        <v>0</v>
      </c>
      <c r="O1906" s="21">
        <v>2</v>
      </c>
      <c r="P1906" s="32">
        <v>2</v>
      </c>
      <c r="Q1906" s="32">
        <v>0.3</v>
      </c>
      <c r="R1906" s="32">
        <v>0</v>
      </c>
      <c r="S1906" s="19">
        <v>0</v>
      </c>
      <c r="T1906" s="31">
        <v>0</v>
      </c>
      <c r="U1906" s="21">
        <v>1</v>
      </c>
      <c r="V1906" s="32">
        <v>2</v>
      </c>
      <c r="W1906" s="32">
        <v>0</v>
      </c>
      <c r="X1906" s="32">
        <v>0</v>
      </c>
      <c r="Y1906" s="19">
        <v>0</v>
      </c>
      <c r="Z1906" s="32">
        <v>0</v>
      </c>
      <c r="AA1906" s="32">
        <v>0</v>
      </c>
      <c r="AB1906" s="32">
        <v>0</v>
      </c>
      <c r="AC1906" s="32">
        <v>0</v>
      </c>
      <c r="AD1906" s="21">
        <v>0</v>
      </c>
      <c r="AE1906" s="32">
        <v>0</v>
      </c>
      <c r="AF1906" s="21">
        <v>99999</v>
      </c>
      <c r="AG1906" s="32">
        <v>0</v>
      </c>
      <c r="AH1906" s="32">
        <v>0</v>
      </c>
      <c r="AI1906" s="19">
        <v>2</v>
      </c>
      <c r="AJ1906" s="19">
        <v>0</v>
      </c>
      <c r="AK1906" s="19">
        <v>0</v>
      </c>
      <c r="AL1906" s="19">
        <v>0</v>
      </c>
      <c r="AM1906" s="32">
        <v>0</v>
      </c>
      <c r="AN1906" s="32">
        <v>0</v>
      </c>
      <c r="AO1906" s="32">
        <v>0</v>
      </c>
      <c r="AP1906" s="32">
        <v>0</v>
      </c>
      <c r="AQ1906" s="32">
        <v>1000</v>
      </c>
      <c r="AR1906" s="32">
        <v>0</v>
      </c>
      <c r="AS1906" s="32">
        <v>0</v>
      </c>
      <c r="AT1906" s="19" t="s">
        <v>760</v>
      </c>
      <c r="AU1906" s="32" t="s">
        <v>204</v>
      </c>
      <c r="AV1906" s="32"/>
      <c r="AW1906" s="35" t="s">
        <v>205</v>
      </c>
      <c r="AX1906" s="32" t="s">
        <v>354</v>
      </c>
      <c r="AY1906" s="32">
        <v>0</v>
      </c>
      <c r="AZ1906" s="32">
        <v>0</v>
      </c>
      <c r="BA1906" s="35" t="s">
        <v>206</v>
      </c>
      <c r="BB1906" s="35" t="s">
        <v>204</v>
      </c>
      <c r="BC1906" s="31">
        <v>0</v>
      </c>
      <c r="BD1906" s="31">
        <v>0</v>
      </c>
      <c r="BE1906" s="60" t="s">
        <v>761</v>
      </c>
      <c r="BF1906" s="60" t="s">
        <v>762</v>
      </c>
      <c r="BG1906" s="32">
        <v>0</v>
      </c>
      <c r="BH1906" s="21">
        <v>0</v>
      </c>
      <c r="BI1906" s="32">
        <v>0</v>
      </c>
      <c r="BJ1906" s="32">
        <v>0</v>
      </c>
      <c r="BK1906" s="32">
        <v>0</v>
      </c>
      <c r="BL1906" s="32">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19.5" customHeight="1">
      <c r="C1907" s="32">
        <v>70202001</v>
      </c>
      <c r="D1907" s="30" t="s">
        <v>1023</v>
      </c>
      <c r="E1907" s="30" t="s">
        <v>1024</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3</v>
      </c>
      <c r="Y1907" s="19">
        <v>0</v>
      </c>
      <c r="Z1907" s="21">
        <v>0</v>
      </c>
      <c r="AA1907" s="21">
        <v>1</v>
      </c>
      <c r="AB1907" s="21">
        <v>0</v>
      </c>
      <c r="AC1907" s="21">
        <v>0</v>
      </c>
      <c r="AD1907" s="21">
        <v>0</v>
      </c>
      <c r="AE1907" s="21">
        <v>0</v>
      </c>
      <c r="AF1907" s="21">
        <v>15</v>
      </c>
      <c r="AG1907" s="21">
        <v>1</v>
      </c>
      <c r="AH1907" s="21" t="s">
        <v>613</v>
      </c>
      <c r="AI1907" s="19">
        <v>1</v>
      </c>
      <c r="AJ1907" s="19">
        <v>1</v>
      </c>
      <c r="AK1907" s="19">
        <v>0</v>
      </c>
      <c r="AL1907" s="19">
        <v>3</v>
      </c>
      <c r="AM1907" s="21">
        <v>0</v>
      </c>
      <c r="AN1907" s="21">
        <v>0</v>
      </c>
      <c r="AO1907" s="21">
        <v>0</v>
      </c>
      <c r="AP1907" s="21">
        <v>3</v>
      </c>
      <c r="AQ1907" s="21">
        <v>5000</v>
      </c>
      <c r="AR1907" s="21">
        <v>2.5</v>
      </c>
      <c r="AS1907" s="21">
        <v>0</v>
      </c>
      <c r="AT1907" s="19">
        <v>0</v>
      </c>
      <c r="AU1907" s="21" t="s">
        <v>204</v>
      </c>
      <c r="AV1907" s="21"/>
      <c r="AW1907" s="35" t="s">
        <v>623</v>
      </c>
      <c r="AX1907" s="21" t="s">
        <v>540</v>
      </c>
      <c r="AY1907" s="32">
        <v>10000007</v>
      </c>
      <c r="AZ1907" s="32">
        <v>70202001</v>
      </c>
      <c r="BA1907" s="30" t="s">
        <v>206</v>
      </c>
      <c r="BB1907" s="21">
        <v>0</v>
      </c>
      <c r="BC1907" s="31">
        <v>0</v>
      </c>
      <c r="BD1907" s="31">
        <v>0</v>
      </c>
      <c r="BE1907" s="33" t="s">
        <v>1026</v>
      </c>
      <c r="BF1907" s="33" t="s">
        <v>1027</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20.100000000000001" customHeight="1">
      <c r="C1908" s="32">
        <v>70202002</v>
      </c>
      <c r="D1908" s="30" t="s">
        <v>1028</v>
      </c>
      <c r="E1908" s="30" t="s">
        <v>1029</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3</v>
      </c>
      <c r="Y1908" s="19">
        <v>0</v>
      </c>
      <c r="Z1908" s="21">
        <v>0</v>
      </c>
      <c r="AA1908" s="21">
        <v>1</v>
      </c>
      <c r="AB1908" s="21">
        <v>0</v>
      </c>
      <c r="AC1908" s="21">
        <v>0</v>
      </c>
      <c r="AD1908" s="21">
        <v>0</v>
      </c>
      <c r="AE1908" s="21">
        <v>0</v>
      </c>
      <c r="AF1908" s="21">
        <v>20</v>
      </c>
      <c r="AG1908" s="21">
        <v>1</v>
      </c>
      <c r="AH1908" s="21">
        <v>3</v>
      </c>
      <c r="AI1908" s="19">
        <v>6</v>
      </c>
      <c r="AJ1908" s="19">
        <v>1</v>
      </c>
      <c r="AK1908" s="19">
        <v>0</v>
      </c>
      <c r="AL1908" s="19">
        <v>1.5</v>
      </c>
      <c r="AM1908" s="21">
        <v>0</v>
      </c>
      <c r="AN1908" s="21">
        <v>0</v>
      </c>
      <c r="AO1908" s="21">
        <v>0</v>
      </c>
      <c r="AP1908" s="21">
        <v>3</v>
      </c>
      <c r="AQ1908" s="21">
        <v>5000</v>
      </c>
      <c r="AR1908" s="21">
        <v>3</v>
      </c>
      <c r="AS1908" s="21">
        <v>0</v>
      </c>
      <c r="AT1908" s="19">
        <v>0</v>
      </c>
      <c r="AU1908" s="21" t="s">
        <v>204</v>
      </c>
      <c r="AV1908" s="21"/>
      <c r="AW1908" s="35" t="s">
        <v>262</v>
      </c>
      <c r="AX1908" s="21" t="s">
        <v>540</v>
      </c>
      <c r="AY1908" s="32">
        <v>10000007</v>
      </c>
      <c r="AZ1908" s="32">
        <v>70202002</v>
      </c>
      <c r="BA1908" s="30" t="s">
        <v>206</v>
      </c>
      <c r="BB1908" s="21" t="s">
        <v>4440</v>
      </c>
      <c r="BC1908" s="31">
        <v>0</v>
      </c>
      <c r="BD1908" s="31">
        <v>0</v>
      </c>
      <c r="BE1908" s="33" t="s">
        <v>4441</v>
      </c>
      <c r="BF1908" s="33" t="s">
        <v>4442</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20.100000000000001" customHeight="1">
      <c r="C1909" s="32">
        <v>70202003</v>
      </c>
      <c r="D1909" s="35" t="s">
        <v>1330</v>
      </c>
      <c r="E1909" s="35" t="s">
        <v>1331</v>
      </c>
      <c r="F1909" s="32">
        <v>1</v>
      </c>
      <c r="G1909" s="32">
        <v>60010500</v>
      </c>
      <c r="H1909" s="32">
        <v>0</v>
      </c>
      <c r="I1909" s="31">
        <v>0</v>
      </c>
      <c r="J1909" s="32">
        <v>1</v>
      </c>
      <c r="K1909" s="32">
        <v>0</v>
      </c>
      <c r="L1909" s="32">
        <v>0</v>
      </c>
      <c r="M1909" s="32">
        <v>0</v>
      </c>
      <c r="N1909" s="32">
        <v>0</v>
      </c>
      <c r="O1909" s="21">
        <v>2</v>
      </c>
      <c r="P1909" s="32">
        <v>0</v>
      </c>
      <c r="Q1909" s="32">
        <v>0</v>
      </c>
      <c r="R1909" s="32">
        <v>0</v>
      </c>
      <c r="S1909" s="19">
        <v>0</v>
      </c>
      <c r="T1909" s="31">
        <v>0</v>
      </c>
      <c r="U1909" s="21">
        <v>1</v>
      </c>
      <c r="V1909" s="32">
        <v>1</v>
      </c>
      <c r="W1909" s="32">
        <v>0</v>
      </c>
      <c r="X1909" s="32">
        <v>1</v>
      </c>
      <c r="Y1909" s="19">
        <v>0</v>
      </c>
      <c r="Z1909" s="32">
        <v>0</v>
      </c>
      <c r="AA1909" s="32">
        <v>0</v>
      </c>
      <c r="AB1909" s="32">
        <v>0</v>
      </c>
      <c r="AC1909" s="32">
        <v>0</v>
      </c>
      <c r="AD1909" s="21">
        <v>0</v>
      </c>
      <c r="AE1909" s="32">
        <v>0</v>
      </c>
      <c r="AF1909" s="32">
        <v>15</v>
      </c>
      <c r="AG1909" s="32">
        <v>0</v>
      </c>
      <c r="AH1909" s="32">
        <v>0</v>
      </c>
      <c r="AI1909" s="19">
        <v>7</v>
      </c>
      <c r="AJ1909" s="19">
        <v>0</v>
      </c>
      <c r="AK1909" s="19">
        <v>0</v>
      </c>
      <c r="AL1909" s="19">
        <v>0</v>
      </c>
      <c r="AM1909" s="32">
        <v>0</v>
      </c>
      <c r="AN1909" s="32">
        <v>0</v>
      </c>
      <c r="AO1909" s="32">
        <v>0</v>
      </c>
      <c r="AP1909" s="32">
        <v>0</v>
      </c>
      <c r="AQ1909" s="32">
        <v>1000</v>
      </c>
      <c r="AR1909" s="32">
        <v>0.5</v>
      </c>
      <c r="AS1909" s="32">
        <v>0</v>
      </c>
      <c r="AT1909" s="19">
        <v>0</v>
      </c>
      <c r="AU1909" s="19">
        <v>90202001</v>
      </c>
      <c r="AV1909" s="19"/>
      <c r="AW1909" s="35" t="s">
        <v>747</v>
      </c>
      <c r="AX1909" s="32">
        <v>0</v>
      </c>
      <c r="AY1909" s="32">
        <v>10007001</v>
      </c>
      <c r="AZ1909" s="32">
        <v>0</v>
      </c>
      <c r="BA1909" s="35" t="s">
        <v>206</v>
      </c>
      <c r="BB1909" s="35" t="s">
        <v>204</v>
      </c>
      <c r="BC1909" s="31">
        <v>0</v>
      </c>
      <c r="BD1909" s="31">
        <v>0</v>
      </c>
      <c r="BE1909" s="60" t="s">
        <v>3169</v>
      </c>
      <c r="BF1909" s="60" t="s">
        <v>3170</v>
      </c>
      <c r="BG1909" s="32">
        <v>0</v>
      </c>
      <c r="BH1909" s="21">
        <v>0</v>
      </c>
      <c r="BI1909" s="32">
        <v>0</v>
      </c>
      <c r="BJ1909" s="32">
        <v>0</v>
      </c>
      <c r="BK1909" s="32">
        <v>0</v>
      </c>
      <c r="BL1909" s="32">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19.5" customHeight="1">
      <c r="C1910" s="32">
        <v>70202004</v>
      </c>
      <c r="D1910" s="30" t="s">
        <v>1035</v>
      </c>
      <c r="E1910" s="30" t="s">
        <v>1036</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1</v>
      </c>
      <c r="Y1910" s="19">
        <v>0</v>
      </c>
      <c r="Z1910" s="21">
        <v>0</v>
      </c>
      <c r="AA1910" s="21">
        <v>1</v>
      </c>
      <c r="AB1910" s="21">
        <v>0</v>
      </c>
      <c r="AC1910" s="21">
        <v>0</v>
      </c>
      <c r="AD1910" s="21">
        <v>0</v>
      </c>
      <c r="AE1910" s="21">
        <v>0</v>
      </c>
      <c r="AF1910" s="21">
        <v>30</v>
      </c>
      <c r="AG1910" s="21">
        <v>1</v>
      </c>
      <c r="AH1910" s="21" t="s">
        <v>867</v>
      </c>
      <c r="AI1910" s="19">
        <v>0</v>
      </c>
      <c r="AJ1910" s="19">
        <v>0</v>
      </c>
      <c r="AK1910" s="19">
        <v>0</v>
      </c>
      <c r="AL1910" s="19">
        <v>0</v>
      </c>
      <c r="AM1910" s="21">
        <v>0</v>
      </c>
      <c r="AN1910" s="21">
        <v>0</v>
      </c>
      <c r="AO1910" s="21">
        <v>0</v>
      </c>
      <c r="AP1910" s="21">
        <v>0.5</v>
      </c>
      <c r="AQ1910" s="21">
        <v>999999</v>
      </c>
      <c r="AR1910" s="21">
        <v>0.5</v>
      </c>
      <c r="AS1910" s="21">
        <v>0</v>
      </c>
      <c r="AT1910" s="19">
        <v>0</v>
      </c>
      <c r="AU1910" s="329" t="s">
        <v>1025</v>
      </c>
      <c r="AV1910" s="19"/>
      <c r="AW1910" s="35" t="s">
        <v>293</v>
      </c>
      <c r="AX1910" s="21" t="s">
        <v>540</v>
      </c>
      <c r="AY1910" s="32">
        <v>10000007</v>
      </c>
      <c r="AZ1910" s="32">
        <v>70202004</v>
      </c>
      <c r="BA1910" s="35" t="s">
        <v>321</v>
      </c>
      <c r="BB1910" s="35" t="s">
        <v>377</v>
      </c>
      <c r="BC1910" s="31">
        <v>0</v>
      </c>
      <c r="BD1910" s="31">
        <v>0</v>
      </c>
      <c r="BE1910" s="33" t="s">
        <v>4443</v>
      </c>
      <c r="BF1910" s="33" t="s">
        <v>4444</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19.5" customHeight="1">
      <c r="C1911" s="32">
        <v>70203001</v>
      </c>
      <c r="D1911" s="30" t="s">
        <v>4445</v>
      </c>
      <c r="E1911" s="30" t="s">
        <v>4446</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2</v>
      </c>
      <c r="Y1911" s="19">
        <v>0</v>
      </c>
      <c r="Z1911" s="21">
        <v>0</v>
      </c>
      <c r="AA1911" s="21">
        <v>1</v>
      </c>
      <c r="AB1911" s="21">
        <v>0</v>
      </c>
      <c r="AC1911" s="21">
        <v>0</v>
      </c>
      <c r="AD1911" s="21">
        <v>0</v>
      </c>
      <c r="AE1911" s="21">
        <v>0</v>
      </c>
      <c r="AF1911" s="21">
        <v>20</v>
      </c>
      <c r="AG1911" s="21">
        <v>1</v>
      </c>
      <c r="AH1911" s="21" t="s">
        <v>867</v>
      </c>
      <c r="AI1911" s="19">
        <v>1</v>
      </c>
      <c r="AJ1911" s="19">
        <v>1</v>
      </c>
      <c r="AK1911" s="19">
        <v>0</v>
      </c>
      <c r="AL1911" s="19">
        <v>1.5</v>
      </c>
      <c r="AM1911" s="21">
        <v>0</v>
      </c>
      <c r="AN1911" s="21">
        <v>0</v>
      </c>
      <c r="AO1911" s="21">
        <v>0</v>
      </c>
      <c r="AP1911" s="21">
        <v>0.5</v>
      </c>
      <c r="AQ1911" s="21">
        <v>999999</v>
      </c>
      <c r="AR1911" s="21">
        <v>2</v>
      </c>
      <c r="AS1911" s="21">
        <v>0</v>
      </c>
      <c r="AT1911" s="19">
        <v>0</v>
      </c>
      <c r="AU1911" s="21" t="s">
        <v>204</v>
      </c>
      <c r="AV1911" s="21"/>
      <c r="AW1911" s="35" t="s">
        <v>205</v>
      </c>
      <c r="AX1911" s="21" t="s">
        <v>540</v>
      </c>
      <c r="AY1911" s="32">
        <v>10000007</v>
      </c>
      <c r="AZ1911" s="32">
        <v>70203001</v>
      </c>
      <c r="BA1911" s="35" t="s">
        <v>321</v>
      </c>
      <c r="BB1911" s="35" t="s">
        <v>377</v>
      </c>
      <c r="BC1911" s="31">
        <v>0</v>
      </c>
      <c r="BD1911" s="31">
        <v>0</v>
      </c>
      <c r="BE1911" s="33" t="s">
        <v>4447</v>
      </c>
      <c r="BF1911" s="33" t="s">
        <v>4448</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20.100000000000001" customHeight="1">
      <c r="C1912" s="32">
        <v>70203002</v>
      </c>
      <c r="D1912" s="30" t="s">
        <v>750</v>
      </c>
      <c r="E1912" s="30" t="s">
        <v>751</v>
      </c>
      <c r="F1912" s="32">
        <v>1</v>
      </c>
      <c r="G1912" s="32">
        <v>60010500</v>
      </c>
      <c r="H1912" s="32">
        <v>0</v>
      </c>
      <c r="I1912" s="31">
        <v>0</v>
      </c>
      <c r="J1912" s="32">
        <v>1</v>
      </c>
      <c r="K1912" s="32">
        <v>0</v>
      </c>
      <c r="L1912" s="32">
        <v>0</v>
      </c>
      <c r="M1912" s="32">
        <v>0</v>
      </c>
      <c r="N1912" s="32">
        <v>0</v>
      </c>
      <c r="O1912" s="21">
        <v>2</v>
      </c>
      <c r="P1912" s="32">
        <v>1</v>
      </c>
      <c r="Q1912" s="32">
        <v>0.05</v>
      </c>
      <c r="R1912" s="32">
        <v>0</v>
      </c>
      <c r="S1912" s="19">
        <v>0</v>
      </c>
      <c r="T1912" s="31">
        <v>0</v>
      </c>
      <c r="U1912" s="21">
        <v>1</v>
      </c>
      <c r="V1912" s="32">
        <v>1</v>
      </c>
      <c r="W1912" s="32">
        <v>0</v>
      </c>
      <c r="X1912" s="32">
        <v>2</v>
      </c>
      <c r="Y1912" s="19">
        <v>0</v>
      </c>
      <c r="Z1912" s="32">
        <v>0</v>
      </c>
      <c r="AA1912" s="32">
        <v>0</v>
      </c>
      <c r="AB1912" s="32">
        <v>0</v>
      </c>
      <c r="AC1912" s="32">
        <v>0</v>
      </c>
      <c r="AD1912" s="21">
        <v>0</v>
      </c>
      <c r="AE1912" s="32">
        <v>0</v>
      </c>
      <c r="AF1912" s="32">
        <v>10</v>
      </c>
      <c r="AG1912" s="32">
        <v>0</v>
      </c>
      <c r="AH1912" s="32">
        <v>0</v>
      </c>
      <c r="AI1912" s="19">
        <v>7</v>
      </c>
      <c r="AJ1912" s="19">
        <v>0</v>
      </c>
      <c r="AK1912" s="19">
        <v>0</v>
      </c>
      <c r="AL1912" s="19">
        <v>0</v>
      </c>
      <c r="AM1912" s="32">
        <v>0</v>
      </c>
      <c r="AN1912" s="32">
        <v>0</v>
      </c>
      <c r="AO1912" s="32">
        <v>0</v>
      </c>
      <c r="AP1912" s="32">
        <v>0</v>
      </c>
      <c r="AQ1912" s="32">
        <v>1000</v>
      </c>
      <c r="AR1912" s="32">
        <v>0.5</v>
      </c>
      <c r="AS1912" s="32">
        <v>0</v>
      </c>
      <c r="AT1912" s="19">
        <v>0</v>
      </c>
      <c r="AU1912" s="32" t="s">
        <v>665</v>
      </c>
      <c r="AV1912" s="32"/>
      <c r="AW1912" s="35" t="s">
        <v>747</v>
      </c>
      <c r="AX1912" s="32">
        <v>0</v>
      </c>
      <c r="AY1912" s="32">
        <v>10007001</v>
      </c>
      <c r="AZ1912" s="32">
        <v>0</v>
      </c>
      <c r="BA1912" s="35" t="s">
        <v>206</v>
      </c>
      <c r="BB1912" s="35" t="s">
        <v>204</v>
      </c>
      <c r="BC1912" s="31">
        <v>0</v>
      </c>
      <c r="BD1912" s="31">
        <v>0</v>
      </c>
      <c r="BE1912" s="60" t="s">
        <v>752</v>
      </c>
      <c r="BF1912" s="60" t="s">
        <v>753</v>
      </c>
      <c r="BG1912" s="32">
        <v>0</v>
      </c>
      <c r="BH1912" s="21">
        <v>0</v>
      </c>
      <c r="BI1912" s="32">
        <v>0</v>
      </c>
      <c r="BJ1912" s="32">
        <v>0</v>
      </c>
      <c r="BK1912" s="32">
        <v>0</v>
      </c>
      <c r="BL1912" s="32">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20.100000000000001" customHeight="1">
      <c r="C1913" s="32">
        <v>70203003</v>
      </c>
      <c r="D1913" s="30" t="s">
        <v>4449</v>
      </c>
      <c r="E1913" s="30" t="s">
        <v>1272</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2.5</v>
      </c>
      <c r="Y1913" s="19">
        <v>0</v>
      </c>
      <c r="Z1913" s="21">
        <v>0</v>
      </c>
      <c r="AA1913" s="21">
        <v>1</v>
      </c>
      <c r="AB1913" s="21">
        <v>0</v>
      </c>
      <c r="AC1913" s="21">
        <v>0</v>
      </c>
      <c r="AD1913" s="21">
        <v>0</v>
      </c>
      <c r="AE1913" s="21">
        <v>0</v>
      </c>
      <c r="AF1913" s="21">
        <v>15</v>
      </c>
      <c r="AG1913" s="21">
        <v>1</v>
      </c>
      <c r="AH1913" s="21">
        <v>3</v>
      </c>
      <c r="AI1913" s="19">
        <v>4</v>
      </c>
      <c r="AJ1913" s="19">
        <v>1</v>
      </c>
      <c r="AK1913" s="19">
        <v>0</v>
      </c>
      <c r="AL1913" s="19">
        <v>1.5</v>
      </c>
      <c r="AM1913" s="21">
        <v>0</v>
      </c>
      <c r="AN1913" s="21">
        <v>0</v>
      </c>
      <c r="AO1913" s="21">
        <v>0</v>
      </c>
      <c r="AP1913" s="21">
        <v>3</v>
      </c>
      <c r="AQ1913" s="21">
        <v>5000</v>
      </c>
      <c r="AR1913" s="21">
        <v>3</v>
      </c>
      <c r="AS1913" s="21">
        <v>0</v>
      </c>
      <c r="AT1913" s="19">
        <v>0</v>
      </c>
      <c r="AU1913" s="21" t="s">
        <v>204</v>
      </c>
      <c r="AV1913" s="21"/>
      <c r="AW1913" s="35" t="s">
        <v>262</v>
      </c>
      <c r="AX1913" s="21" t="s">
        <v>540</v>
      </c>
      <c r="AY1913" s="32">
        <v>10000007</v>
      </c>
      <c r="AZ1913" s="32">
        <v>70203003</v>
      </c>
      <c r="BA1913" s="30" t="s">
        <v>206</v>
      </c>
      <c r="BB1913" s="21" t="s">
        <v>4450</v>
      </c>
      <c r="BC1913" s="31">
        <v>0</v>
      </c>
      <c r="BD1913" s="31">
        <v>0</v>
      </c>
      <c r="BE1913" s="33" t="s">
        <v>4451</v>
      </c>
      <c r="BF1913" s="33" t="s">
        <v>4452</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19.5" customHeight="1">
      <c r="C1914" s="32">
        <v>70203004</v>
      </c>
      <c r="D1914" s="30" t="s">
        <v>1122</v>
      </c>
      <c r="E1914" s="30" t="s">
        <v>397</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15</v>
      </c>
      <c r="AG1914" s="21">
        <v>1</v>
      </c>
      <c r="AH1914" s="21" t="s">
        <v>613</v>
      </c>
      <c r="AI1914" s="19">
        <v>0</v>
      </c>
      <c r="AJ1914" s="19">
        <v>1</v>
      </c>
      <c r="AK1914" s="19">
        <v>0</v>
      </c>
      <c r="AL1914" s="19">
        <v>3</v>
      </c>
      <c r="AM1914" s="21">
        <v>0</v>
      </c>
      <c r="AN1914" s="21">
        <v>0</v>
      </c>
      <c r="AO1914" s="21">
        <v>0</v>
      </c>
      <c r="AP1914" s="21">
        <v>3</v>
      </c>
      <c r="AQ1914" s="21">
        <v>5000</v>
      </c>
      <c r="AR1914" s="21">
        <v>2.5</v>
      </c>
      <c r="AS1914" s="21">
        <v>0</v>
      </c>
      <c r="AT1914" s="19">
        <v>0</v>
      </c>
      <c r="AU1914" s="21" t="s">
        <v>665</v>
      </c>
      <c r="AV1914" s="21"/>
      <c r="AW1914" s="35" t="s">
        <v>623</v>
      </c>
      <c r="AX1914" s="21" t="s">
        <v>540</v>
      </c>
      <c r="AY1914" s="32">
        <v>10000007</v>
      </c>
      <c r="AZ1914" s="32">
        <v>70203004</v>
      </c>
      <c r="BA1914" s="30" t="s">
        <v>206</v>
      </c>
      <c r="BB1914" s="21">
        <v>0</v>
      </c>
      <c r="BC1914" s="31">
        <v>0</v>
      </c>
      <c r="BD1914" s="31">
        <v>0</v>
      </c>
      <c r="BE1914" s="33" t="s">
        <v>4453</v>
      </c>
      <c r="BF1914" s="33" t="s">
        <v>4454</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19.5" customHeight="1">
      <c r="C1915" s="32">
        <v>70204001</v>
      </c>
      <c r="D1915" s="30" t="s">
        <v>4455</v>
      </c>
      <c r="E1915" s="30" t="s">
        <v>4456</v>
      </c>
      <c r="F1915" s="32">
        <v>1</v>
      </c>
      <c r="G1915" s="21">
        <v>60010100</v>
      </c>
      <c r="H1915" s="32">
        <v>0</v>
      </c>
      <c r="I1915" s="31">
        <v>0</v>
      </c>
      <c r="J1915" s="32">
        <v>1</v>
      </c>
      <c r="K1915" s="32">
        <v>0</v>
      </c>
      <c r="L1915" s="32">
        <v>0</v>
      </c>
      <c r="M1915" s="21">
        <v>0</v>
      </c>
      <c r="N1915" s="21">
        <v>0</v>
      </c>
      <c r="O1915" s="21">
        <v>2</v>
      </c>
      <c r="P1915" s="21">
        <v>1</v>
      </c>
      <c r="Q1915" s="21">
        <v>0.3</v>
      </c>
      <c r="R1915" s="21">
        <v>0</v>
      </c>
      <c r="S1915" s="19">
        <v>0</v>
      </c>
      <c r="T1915" s="21">
        <v>0</v>
      </c>
      <c r="U1915" s="21">
        <v>1</v>
      </c>
      <c r="V1915" s="21">
        <v>2</v>
      </c>
      <c r="W1915" s="21">
        <v>0</v>
      </c>
      <c r="X1915" s="21">
        <v>3</v>
      </c>
      <c r="Y1915" s="19">
        <v>0</v>
      </c>
      <c r="Z1915" s="21">
        <v>0</v>
      </c>
      <c r="AA1915" s="21">
        <v>1</v>
      </c>
      <c r="AB1915" s="21">
        <v>0</v>
      </c>
      <c r="AC1915" s="21">
        <v>0</v>
      </c>
      <c r="AD1915" s="21">
        <v>0</v>
      </c>
      <c r="AE1915" s="21">
        <v>0</v>
      </c>
      <c r="AF1915" s="21">
        <v>12</v>
      </c>
      <c r="AG1915" s="21">
        <v>1</v>
      </c>
      <c r="AH1915" s="21" t="s">
        <v>613</v>
      </c>
      <c r="AI1915" s="19">
        <v>0</v>
      </c>
      <c r="AJ1915" s="19">
        <v>1</v>
      </c>
      <c r="AK1915" s="19">
        <v>0</v>
      </c>
      <c r="AL1915" s="19">
        <v>3</v>
      </c>
      <c r="AM1915" s="21">
        <v>0</v>
      </c>
      <c r="AN1915" s="21">
        <v>0</v>
      </c>
      <c r="AO1915" s="21">
        <v>0</v>
      </c>
      <c r="AP1915" s="21">
        <v>3</v>
      </c>
      <c r="AQ1915" s="21">
        <v>5000</v>
      </c>
      <c r="AR1915" s="21">
        <v>2.5</v>
      </c>
      <c r="AS1915" s="21">
        <v>0</v>
      </c>
      <c r="AT1915" s="19">
        <v>0</v>
      </c>
      <c r="AU1915" s="21">
        <v>80001030</v>
      </c>
      <c r="AV1915" s="21"/>
      <c r="AW1915" s="35" t="s">
        <v>293</v>
      </c>
      <c r="AX1915" s="21" t="s">
        <v>540</v>
      </c>
      <c r="AY1915" s="32">
        <v>10000007</v>
      </c>
      <c r="AZ1915" s="32">
        <v>70204001</v>
      </c>
      <c r="BA1915" s="30" t="s">
        <v>206</v>
      </c>
      <c r="BB1915" s="21">
        <v>0</v>
      </c>
      <c r="BC1915" s="31">
        <v>0</v>
      </c>
      <c r="BD1915" s="31">
        <v>0</v>
      </c>
      <c r="BE1915" s="33" t="s">
        <v>4457</v>
      </c>
      <c r="BF1915" s="33" t="s">
        <v>4458</v>
      </c>
      <c r="BG1915" s="21">
        <v>0</v>
      </c>
      <c r="BH1915" s="21">
        <v>0</v>
      </c>
      <c r="BI1915" s="21">
        <v>0</v>
      </c>
      <c r="BJ1915" s="21">
        <v>0</v>
      </c>
      <c r="BK1915" s="21">
        <v>0</v>
      </c>
      <c r="BL1915" s="21">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20.100000000000001" customHeight="1">
      <c r="C1916" s="32">
        <v>70204002</v>
      </c>
      <c r="D1916" s="30" t="s">
        <v>616</v>
      </c>
      <c r="E1916" s="30" t="s">
        <v>617</v>
      </c>
      <c r="F1916" s="32">
        <v>1</v>
      </c>
      <c r="G1916" s="21">
        <v>60010100</v>
      </c>
      <c r="H1916" s="32">
        <v>0</v>
      </c>
      <c r="I1916" s="31">
        <v>0</v>
      </c>
      <c r="J1916" s="32">
        <v>1</v>
      </c>
      <c r="K1916" s="32">
        <v>0</v>
      </c>
      <c r="L1916" s="32">
        <v>0</v>
      </c>
      <c r="M1916" s="21">
        <v>0</v>
      </c>
      <c r="N1916" s="21">
        <v>0</v>
      </c>
      <c r="O1916" s="21">
        <v>2</v>
      </c>
      <c r="P1916" s="21">
        <v>1</v>
      </c>
      <c r="Q1916" s="21">
        <v>0.3</v>
      </c>
      <c r="R1916" s="21">
        <v>0</v>
      </c>
      <c r="S1916" s="19">
        <v>0</v>
      </c>
      <c r="T1916" s="21">
        <v>0</v>
      </c>
      <c r="U1916" s="21">
        <v>1</v>
      </c>
      <c r="V1916" s="21">
        <v>2</v>
      </c>
      <c r="W1916" s="21">
        <v>0</v>
      </c>
      <c r="X1916" s="21">
        <v>2.5</v>
      </c>
      <c r="Y1916" s="19">
        <v>0</v>
      </c>
      <c r="Z1916" s="21">
        <v>0</v>
      </c>
      <c r="AA1916" s="21">
        <v>1</v>
      </c>
      <c r="AB1916" s="21">
        <v>0</v>
      </c>
      <c r="AC1916" s="21">
        <v>0</v>
      </c>
      <c r="AD1916" s="21">
        <v>0</v>
      </c>
      <c r="AE1916" s="21">
        <v>0</v>
      </c>
      <c r="AF1916" s="21">
        <v>10</v>
      </c>
      <c r="AG1916" s="21">
        <v>1</v>
      </c>
      <c r="AH1916" s="21">
        <v>3</v>
      </c>
      <c r="AI1916" s="19">
        <v>4</v>
      </c>
      <c r="AJ1916" s="19">
        <v>1</v>
      </c>
      <c r="AK1916" s="19">
        <v>0</v>
      </c>
      <c r="AL1916" s="19">
        <v>1.5</v>
      </c>
      <c r="AM1916" s="21">
        <v>0</v>
      </c>
      <c r="AN1916" s="21">
        <v>0</v>
      </c>
      <c r="AO1916" s="21">
        <v>0</v>
      </c>
      <c r="AP1916" s="21">
        <v>3</v>
      </c>
      <c r="AQ1916" s="21">
        <v>5000</v>
      </c>
      <c r="AR1916" s="21">
        <v>3</v>
      </c>
      <c r="AS1916" s="21">
        <v>0</v>
      </c>
      <c r="AT1916" s="19">
        <v>0</v>
      </c>
      <c r="AU1916" s="21">
        <v>80001030</v>
      </c>
      <c r="AV1916" s="21"/>
      <c r="AW1916" s="35" t="s">
        <v>262</v>
      </c>
      <c r="AX1916" s="21" t="s">
        <v>540</v>
      </c>
      <c r="AY1916" s="32">
        <v>10000007</v>
      </c>
      <c r="AZ1916" s="32">
        <v>70204002</v>
      </c>
      <c r="BA1916" s="30" t="s">
        <v>206</v>
      </c>
      <c r="BB1916" s="21" t="s">
        <v>4459</v>
      </c>
      <c r="BC1916" s="31">
        <v>0</v>
      </c>
      <c r="BD1916" s="31">
        <v>0</v>
      </c>
      <c r="BE1916" s="33" t="s">
        <v>1328</v>
      </c>
      <c r="BF1916" s="33" t="s">
        <v>1329</v>
      </c>
      <c r="BG1916" s="21">
        <v>0</v>
      </c>
      <c r="BH1916" s="21">
        <v>0</v>
      </c>
      <c r="BI1916" s="21">
        <v>0</v>
      </c>
      <c r="BJ1916" s="21">
        <v>0</v>
      </c>
      <c r="BK1916" s="21">
        <v>0</v>
      </c>
      <c r="BL1916" s="21">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70204003</v>
      </c>
      <c r="D1917" s="30" t="s">
        <v>621</v>
      </c>
      <c r="E1917" s="30" t="s">
        <v>622</v>
      </c>
      <c r="F1917" s="32">
        <v>1</v>
      </c>
      <c r="G1917" s="21">
        <v>60010100</v>
      </c>
      <c r="H1917" s="32">
        <v>0</v>
      </c>
      <c r="I1917" s="31">
        <v>0</v>
      </c>
      <c r="J1917" s="32">
        <v>1</v>
      </c>
      <c r="K1917" s="32">
        <v>0</v>
      </c>
      <c r="L1917" s="32">
        <v>0</v>
      </c>
      <c r="M1917" s="21">
        <v>0</v>
      </c>
      <c r="N1917" s="21">
        <v>0</v>
      </c>
      <c r="O1917" s="21">
        <v>2</v>
      </c>
      <c r="P1917" s="21">
        <v>1</v>
      </c>
      <c r="Q1917" s="21">
        <v>0.3</v>
      </c>
      <c r="R1917" s="21">
        <v>0</v>
      </c>
      <c r="S1917" s="19">
        <v>0</v>
      </c>
      <c r="T1917" s="21">
        <v>0</v>
      </c>
      <c r="U1917" s="21">
        <v>1</v>
      </c>
      <c r="V1917" s="21">
        <v>2</v>
      </c>
      <c r="W1917" s="21">
        <v>0</v>
      </c>
      <c r="X1917" s="21">
        <v>3</v>
      </c>
      <c r="Y1917" s="19">
        <v>0</v>
      </c>
      <c r="Z1917" s="21">
        <v>0</v>
      </c>
      <c r="AA1917" s="21">
        <v>1</v>
      </c>
      <c r="AB1917" s="21">
        <v>0</v>
      </c>
      <c r="AC1917" s="21">
        <v>0</v>
      </c>
      <c r="AD1917" s="21">
        <v>0</v>
      </c>
      <c r="AE1917" s="21">
        <v>0</v>
      </c>
      <c r="AF1917" s="21">
        <v>12</v>
      </c>
      <c r="AG1917" s="21">
        <v>1</v>
      </c>
      <c r="AH1917" s="21">
        <v>3</v>
      </c>
      <c r="AI1917" s="19">
        <v>6</v>
      </c>
      <c r="AJ1917" s="19">
        <v>1</v>
      </c>
      <c r="AK1917" s="19">
        <v>0</v>
      </c>
      <c r="AL1917" s="19">
        <v>1.5</v>
      </c>
      <c r="AM1917" s="21">
        <v>0</v>
      </c>
      <c r="AN1917" s="21">
        <v>0</v>
      </c>
      <c r="AO1917" s="21">
        <v>0</v>
      </c>
      <c r="AP1917" s="21">
        <v>3</v>
      </c>
      <c r="AQ1917" s="21">
        <v>5000</v>
      </c>
      <c r="AR1917" s="21">
        <v>3</v>
      </c>
      <c r="AS1917" s="21">
        <v>0</v>
      </c>
      <c r="AT1917" s="19">
        <v>0</v>
      </c>
      <c r="AU1917" s="21">
        <v>80001030</v>
      </c>
      <c r="AV1917" s="21"/>
      <c r="AW1917" s="35" t="s">
        <v>623</v>
      </c>
      <c r="AX1917" s="21" t="s">
        <v>540</v>
      </c>
      <c r="AY1917" s="32">
        <v>10000007</v>
      </c>
      <c r="AZ1917" s="32">
        <v>70204003</v>
      </c>
      <c r="BA1917" s="30" t="s">
        <v>206</v>
      </c>
      <c r="BB1917" s="21" t="s">
        <v>4460</v>
      </c>
      <c r="BC1917" s="31">
        <v>0</v>
      </c>
      <c r="BD1917" s="31">
        <v>0</v>
      </c>
      <c r="BE1917" s="33" t="s">
        <v>4461</v>
      </c>
      <c r="BF1917" s="33" t="s">
        <v>4462</v>
      </c>
      <c r="BG1917" s="21">
        <v>0</v>
      </c>
      <c r="BH1917" s="21">
        <v>0</v>
      </c>
      <c r="BI1917" s="21">
        <v>0</v>
      </c>
      <c r="BJ1917" s="21">
        <v>0</v>
      </c>
      <c r="BK1917" s="21">
        <v>0</v>
      </c>
      <c r="BL1917" s="21">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20.100000000000001" customHeight="1">
      <c r="C1918" s="32">
        <v>70204004</v>
      </c>
      <c r="D1918" s="35" t="s">
        <v>627</v>
      </c>
      <c r="E1918" s="35" t="s">
        <v>628</v>
      </c>
      <c r="F1918" s="32">
        <v>1</v>
      </c>
      <c r="G1918" s="32">
        <v>60010500</v>
      </c>
      <c r="H1918" s="32">
        <v>0</v>
      </c>
      <c r="I1918" s="31">
        <v>0</v>
      </c>
      <c r="J1918" s="32">
        <v>1</v>
      </c>
      <c r="K1918" s="32">
        <v>0</v>
      </c>
      <c r="L1918" s="32">
        <v>0</v>
      </c>
      <c r="M1918" s="32">
        <v>0</v>
      </c>
      <c r="N1918" s="32">
        <v>0</v>
      </c>
      <c r="O1918" s="21">
        <v>2</v>
      </c>
      <c r="P1918" s="32">
        <v>2</v>
      </c>
      <c r="Q1918" s="32">
        <v>0.3</v>
      </c>
      <c r="R1918" s="32">
        <v>0</v>
      </c>
      <c r="S1918" s="19">
        <v>0</v>
      </c>
      <c r="T1918" s="31">
        <v>0</v>
      </c>
      <c r="U1918" s="21">
        <v>1</v>
      </c>
      <c r="V1918" s="32">
        <v>2</v>
      </c>
      <c r="W1918" s="32">
        <v>0</v>
      </c>
      <c r="X1918" s="32">
        <v>0</v>
      </c>
      <c r="Y1918" s="19">
        <v>0</v>
      </c>
      <c r="Z1918" s="32">
        <v>0</v>
      </c>
      <c r="AA1918" s="32">
        <v>0</v>
      </c>
      <c r="AB1918" s="32">
        <v>0</v>
      </c>
      <c r="AC1918" s="32">
        <v>0</v>
      </c>
      <c r="AD1918" s="21">
        <v>0</v>
      </c>
      <c r="AE1918" s="32">
        <v>0</v>
      </c>
      <c r="AF1918" s="21">
        <v>10</v>
      </c>
      <c r="AG1918" s="32">
        <v>0</v>
      </c>
      <c r="AH1918" s="32">
        <v>0</v>
      </c>
      <c r="AI1918" s="19">
        <v>7</v>
      </c>
      <c r="AJ1918" s="19">
        <v>0</v>
      </c>
      <c r="AK1918" s="19">
        <v>0</v>
      </c>
      <c r="AL1918" s="19">
        <v>0</v>
      </c>
      <c r="AM1918" s="32">
        <v>0</v>
      </c>
      <c r="AN1918" s="32">
        <v>0</v>
      </c>
      <c r="AO1918" s="32">
        <v>0</v>
      </c>
      <c r="AP1918" s="32">
        <v>0</v>
      </c>
      <c r="AQ1918" s="32">
        <v>1000</v>
      </c>
      <c r="AR1918" s="32">
        <v>0</v>
      </c>
      <c r="AS1918" s="32">
        <v>0</v>
      </c>
      <c r="AT1918" s="19">
        <v>0</v>
      </c>
      <c r="AU1918" s="32">
        <v>90204004</v>
      </c>
      <c r="AV1918" s="32"/>
      <c r="AW1918" s="35" t="s">
        <v>205</v>
      </c>
      <c r="AX1918" s="32" t="s">
        <v>354</v>
      </c>
      <c r="AY1918" s="32">
        <v>0</v>
      </c>
      <c r="AZ1918" s="32">
        <v>0</v>
      </c>
      <c r="BA1918" s="35" t="s">
        <v>206</v>
      </c>
      <c r="BB1918" s="35" t="s">
        <v>204</v>
      </c>
      <c r="BC1918" s="31">
        <v>0</v>
      </c>
      <c r="BD1918" s="31">
        <v>0</v>
      </c>
      <c r="BE1918" s="60" t="s">
        <v>629</v>
      </c>
      <c r="BF1918" s="60" t="s">
        <v>630</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19.5" customHeight="1">
      <c r="C1919" s="32">
        <v>70204005</v>
      </c>
      <c r="D1919" s="35" t="s">
        <v>903</v>
      </c>
      <c r="E1919" s="35" t="s">
        <v>904</v>
      </c>
      <c r="F1919" s="32">
        <v>1</v>
      </c>
      <c r="G1919" s="32">
        <v>60010300</v>
      </c>
      <c r="H1919" s="32">
        <v>0</v>
      </c>
      <c r="I1919" s="31">
        <v>0</v>
      </c>
      <c r="J1919" s="32">
        <v>1</v>
      </c>
      <c r="K1919" s="32">
        <v>0</v>
      </c>
      <c r="L1919" s="32">
        <v>0</v>
      </c>
      <c r="M1919" s="32">
        <v>0</v>
      </c>
      <c r="N1919" s="32">
        <v>0</v>
      </c>
      <c r="O1919" s="21">
        <v>2</v>
      </c>
      <c r="P1919" s="32">
        <v>2</v>
      </c>
      <c r="Q1919" s="32">
        <v>0.8</v>
      </c>
      <c r="R1919" s="32">
        <v>0</v>
      </c>
      <c r="S1919" s="19">
        <v>0</v>
      </c>
      <c r="T1919" s="31">
        <v>0</v>
      </c>
      <c r="U1919" s="21">
        <v>1</v>
      </c>
      <c r="V1919" s="32">
        <v>2</v>
      </c>
      <c r="W1919" s="32">
        <v>0</v>
      </c>
      <c r="X1919" s="32">
        <v>3</v>
      </c>
      <c r="Y1919" s="19">
        <v>0</v>
      </c>
      <c r="Z1919" s="32">
        <v>0</v>
      </c>
      <c r="AA1919" s="32">
        <v>0</v>
      </c>
      <c r="AB1919" s="32">
        <v>0</v>
      </c>
      <c r="AC1919" s="32">
        <v>0</v>
      </c>
      <c r="AD1919" s="21">
        <v>0</v>
      </c>
      <c r="AE1919" s="32">
        <v>0</v>
      </c>
      <c r="AF1919" s="32">
        <v>20</v>
      </c>
      <c r="AG1919" s="32">
        <v>1</v>
      </c>
      <c r="AH1919" s="32">
        <v>1</v>
      </c>
      <c r="AI1919" s="19">
        <v>2</v>
      </c>
      <c r="AJ1919" s="19">
        <v>2</v>
      </c>
      <c r="AK1919" s="19">
        <v>0</v>
      </c>
      <c r="AL1919" s="19">
        <v>1.5</v>
      </c>
      <c r="AM1919" s="32">
        <v>0</v>
      </c>
      <c r="AN1919" s="32">
        <v>0</v>
      </c>
      <c r="AO1919" s="32">
        <v>0</v>
      </c>
      <c r="AP1919" s="32">
        <v>1</v>
      </c>
      <c r="AQ1919" s="32">
        <v>30000</v>
      </c>
      <c r="AR1919" s="32">
        <v>0</v>
      </c>
      <c r="AS1919" s="32">
        <v>4</v>
      </c>
      <c r="AT1919" s="19">
        <v>0</v>
      </c>
      <c r="AU1919" s="21" t="s">
        <v>665</v>
      </c>
      <c r="AV1919" s="21"/>
      <c r="AW1919" s="35" t="s">
        <v>205</v>
      </c>
      <c r="AX1919" s="32" t="s">
        <v>551</v>
      </c>
      <c r="AY1919" s="32">
        <v>10003002</v>
      </c>
      <c r="AZ1919" s="32">
        <v>70106005</v>
      </c>
      <c r="BA1919" s="35" t="s">
        <v>592</v>
      </c>
      <c r="BB1919" s="35">
        <v>0</v>
      </c>
      <c r="BC1919" s="31">
        <v>0</v>
      </c>
      <c r="BD1919" s="31">
        <v>0</v>
      </c>
      <c r="BE1919" s="60" t="s">
        <v>905</v>
      </c>
      <c r="BF1919" s="60" t="s">
        <v>906</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70205001</v>
      </c>
      <c r="D1920" s="30" t="s">
        <v>999</v>
      </c>
      <c r="E1920" s="30" t="s">
        <v>1000</v>
      </c>
      <c r="F1920" s="32">
        <v>1</v>
      </c>
      <c r="G1920" s="21">
        <v>60010100</v>
      </c>
      <c r="H1920" s="32">
        <v>0</v>
      </c>
      <c r="I1920" s="31">
        <v>0</v>
      </c>
      <c r="J1920" s="32">
        <v>1</v>
      </c>
      <c r="K1920" s="32">
        <v>0</v>
      </c>
      <c r="L1920" s="32">
        <v>0</v>
      </c>
      <c r="M1920" s="21">
        <v>0</v>
      </c>
      <c r="N1920" s="21">
        <v>0</v>
      </c>
      <c r="O1920" s="21">
        <v>2</v>
      </c>
      <c r="P1920" s="21">
        <v>1</v>
      </c>
      <c r="Q1920" s="21">
        <v>0.3</v>
      </c>
      <c r="R1920" s="21">
        <v>0</v>
      </c>
      <c r="S1920" s="19">
        <v>0</v>
      </c>
      <c r="T1920" s="21">
        <v>0</v>
      </c>
      <c r="U1920" s="21">
        <v>1</v>
      </c>
      <c r="V1920" s="21">
        <v>2</v>
      </c>
      <c r="W1920" s="21">
        <v>0</v>
      </c>
      <c r="X1920" s="21">
        <v>3</v>
      </c>
      <c r="Y1920" s="19">
        <v>0</v>
      </c>
      <c r="Z1920" s="21">
        <v>0</v>
      </c>
      <c r="AA1920" s="21">
        <v>1</v>
      </c>
      <c r="AB1920" s="21">
        <v>0</v>
      </c>
      <c r="AC1920" s="21">
        <v>0</v>
      </c>
      <c r="AD1920" s="21">
        <v>0</v>
      </c>
      <c r="AE1920" s="21">
        <v>0</v>
      </c>
      <c r="AF1920" s="21">
        <v>15</v>
      </c>
      <c r="AG1920" s="21">
        <v>1</v>
      </c>
      <c r="AH1920" s="21">
        <v>3</v>
      </c>
      <c r="AI1920" s="19">
        <v>4</v>
      </c>
      <c r="AJ1920" s="19">
        <v>1</v>
      </c>
      <c r="AK1920" s="19">
        <v>0</v>
      </c>
      <c r="AL1920" s="19">
        <v>1.5</v>
      </c>
      <c r="AM1920" s="21">
        <v>0</v>
      </c>
      <c r="AN1920" s="21">
        <v>0</v>
      </c>
      <c r="AO1920" s="21">
        <v>0</v>
      </c>
      <c r="AP1920" s="21">
        <v>3</v>
      </c>
      <c r="AQ1920" s="21">
        <v>999999</v>
      </c>
      <c r="AR1920" s="21">
        <v>3</v>
      </c>
      <c r="AS1920" s="21">
        <v>0</v>
      </c>
      <c r="AT1920" s="19">
        <v>0</v>
      </c>
      <c r="AU1920" s="21" t="s">
        <v>204</v>
      </c>
      <c r="AV1920" s="21"/>
      <c r="AW1920" s="35" t="s">
        <v>293</v>
      </c>
      <c r="AX1920" s="21" t="s">
        <v>540</v>
      </c>
      <c r="AY1920" s="32">
        <v>10000007</v>
      </c>
      <c r="AZ1920" s="32">
        <v>70205001</v>
      </c>
      <c r="BA1920" s="30" t="s">
        <v>206</v>
      </c>
      <c r="BB1920" s="21" t="s">
        <v>4463</v>
      </c>
      <c r="BC1920" s="31">
        <v>0</v>
      </c>
      <c r="BD1920" s="31">
        <v>0</v>
      </c>
      <c r="BE1920" s="33" t="s">
        <v>1002</v>
      </c>
      <c r="BF1920" s="33" t="s">
        <v>1003</v>
      </c>
      <c r="BG1920" s="21">
        <v>0</v>
      </c>
      <c r="BH1920" s="21">
        <v>0</v>
      </c>
      <c r="BI1920" s="21">
        <v>0</v>
      </c>
      <c r="BJ1920" s="21">
        <v>0</v>
      </c>
      <c r="BK1920" s="21">
        <v>0</v>
      </c>
      <c r="BL1920" s="21">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20.100000000000001" customHeight="1">
      <c r="C1921" s="32">
        <v>70205002</v>
      </c>
      <c r="D1921" s="35" t="s">
        <v>573</v>
      </c>
      <c r="E1921" s="35" t="s">
        <v>574</v>
      </c>
      <c r="F1921" s="32">
        <v>1</v>
      </c>
      <c r="G1921" s="32">
        <v>60010500</v>
      </c>
      <c r="H1921" s="32">
        <v>0</v>
      </c>
      <c r="I1921" s="31">
        <v>0</v>
      </c>
      <c r="J1921" s="32">
        <v>1</v>
      </c>
      <c r="K1921" s="32">
        <v>0</v>
      </c>
      <c r="L1921" s="32">
        <v>0</v>
      </c>
      <c r="M1921" s="32">
        <v>0</v>
      </c>
      <c r="N1921" s="32">
        <v>0</v>
      </c>
      <c r="O1921" s="21">
        <v>2</v>
      </c>
      <c r="P1921" s="32">
        <v>2</v>
      </c>
      <c r="Q1921" s="32">
        <v>0.3</v>
      </c>
      <c r="R1921" s="32">
        <v>0</v>
      </c>
      <c r="S1921" s="19">
        <v>0</v>
      </c>
      <c r="T1921" s="31">
        <v>0</v>
      </c>
      <c r="U1921" s="21">
        <v>1</v>
      </c>
      <c r="V1921" s="32">
        <v>2</v>
      </c>
      <c r="W1921" s="32">
        <v>0</v>
      </c>
      <c r="X1921" s="32">
        <v>0</v>
      </c>
      <c r="Y1921" s="19">
        <v>0</v>
      </c>
      <c r="Z1921" s="32">
        <v>0</v>
      </c>
      <c r="AA1921" s="32">
        <v>0</v>
      </c>
      <c r="AB1921" s="32">
        <v>0</v>
      </c>
      <c r="AC1921" s="32">
        <v>0</v>
      </c>
      <c r="AD1921" s="21">
        <v>0</v>
      </c>
      <c r="AE1921" s="32">
        <v>0</v>
      </c>
      <c r="AF1921" s="21">
        <v>99999</v>
      </c>
      <c r="AG1921" s="32">
        <v>0</v>
      </c>
      <c r="AH1921" s="32">
        <v>0</v>
      </c>
      <c r="AI1921" s="19">
        <v>8</v>
      </c>
      <c r="AJ1921" s="19">
        <v>0</v>
      </c>
      <c r="AK1921" s="19">
        <v>0</v>
      </c>
      <c r="AL1921" s="19">
        <v>0</v>
      </c>
      <c r="AM1921" s="32">
        <v>0</v>
      </c>
      <c r="AN1921" s="32">
        <v>0</v>
      </c>
      <c r="AO1921" s="32">
        <v>0</v>
      </c>
      <c r="AP1921" s="32">
        <v>0</v>
      </c>
      <c r="AQ1921" s="32">
        <v>1000</v>
      </c>
      <c r="AR1921" s="32">
        <v>0</v>
      </c>
      <c r="AS1921" s="32">
        <v>0</v>
      </c>
      <c r="AT1921" s="19">
        <v>90105002</v>
      </c>
      <c r="AU1921" s="32" t="s">
        <v>204</v>
      </c>
      <c r="AV1921" s="32"/>
      <c r="AW1921" s="35" t="s">
        <v>205</v>
      </c>
      <c r="AX1921" s="32" t="s">
        <v>354</v>
      </c>
      <c r="AY1921" s="32">
        <v>0</v>
      </c>
      <c r="AZ1921" s="32">
        <v>0</v>
      </c>
      <c r="BA1921" s="35" t="s">
        <v>206</v>
      </c>
      <c r="BB1921" s="35" t="s">
        <v>204</v>
      </c>
      <c r="BC1921" s="31">
        <v>0</v>
      </c>
      <c r="BD1921" s="31">
        <v>0</v>
      </c>
      <c r="BE1921" s="60" t="s">
        <v>856</v>
      </c>
      <c r="BF1921" s="60" t="s">
        <v>857</v>
      </c>
      <c r="BG1921" s="32">
        <v>0</v>
      </c>
      <c r="BH1921" s="21">
        <v>0</v>
      </c>
      <c r="BI1921" s="32">
        <v>0</v>
      </c>
      <c r="BJ1921" s="32">
        <v>0</v>
      </c>
      <c r="BK1921" s="32">
        <v>0</v>
      </c>
      <c r="BL1921" s="32">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20.100000000000001" customHeight="1">
      <c r="C1922" s="32">
        <v>70205003</v>
      </c>
      <c r="D1922" s="35" t="s">
        <v>675</v>
      </c>
      <c r="E1922" s="35" t="s">
        <v>676</v>
      </c>
      <c r="F1922" s="32">
        <v>1</v>
      </c>
      <c r="G1922" s="32">
        <v>60010500</v>
      </c>
      <c r="H1922" s="32">
        <v>0</v>
      </c>
      <c r="I1922" s="31">
        <v>0</v>
      </c>
      <c r="J1922" s="32">
        <v>1</v>
      </c>
      <c r="K1922" s="32">
        <v>0</v>
      </c>
      <c r="L1922" s="32">
        <v>0</v>
      </c>
      <c r="M1922" s="32">
        <v>0</v>
      </c>
      <c r="N1922" s="32">
        <v>0</v>
      </c>
      <c r="O1922" s="21">
        <v>2</v>
      </c>
      <c r="P1922" s="32">
        <v>2</v>
      </c>
      <c r="Q1922" s="32">
        <v>0.3</v>
      </c>
      <c r="R1922" s="32">
        <v>0</v>
      </c>
      <c r="S1922" s="19">
        <v>0</v>
      </c>
      <c r="T1922" s="31">
        <v>0</v>
      </c>
      <c r="U1922" s="21">
        <v>1</v>
      </c>
      <c r="V1922" s="32">
        <v>2</v>
      </c>
      <c r="W1922" s="32">
        <v>0</v>
      </c>
      <c r="X1922" s="32">
        <v>0</v>
      </c>
      <c r="Y1922" s="19">
        <v>0</v>
      </c>
      <c r="Z1922" s="32">
        <v>0</v>
      </c>
      <c r="AA1922" s="32">
        <v>0</v>
      </c>
      <c r="AB1922" s="32">
        <v>0</v>
      </c>
      <c r="AC1922" s="32">
        <v>0</v>
      </c>
      <c r="AD1922" s="21">
        <v>0</v>
      </c>
      <c r="AE1922" s="32">
        <v>0</v>
      </c>
      <c r="AF1922" s="21">
        <v>99999</v>
      </c>
      <c r="AG1922" s="32">
        <v>0</v>
      </c>
      <c r="AH1922" s="32">
        <v>0</v>
      </c>
      <c r="AI1922" s="19">
        <v>8</v>
      </c>
      <c r="AJ1922" s="19">
        <v>0</v>
      </c>
      <c r="AK1922" s="19">
        <v>0</v>
      </c>
      <c r="AL1922" s="19">
        <v>0</v>
      </c>
      <c r="AM1922" s="32">
        <v>0</v>
      </c>
      <c r="AN1922" s="32">
        <v>0</v>
      </c>
      <c r="AO1922" s="32">
        <v>0</v>
      </c>
      <c r="AP1922" s="32">
        <v>0</v>
      </c>
      <c r="AQ1922" s="32">
        <v>1000</v>
      </c>
      <c r="AR1922" s="32">
        <v>0</v>
      </c>
      <c r="AS1922" s="32">
        <v>0</v>
      </c>
      <c r="AT1922" s="19" t="s">
        <v>1004</v>
      </c>
      <c r="AU1922" s="32" t="s">
        <v>204</v>
      </c>
      <c r="AV1922" s="32"/>
      <c r="AW1922" s="35" t="s">
        <v>205</v>
      </c>
      <c r="AX1922" s="32" t="s">
        <v>354</v>
      </c>
      <c r="AY1922" s="32">
        <v>0</v>
      </c>
      <c r="AZ1922" s="32">
        <v>0</v>
      </c>
      <c r="BA1922" s="35" t="s">
        <v>206</v>
      </c>
      <c r="BB1922" s="35" t="s">
        <v>204</v>
      </c>
      <c r="BC1922" s="31">
        <v>0</v>
      </c>
      <c r="BD1922" s="31">
        <v>0</v>
      </c>
      <c r="BE1922" s="60" t="s">
        <v>761</v>
      </c>
      <c r="BF1922" s="60" t="s">
        <v>762</v>
      </c>
      <c r="BG1922" s="32">
        <v>0</v>
      </c>
      <c r="BH1922" s="21">
        <v>0</v>
      </c>
      <c r="BI1922" s="32">
        <v>0</v>
      </c>
      <c r="BJ1922" s="32">
        <v>0</v>
      </c>
      <c r="BK1922" s="32">
        <v>0</v>
      </c>
      <c r="BL1922" s="32">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20.100000000000001" customHeight="1">
      <c r="C1923" s="32">
        <v>70205004</v>
      </c>
      <c r="D1923" s="30" t="s">
        <v>606</v>
      </c>
      <c r="E1923" s="30" t="s">
        <v>607</v>
      </c>
      <c r="F1923" s="21">
        <v>1</v>
      </c>
      <c r="G1923" s="21">
        <v>60010300</v>
      </c>
      <c r="H1923" s="32">
        <v>0</v>
      </c>
      <c r="I1923" s="31">
        <v>0</v>
      </c>
      <c r="J1923" s="32">
        <v>1</v>
      </c>
      <c r="K1923" s="32">
        <v>0</v>
      </c>
      <c r="L1923" s="32">
        <v>0</v>
      </c>
      <c r="M1923" s="21">
        <v>0</v>
      </c>
      <c r="N1923" s="21">
        <v>0</v>
      </c>
      <c r="O1923" s="21">
        <v>2</v>
      </c>
      <c r="P1923" s="21">
        <v>2</v>
      </c>
      <c r="Q1923" s="21">
        <v>0.9</v>
      </c>
      <c r="R1923" s="21">
        <v>0</v>
      </c>
      <c r="S1923" s="19">
        <v>0</v>
      </c>
      <c r="T1923" s="21">
        <v>0</v>
      </c>
      <c r="U1923" s="21">
        <v>1</v>
      </c>
      <c r="V1923" s="21">
        <v>2</v>
      </c>
      <c r="W1923" s="21">
        <v>0</v>
      </c>
      <c r="X1923" s="21">
        <v>0</v>
      </c>
      <c r="Y1923" s="19">
        <v>0</v>
      </c>
      <c r="Z1923" s="21">
        <v>0</v>
      </c>
      <c r="AA1923" s="21">
        <v>0</v>
      </c>
      <c r="AB1923" s="21">
        <v>0</v>
      </c>
      <c r="AC1923" s="21">
        <v>0</v>
      </c>
      <c r="AD1923" s="21">
        <v>0</v>
      </c>
      <c r="AE1923" s="21">
        <v>0</v>
      </c>
      <c r="AF1923" s="21">
        <v>30</v>
      </c>
      <c r="AG1923" s="21">
        <v>0</v>
      </c>
      <c r="AH1923" s="21">
        <v>0</v>
      </c>
      <c r="AI1923" s="19">
        <v>2</v>
      </c>
      <c r="AJ1923" s="19">
        <v>2</v>
      </c>
      <c r="AK1923" s="19">
        <v>0</v>
      </c>
      <c r="AL1923" s="19">
        <v>1.5</v>
      </c>
      <c r="AM1923" s="21">
        <v>0</v>
      </c>
      <c r="AN1923" s="21">
        <v>0</v>
      </c>
      <c r="AO1923" s="21">
        <v>0</v>
      </c>
      <c r="AP1923" s="21">
        <v>1</v>
      </c>
      <c r="AQ1923" s="21">
        <v>3000</v>
      </c>
      <c r="AR1923" s="21">
        <v>0.5</v>
      </c>
      <c r="AS1923" s="21">
        <v>0</v>
      </c>
      <c r="AT1923" s="19">
        <v>0</v>
      </c>
      <c r="AU1923" s="21" t="s">
        <v>204</v>
      </c>
      <c r="AV1923" s="21"/>
      <c r="AW1923" s="35" t="s">
        <v>293</v>
      </c>
      <c r="AX1923" s="21" t="s">
        <v>551</v>
      </c>
      <c r="AY1923" s="32">
        <v>0</v>
      </c>
      <c r="AZ1923" s="32">
        <v>0</v>
      </c>
      <c r="BA1923" s="30" t="s">
        <v>534</v>
      </c>
      <c r="BB1923" s="21" t="s">
        <v>4464</v>
      </c>
      <c r="BC1923" s="31">
        <v>0</v>
      </c>
      <c r="BD1923" s="31">
        <v>0</v>
      </c>
      <c r="BE1923" s="33" t="s">
        <v>4465</v>
      </c>
      <c r="BF1923" s="33" t="s">
        <v>4466</v>
      </c>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70205005</v>
      </c>
      <c r="D1924" s="30" t="s">
        <v>771</v>
      </c>
      <c r="E1924" s="30" t="s">
        <v>772</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3</v>
      </c>
      <c r="Y1924" s="19">
        <v>0</v>
      </c>
      <c r="Z1924" s="21">
        <v>0</v>
      </c>
      <c r="AA1924" s="21">
        <v>1</v>
      </c>
      <c r="AB1924" s="21">
        <v>0</v>
      </c>
      <c r="AC1924" s="21">
        <v>0</v>
      </c>
      <c r="AD1924" s="21">
        <v>0</v>
      </c>
      <c r="AE1924" s="21">
        <v>0</v>
      </c>
      <c r="AF1924" s="21">
        <v>15</v>
      </c>
      <c r="AG1924" s="21">
        <v>1</v>
      </c>
      <c r="AH1924" s="21" t="s">
        <v>613</v>
      </c>
      <c r="AI1924" s="19">
        <v>0</v>
      </c>
      <c r="AJ1924" s="19">
        <v>1</v>
      </c>
      <c r="AK1924" s="19">
        <v>0</v>
      </c>
      <c r="AL1924" s="19">
        <v>3</v>
      </c>
      <c r="AM1924" s="21">
        <v>0</v>
      </c>
      <c r="AN1924" s="21">
        <v>0</v>
      </c>
      <c r="AO1924" s="21">
        <v>0</v>
      </c>
      <c r="AP1924" s="21">
        <v>3</v>
      </c>
      <c r="AQ1924" s="21">
        <v>5000</v>
      </c>
      <c r="AR1924" s="21">
        <v>2.5</v>
      </c>
      <c r="AS1924" s="21">
        <v>0</v>
      </c>
      <c r="AT1924" s="19">
        <v>0</v>
      </c>
      <c r="AU1924" s="21" t="s">
        <v>665</v>
      </c>
      <c r="AV1924" s="21"/>
      <c r="AW1924" s="35" t="s">
        <v>262</v>
      </c>
      <c r="AX1924" s="21" t="s">
        <v>540</v>
      </c>
      <c r="AY1924" s="32">
        <v>10000007</v>
      </c>
      <c r="AZ1924" s="32">
        <v>70205002</v>
      </c>
      <c r="BA1924" s="30" t="s">
        <v>206</v>
      </c>
      <c r="BB1924" s="21">
        <v>0</v>
      </c>
      <c r="BC1924" s="31">
        <v>0</v>
      </c>
      <c r="BD1924" s="31">
        <v>0</v>
      </c>
      <c r="BE1924" s="33" t="s">
        <v>773</v>
      </c>
      <c r="BF1924" s="33" t="s">
        <v>774</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19.5" customHeight="1">
      <c r="C1925" s="32">
        <v>70205006</v>
      </c>
      <c r="D1925" s="30" t="s">
        <v>1005</v>
      </c>
      <c r="E1925" s="30" t="s">
        <v>1006</v>
      </c>
      <c r="F1925" s="32">
        <v>1</v>
      </c>
      <c r="G1925" s="21">
        <v>60010100</v>
      </c>
      <c r="H1925" s="32">
        <v>0</v>
      </c>
      <c r="I1925" s="31">
        <v>0</v>
      </c>
      <c r="J1925" s="32">
        <v>1</v>
      </c>
      <c r="K1925" s="32">
        <v>0</v>
      </c>
      <c r="L1925" s="32">
        <v>0</v>
      </c>
      <c r="M1925" s="21">
        <v>0</v>
      </c>
      <c r="N1925" s="21">
        <v>0</v>
      </c>
      <c r="O1925" s="21">
        <v>2</v>
      </c>
      <c r="P1925" s="21">
        <v>1</v>
      </c>
      <c r="Q1925" s="21">
        <v>0.3</v>
      </c>
      <c r="R1925" s="21">
        <v>0</v>
      </c>
      <c r="S1925" s="19">
        <v>0</v>
      </c>
      <c r="T1925" s="21">
        <v>0</v>
      </c>
      <c r="U1925" s="21">
        <v>1</v>
      </c>
      <c r="V1925" s="21">
        <v>2</v>
      </c>
      <c r="W1925" s="21">
        <v>0</v>
      </c>
      <c r="X1925" s="21">
        <v>1</v>
      </c>
      <c r="Y1925" s="19">
        <v>0</v>
      </c>
      <c r="Z1925" s="21">
        <v>0</v>
      </c>
      <c r="AA1925" s="21">
        <v>1</v>
      </c>
      <c r="AB1925" s="21">
        <v>0</v>
      </c>
      <c r="AC1925" s="21">
        <v>0</v>
      </c>
      <c r="AD1925" s="21">
        <v>0</v>
      </c>
      <c r="AE1925" s="21">
        <v>0</v>
      </c>
      <c r="AF1925" s="21">
        <v>15</v>
      </c>
      <c r="AG1925" s="21">
        <v>1</v>
      </c>
      <c r="AH1925" s="21" t="s">
        <v>867</v>
      </c>
      <c r="AI1925" s="19">
        <v>0</v>
      </c>
      <c r="AJ1925" s="19">
        <v>0</v>
      </c>
      <c r="AK1925" s="19">
        <v>0</v>
      </c>
      <c r="AL1925" s="19">
        <v>0</v>
      </c>
      <c r="AM1925" s="21">
        <v>0</v>
      </c>
      <c r="AN1925" s="21">
        <v>0</v>
      </c>
      <c r="AO1925" s="21">
        <v>0</v>
      </c>
      <c r="AP1925" s="21">
        <v>0.5</v>
      </c>
      <c r="AQ1925" s="21">
        <v>999999</v>
      </c>
      <c r="AR1925" s="21">
        <v>0.5</v>
      </c>
      <c r="AS1925" s="21">
        <v>0</v>
      </c>
      <c r="AT1925" s="19">
        <v>0</v>
      </c>
      <c r="AU1925" s="19">
        <v>90105006</v>
      </c>
      <c r="AV1925" s="19"/>
      <c r="AW1925" s="35" t="s">
        <v>623</v>
      </c>
      <c r="AX1925" s="21" t="s">
        <v>540</v>
      </c>
      <c r="AY1925" s="32">
        <v>10000007</v>
      </c>
      <c r="AZ1925" s="32">
        <v>70205003</v>
      </c>
      <c r="BA1925" s="35" t="s">
        <v>321</v>
      </c>
      <c r="BB1925" s="35" t="s">
        <v>377</v>
      </c>
      <c r="BC1925" s="31">
        <v>0</v>
      </c>
      <c r="BD1925" s="31">
        <v>0</v>
      </c>
      <c r="BE1925" s="33" t="s">
        <v>1007</v>
      </c>
      <c r="BF1925" s="33" t="s">
        <v>1008</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19.5" customHeight="1">
      <c r="C1926" s="32">
        <v>70205007</v>
      </c>
      <c r="D1926" s="30" t="s">
        <v>4467</v>
      </c>
      <c r="E1926" s="30" t="s">
        <v>4468</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2</v>
      </c>
      <c r="Y1926" s="19">
        <v>0</v>
      </c>
      <c r="Z1926" s="21">
        <v>0</v>
      </c>
      <c r="AA1926" s="21">
        <v>1</v>
      </c>
      <c r="AB1926" s="21">
        <v>0</v>
      </c>
      <c r="AC1926" s="21">
        <v>0</v>
      </c>
      <c r="AD1926" s="21">
        <v>0</v>
      </c>
      <c r="AE1926" s="21">
        <v>0</v>
      </c>
      <c r="AF1926" s="21">
        <v>15</v>
      </c>
      <c r="AG1926" s="21">
        <v>1</v>
      </c>
      <c r="AH1926" s="21" t="s">
        <v>867</v>
      </c>
      <c r="AI1926" s="19">
        <v>0</v>
      </c>
      <c r="AJ1926" s="19">
        <v>0</v>
      </c>
      <c r="AK1926" s="19">
        <v>0</v>
      </c>
      <c r="AL1926" s="19">
        <v>0</v>
      </c>
      <c r="AM1926" s="21">
        <v>0</v>
      </c>
      <c r="AN1926" s="21">
        <v>0</v>
      </c>
      <c r="AO1926" s="21">
        <v>0</v>
      </c>
      <c r="AP1926" s="21">
        <v>0.5</v>
      </c>
      <c r="AQ1926" s="21">
        <v>999999</v>
      </c>
      <c r="AR1926" s="21">
        <v>0.5</v>
      </c>
      <c r="AS1926" s="21">
        <v>0</v>
      </c>
      <c r="AT1926" s="19">
        <v>0</v>
      </c>
      <c r="AU1926" s="19">
        <v>90205007</v>
      </c>
      <c r="AV1926" s="19"/>
      <c r="AW1926" s="35" t="s">
        <v>623</v>
      </c>
      <c r="AX1926" s="21" t="s">
        <v>540</v>
      </c>
      <c r="AY1926" s="32">
        <v>10000007</v>
      </c>
      <c r="AZ1926" s="32">
        <v>70205001</v>
      </c>
      <c r="BA1926" s="35" t="s">
        <v>321</v>
      </c>
      <c r="BB1926" s="35" t="s">
        <v>377</v>
      </c>
      <c r="BC1926" s="31">
        <v>0</v>
      </c>
      <c r="BD1926" s="31">
        <v>0</v>
      </c>
      <c r="BE1926" s="33"/>
      <c r="BF1926" s="33"/>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19.5" customHeight="1">
      <c r="C1927" s="32">
        <v>70301001</v>
      </c>
      <c r="D1927" s="30" t="s">
        <v>4469</v>
      </c>
      <c r="E1927" s="30" t="s">
        <v>4470</v>
      </c>
      <c r="F1927" s="32">
        <v>1</v>
      </c>
      <c r="G1927" s="21">
        <v>60010100</v>
      </c>
      <c r="H1927" s="32">
        <v>0</v>
      </c>
      <c r="I1927" s="31">
        <v>0</v>
      </c>
      <c r="J1927" s="32">
        <v>1</v>
      </c>
      <c r="K1927" s="32">
        <v>0</v>
      </c>
      <c r="L1927" s="32">
        <v>0</v>
      </c>
      <c r="M1927" s="21">
        <v>0</v>
      </c>
      <c r="N1927" s="21">
        <v>0</v>
      </c>
      <c r="O1927" s="21">
        <v>2</v>
      </c>
      <c r="P1927" s="21">
        <v>1</v>
      </c>
      <c r="Q1927" s="21">
        <v>0.3</v>
      </c>
      <c r="R1927" s="21">
        <v>0</v>
      </c>
      <c r="S1927" s="19">
        <v>0</v>
      </c>
      <c r="T1927" s="21">
        <v>0</v>
      </c>
      <c r="U1927" s="21">
        <v>1</v>
      </c>
      <c r="V1927" s="21">
        <v>2</v>
      </c>
      <c r="W1927" s="21">
        <v>0</v>
      </c>
      <c r="X1927" s="21">
        <v>3</v>
      </c>
      <c r="Y1927" s="19">
        <v>0</v>
      </c>
      <c r="Z1927" s="21">
        <v>0</v>
      </c>
      <c r="AA1927" s="21">
        <v>1</v>
      </c>
      <c r="AB1927" s="21">
        <v>0</v>
      </c>
      <c r="AC1927" s="21">
        <v>0</v>
      </c>
      <c r="AD1927" s="21">
        <v>0</v>
      </c>
      <c r="AE1927" s="21">
        <v>0</v>
      </c>
      <c r="AF1927" s="21">
        <v>15</v>
      </c>
      <c r="AG1927" s="21">
        <v>1</v>
      </c>
      <c r="AH1927" s="21" t="s">
        <v>613</v>
      </c>
      <c r="AI1927" s="19">
        <v>0</v>
      </c>
      <c r="AJ1927" s="19">
        <v>1</v>
      </c>
      <c r="AK1927" s="19">
        <v>0</v>
      </c>
      <c r="AL1927" s="19">
        <v>3</v>
      </c>
      <c r="AM1927" s="21">
        <v>0</v>
      </c>
      <c r="AN1927" s="21">
        <v>0</v>
      </c>
      <c r="AO1927" s="21">
        <v>0</v>
      </c>
      <c r="AP1927" s="21">
        <v>3</v>
      </c>
      <c r="AQ1927" s="21">
        <v>5000</v>
      </c>
      <c r="AR1927" s="21">
        <v>2.5</v>
      </c>
      <c r="AS1927" s="21">
        <v>0</v>
      </c>
      <c r="AT1927" s="19">
        <v>0</v>
      </c>
      <c r="AU1927" s="21" t="s">
        <v>665</v>
      </c>
      <c r="AV1927" s="21"/>
      <c r="AW1927" s="35" t="s">
        <v>623</v>
      </c>
      <c r="AX1927" s="21" t="s">
        <v>540</v>
      </c>
      <c r="AY1927" s="32">
        <v>10000007</v>
      </c>
      <c r="AZ1927" s="32">
        <v>70301001</v>
      </c>
      <c r="BA1927" s="30" t="s">
        <v>206</v>
      </c>
      <c r="BB1927" s="21">
        <v>0</v>
      </c>
      <c r="BC1927" s="31">
        <v>0</v>
      </c>
      <c r="BD1927" s="31">
        <v>0</v>
      </c>
      <c r="BE1927" s="33" t="s">
        <v>4471</v>
      </c>
      <c r="BF1927" s="33" t="s">
        <v>4472</v>
      </c>
      <c r="BG1927" s="21">
        <v>0</v>
      </c>
      <c r="BH1927" s="21">
        <v>0</v>
      </c>
      <c r="BI1927" s="21">
        <v>0</v>
      </c>
      <c r="BJ1927" s="21">
        <v>0</v>
      </c>
      <c r="BK1927" s="21">
        <v>0</v>
      </c>
      <c r="BL1927" s="21">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70301002</v>
      </c>
      <c r="D1928" s="30" t="s">
        <v>4473</v>
      </c>
      <c r="E1928" s="30" t="s">
        <v>4474</v>
      </c>
      <c r="F1928" s="21">
        <v>1</v>
      </c>
      <c r="G1928" s="21">
        <v>60010300</v>
      </c>
      <c r="H1928" s="32">
        <v>0</v>
      </c>
      <c r="I1928" s="31">
        <v>0</v>
      </c>
      <c r="J1928" s="32">
        <v>1</v>
      </c>
      <c r="K1928" s="32">
        <v>0</v>
      </c>
      <c r="L1928" s="32">
        <v>0</v>
      </c>
      <c r="M1928" s="21">
        <v>0</v>
      </c>
      <c r="N1928" s="21">
        <v>0</v>
      </c>
      <c r="O1928" s="21">
        <v>2</v>
      </c>
      <c r="P1928" s="21">
        <v>2</v>
      </c>
      <c r="Q1928" s="21">
        <v>0.8</v>
      </c>
      <c r="R1928" s="21">
        <v>0</v>
      </c>
      <c r="S1928" s="19">
        <v>0</v>
      </c>
      <c r="T1928" s="21">
        <v>0</v>
      </c>
      <c r="U1928" s="21">
        <v>1</v>
      </c>
      <c r="V1928" s="21">
        <v>2</v>
      </c>
      <c r="W1928" s="21">
        <v>0</v>
      </c>
      <c r="X1928" s="21">
        <v>0</v>
      </c>
      <c r="Y1928" s="19">
        <v>0</v>
      </c>
      <c r="Z1928" s="21">
        <v>0</v>
      </c>
      <c r="AA1928" s="21">
        <v>0</v>
      </c>
      <c r="AB1928" s="21">
        <v>0</v>
      </c>
      <c r="AC1928" s="21">
        <v>0</v>
      </c>
      <c r="AD1928" s="21">
        <v>0</v>
      </c>
      <c r="AE1928" s="21">
        <v>0</v>
      </c>
      <c r="AF1928" s="21">
        <v>20</v>
      </c>
      <c r="AG1928" s="21">
        <v>0</v>
      </c>
      <c r="AH1928" s="21">
        <v>0</v>
      </c>
      <c r="AI1928" s="19">
        <v>2</v>
      </c>
      <c r="AJ1928" s="19">
        <v>2</v>
      </c>
      <c r="AK1928" s="19">
        <v>0</v>
      </c>
      <c r="AL1928" s="19">
        <v>1.5</v>
      </c>
      <c r="AM1928" s="21">
        <v>0</v>
      </c>
      <c r="AN1928" s="21">
        <v>0</v>
      </c>
      <c r="AO1928" s="21">
        <v>0</v>
      </c>
      <c r="AP1928" s="21">
        <v>1</v>
      </c>
      <c r="AQ1928" s="21">
        <v>3000</v>
      </c>
      <c r="AR1928" s="21">
        <v>0.5</v>
      </c>
      <c r="AS1928" s="21">
        <v>0</v>
      </c>
      <c r="AT1928" s="19">
        <v>0</v>
      </c>
      <c r="AU1928" s="21" t="s">
        <v>204</v>
      </c>
      <c r="AV1928" s="21"/>
      <c r="AW1928" s="35" t="s">
        <v>205</v>
      </c>
      <c r="AX1928" s="21" t="s">
        <v>551</v>
      </c>
      <c r="AY1928" s="32">
        <v>0</v>
      </c>
      <c r="AZ1928" s="32">
        <v>0</v>
      </c>
      <c r="BA1928" s="30" t="s">
        <v>534</v>
      </c>
      <c r="BB1928" s="21" t="s">
        <v>4475</v>
      </c>
      <c r="BC1928" s="31">
        <v>0</v>
      </c>
      <c r="BD1928" s="31">
        <v>0</v>
      </c>
      <c r="BE1928" s="33" t="s">
        <v>4476</v>
      </c>
      <c r="BF1928" s="33" t="s">
        <v>4477</v>
      </c>
      <c r="BG1928" s="21">
        <v>0</v>
      </c>
      <c r="BH1928" s="21">
        <v>0</v>
      </c>
      <c r="BI1928" s="21">
        <v>0</v>
      </c>
      <c r="BJ1928" s="21">
        <v>0</v>
      </c>
      <c r="BK1928" s="21">
        <v>0</v>
      </c>
      <c r="BL1928" s="21">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20.100000000000001" customHeight="1">
      <c r="C1929" s="32">
        <v>70301003</v>
      </c>
      <c r="D1929" s="30" t="s">
        <v>1073</v>
      </c>
      <c r="E1929" s="30" t="s">
        <v>1074</v>
      </c>
      <c r="F1929" s="32">
        <v>1</v>
      </c>
      <c r="G1929" s="21">
        <v>60010100</v>
      </c>
      <c r="H1929" s="32">
        <v>0</v>
      </c>
      <c r="I1929" s="31">
        <v>0</v>
      </c>
      <c r="J1929" s="32">
        <v>1</v>
      </c>
      <c r="K1929" s="32">
        <v>0</v>
      </c>
      <c r="L1929" s="32">
        <v>0</v>
      </c>
      <c r="M1929" s="21">
        <v>0</v>
      </c>
      <c r="N1929" s="21">
        <v>0</v>
      </c>
      <c r="O1929" s="21">
        <v>2</v>
      </c>
      <c r="P1929" s="21">
        <v>1</v>
      </c>
      <c r="Q1929" s="21">
        <v>0.3</v>
      </c>
      <c r="R1929" s="21">
        <v>0</v>
      </c>
      <c r="S1929" s="19">
        <v>0</v>
      </c>
      <c r="T1929" s="21">
        <v>0</v>
      </c>
      <c r="U1929" s="21">
        <v>1</v>
      </c>
      <c r="V1929" s="21">
        <v>2</v>
      </c>
      <c r="W1929" s="21">
        <v>0</v>
      </c>
      <c r="X1929" s="21">
        <v>3</v>
      </c>
      <c r="Y1929" s="19">
        <v>0</v>
      </c>
      <c r="Z1929" s="21">
        <v>0</v>
      </c>
      <c r="AA1929" s="21">
        <v>1</v>
      </c>
      <c r="AB1929" s="21">
        <v>0</v>
      </c>
      <c r="AC1929" s="21">
        <v>0</v>
      </c>
      <c r="AD1929" s="21">
        <v>0</v>
      </c>
      <c r="AE1929" s="21">
        <v>0</v>
      </c>
      <c r="AF1929" s="21">
        <v>12</v>
      </c>
      <c r="AG1929" s="21">
        <v>1</v>
      </c>
      <c r="AH1929" s="21">
        <v>3</v>
      </c>
      <c r="AI1929" s="19">
        <v>6</v>
      </c>
      <c r="AJ1929" s="19">
        <v>1</v>
      </c>
      <c r="AK1929" s="19">
        <v>0</v>
      </c>
      <c r="AL1929" s="19">
        <v>1.5</v>
      </c>
      <c r="AM1929" s="21">
        <v>0</v>
      </c>
      <c r="AN1929" s="21">
        <v>0</v>
      </c>
      <c r="AO1929" s="21">
        <v>0</v>
      </c>
      <c r="AP1929" s="21">
        <v>3</v>
      </c>
      <c r="AQ1929" s="21">
        <v>5000</v>
      </c>
      <c r="AR1929" s="21">
        <v>3</v>
      </c>
      <c r="AS1929" s="21">
        <v>0</v>
      </c>
      <c r="AT1929" s="19">
        <v>0</v>
      </c>
      <c r="AU1929" s="21">
        <v>80001030</v>
      </c>
      <c r="AV1929" s="21"/>
      <c r="AW1929" s="35" t="s">
        <v>262</v>
      </c>
      <c r="AX1929" s="21" t="s">
        <v>540</v>
      </c>
      <c r="AY1929" s="32">
        <v>10000007</v>
      </c>
      <c r="AZ1929" s="32">
        <v>70301003</v>
      </c>
      <c r="BA1929" s="30" t="s">
        <v>206</v>
      </c>
      <c r="BB1929" s="21" t="s">
        <v>4478</v>
      </c>
      <c r="BC1929" s="31">
        <v>0</v>
      </c>
      <c r="BD1929" s="31">
        <v>0</v>
      </c>
      <c r="BE1929" s="33" t="s">
        <v>4479</v>
      </c>
      <c r="BF1929" s="33" t="s">
        <v>4480</v>
      </c>
      <c r="BG1929" s="21">
        <v>0</v>
      </c>
      <c r="BH1929" s="21">
        <v>0</v>
      </c>
      <c r="BI1929" s="21">
        <v>0</v>
      </c>
      <c r="BJ1929" s="21">
        <v>0</v>
      </c>
      <c r="BK1929" s="21">
        <v>0</v>
      </c>
      <c r="BL1929" s="21">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70301004</v>
      </c>
      <c r="D1930" s="35" t="s">
        <v>4481</v>
      </c>
      <c r="E1930" s="35" t="s">
        <v>4482</v>
      </c>
      <c r="F1930" s="32">
        <v>1</v>
      </c>
      <c r="G1930" s="32">
        <v>60010500</v>
      </c>
      <c r="H1930" s="32">
        <v>0</v>
      </c>
      <c r="I1930" s="31">
        <v>0</v>
      </c>
      <c r="J1930" s="32">
        <v>1</v>
      </c>
      <c r="K1930" s="32">
        <v>0</v>
      </c>
      <c r="L1930" s="32">
        <v>0</v>
      </c>
      <c r="M1930" s="32">
        <v>0</v>
      </c>
      <c r="N1930" s="32">
        <v>0</v>
      </c>
      <c r="O1930" s="21">
        <v>2</v>
      </c>
      <c r="P1930" s="32">
        <v>2</v>
      </c>
      <c r="Q1930" s="32">
        <v>0.3</v>
      </c>
      <c r="R1930" s="32">
        <v>0</v>
      </c>
      <c r="S1930" s="19">
        <v>0</v>
      </c>
      <c r="T1930" s="31">
        <v>0</v>
      </c>
      <c r="U1930" s="21">
        <v>1</v>
      </c>
      <c r="V1930" s="32">
        <v>2</v>
      </c>
      <c r="W1930" s="32">
        <v>0</v>
      </c>
      <c r="X1930" s="32">
        <v>0</v>
      </c>
      <c r="Y1930" s="19">
        <v>0</v>
      </c>
      <c r="Z1930" s="32">
        <v>0</v>
      </c>
      <c r="AA1930" s="32">
        <v>0</v>
      </c>
      <c r="AB1930" s="32">
        <v>0</v>
      </c>
      <c r="AC1930" s="32">
        <v>0</v>
      </c>
      <c r="AD1930" s="21">
        <v>0</v>
      </c>
      <c r="AE1930" s="32">
        <v>0</v>
      </c>
      <c r="AF1930" s="32">
        <v>20</v>
      </c>
      <c r="AG1930" s="32">
        <v>0</v>
      </c>
      <c r="AH1930" s="32">
        <v>0</v>
      </c>
      <c r="AI1930" s="19">
        <v>7</v>
      </c>
      <c r="AJ1930" s="19">
        <v>0</v>
      </c>
      <c r="AK1930" s="19">
        <v>0</v>
      </c>
      <c r="AL1930" s="19">
        <v>0</v>
      </c>
      <c r="AM1930" s="32">
        <v>0</v>
      </c>
      <c r="AN1930" s="32">
        <v>0</v>
      </c>
      <c r="AO1930" s="32">
        <v>0</v>
      </c>
      <c r="AP1930" s="32">
        <v>0</v>
      </c>
      <c r="AQ1930" s="32">
        <v>1000</v>
      </c>
      <c r="AR1930" s="32">
        <v>0</v>
      </c>
      <c r="AS1930" s="32">
        <v>0</v>
      </c>
      <c r="AT1930" s="19">
        <v>0</v>
      </c>
      <c r="AU1930" s="32" t="s">
        <v>4483</v>
      </c>
      <c r="AV1930" s="32"/>
      <c r="AW1930" s="35" t="s">
        <v>205</v>
      </c>
      <c r="AX1930" s="32" t="s">
        <v>354</v>
      </c>
      <c r="AY1930" s="32">
        <v>0</v>
      </c>
      <c r="AZ1930" s="32">
        <v>0</v>
      </c>
      <c r="BA1930" s="35" t="s">
        <v>206</v>
      </c>
      <c r="BB1930" s="35" t="s">
        <v>204</v>
      </c>
      <c r="BC1930" s="31">
        <v>0</v>
      </c>
      <c r="BD1930" s="31">
        <v>0</v>
      </c>
      <c r="BE1930" s="60" t="s">
        <v>4484</v>
      </c>
      <c r="BF1930" s="60" t="s">
        <v>4485</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20.100000000000001" customHeight="1">
      <c r="C1931" s="32">
        <v>70301005</v>
      </c>
      <c r="D1931" s="35" t="s">
        <v>4486</v>
      </c>
      <c r="E1931" s="35" t="s">
        <v>4487</v>
      </c>
      <c r="F1931" s="32">
        <v>1</v>
      </c>
      <c r="G1931" s="32">
        <v>60010500</v>
      </c>
      <c r="H1931" s="32">
        <v>0</v>
      </c>
      <c r="I1931" s="31">
        <v>0</v>
      </c>
      <c r="J1931" s="32">
        <v>1</v>
      </c>
      <c r="K1931" s="32">
        <v>0</v>
      </c>
      <c r="L1931" s="32">
        <v>0</v>
      </c>
      <c r="M1931" s="32">
        <v>0</v>
      </c>
      <c r="N1931" s="32">
        <v>0</v>
      </c>
      <c r="O1931" s="21">
        <v>2</v>
      </c>
      <c r="P1931" s="32">
        <v>0</v>
      </c>
      <c r="Q1931" s="32">
        <v>0</v>
      </c>
      <c r="R1931" s="32">
        <v>0</v>
      </c>
      <c r="S1931" s="19">
        <v>0</v>
      </c>
      <c r="T1931" s="31">
        <v>0</v>
      </c>
      <c r="U1931" s="21">
        <v>1</v>
      </c>
      <c r="V1931" s="32">
        <v>1</v>
      </c>
      <c r="W1931" s="32">
        <v>0</v>
      </c>
      <c r="X1931" s="32">
        <v>1</v>
      </c>
      <c r="Y1931" s="19">
        <v>0</v>
      </c>
      <c r="Z1931" s="32">
        <v>0</v>
      </c>
      <c r="AA1931" s="32">
        <v>0</v>
      </c>
      <c r="AB1931" s="32">
        <v>0</v>
      </c>
      <c r="AC1931" s="32">
        <v>0</v>
      </c>
      <c r="AD1931" s="21">
        <v>0</v>
      </c>
      <c r="AE1931" s="32">
        <v>0</v>
      </c>
      <c r="AF1931" s="32">
        <v>1</v>
      </c>
      <c r="AG1931" s="32">
        <v>0</v>
      </c>
      <c r="AH1931" s="32">
        <v>0</v>
      </c>
      <c r="AI1931" s="19">
        <v>7</v>
      </c>
      <c r="AJ1931" s="19">
        <v>0</v>
      </c>
      <c r="AK1931" s="19">
        <v>0</v>
      </c>
      <c r="AL1931" s="19">
        <v>0</v>
      </c>
      <c r="AM1931" s="32">
        <v>0</v>
      </c>
      <c r="AN1931" s="32">
        <v>0</v>
      </c>
      <c r="AO1931" s="32">
        <v>0</v>
      </c>
      <c r="AP1931" s="32">
        <v>0</v>
      </c>
      <c r="AQ1931" s="32">
        <v>1000</v>
      </c>
      <c r="AR1931" s="32">
        <v>0.5</v>
      </c>
      <c r="AS1931" s="32">
        <v>10</v>
      </c>
      <c r="AT1931" s="19">
        <v>0</v>
      </c>
      <c r="AU1931" s="32" t="s">
        <v>4488</v>
      </c>
      <c r="AV1931" s="32"/>
      <c r="AW1931" s="35" t="s">
        <v>747</v>
      </c>
      <c r="AX1931" s="32">
        <v>0</v>
      </c>
      <c r="AY1931" s="32">
        <v>10000011</v>
      </c>
      <c r="AZ1931" s="32">
        <v>50000001</v>
      </c>
      <c r="BA1931" s="35" t="s">
        <v>256</v>
      </c>
      <c r="BB1931" s="35" t="s">
        <v>204</v>
      </c>
      <c r="BC1931" s="31">
        <v>0</v>
      </c>
      <c r="BD1931" s="31">
        <v>0</v>
      </c>
      <c r="BE1931" s="60" t="s">
        <v>4489</v>
      </c>
      <c r="BF1931" s="60" t="s">
        <v>4490</v>
      </c>
      <c r="BG1931" s="32">
        <v>0</v>
      </c>
      <c r="BH1931" s="21">
        <v>0</v>
      </c>
      <c r="BI1931" s="32">
        <v>0</v>
      </c>
      <c r="BJ1931" s="32">
        <v>0</v>
      </c>
      <c r="BK1931" s="32">
        <v>0</v>
      </c>
      <c r="BL1931" s="32">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19.5" customHeight="1">
      <c r="C1932" s="32">
        <v>70302001</v>
      </c>
      <c r="D1932" s="30" t="s">
        <v>1023</v>
      </c>
      <c r="E1932" s="30" t="s">
        <v>1024</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1</v>
      </c>
      <c r="Y1932" s="19">
        <v>0</v>
      </c>
      <c r="Z1932" s="21">
        <v>0</v>
      </c>
      <c r="AA1932" s="21">
        <v>1</v>
      </c>
      <c r="AB1932" s="21">
        <v>0</v>
      </c>
      <c r="AC1932" s="21">
        <v>0</v>
      </c>
      <c r="AD1932" s="21">
        <v>0</v>
      </c>
      <c r="AE1932" s="21">
        <v>0</v>
      </c>
      <c r="AF1932" s="21">
        <v>10</v>
      </c>
      <c r="AG1932" s="21">
        <v>1</v>
      </c>
      <c r="AH1932" s="21" t="s">
        <v>867</v>
      </c>
      <c r="AI1932" s="19">
        <v>0</v>
      </c>
      <c r="AJ1932" s="19">
        <v>0</v>
      </c>
      <c r="AK1932" s="19">
        <v>0</v>
      </c>
      <c r="AL1932" s="19">
        <v>0</v>
      </c>
      <c r="AM1932" s="21">
        <v>0</v>
      </c>
      <c r="AN1932" s="21">
        <v>0</v>
      </c>
      <c r="AO1932" s="21">
        <v>0</v>
      </c>
      <c r="AP1932" s="21">
        <v>0.5</v>
      </c>
      <c r="AQ1932" s="21">
        <v>999999</v>
      </c>
      <c r="AR1932" s="21">
        <v>0.5</v>
      </c>
      <c r="AS1932" s="21">
        <v>0</v>
      </c>
      <c r="AT1932" s="19">
        <v>0</v>
      </c>
      <c r="AU1932" s="329" t="s">
        <v>1025</v>
      </c>
      <c r="AV1932" s="19"/>
      <c r="AW1932" s="35" t="s">
        <v>262</v>
      </c>
      <c r="AX1932" s="21" t="s">
        <v>540</v>
      </c>
      <c r="AY1932" s="32">
        <v>10000007</v>
      </c>
      <c r="AZ1932" s="32">
        <v>70302001</v>
      </c>
      <c r="BA1932" s="35" t="s">
        <v>321</v>
      </c>
      <c r="BB1932" s="35" t="s">
        <v>377</v>
      </c>
      <c r="BC1932" s="31">
        <v>0</v>
      </c>
      <c r="BD1932" s="31">
        <v>0</v>
      </c>
      <c r="BE1932" s="33" t="s">
        <v>1026</v>
      </c>
      <c r="BF1932" s="33" t="s">
        <v>1027</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20.100000000000001" customHeight="1">
      <c r="C1933" s="32">
        <v>70302002</v>
      </c>
      <c r="D1933" s="35" t="s">
        <v>1028</v>
      </c>
      <c r="E1933" s="35" t="s">
        <v>1029</v>
      </c>
      <c r="F1933" s="32">
        <v>1</v>
      </c>
      <c r="G1933" s="32">
        <v>60010500</v>
      </c>
      <c r="H1933" s="32">
        <v>0</v>
      </c>
      <c r="I1933" s="31">
        <v>0</v>
      </c>
      <c r="J1933" s="32">
        <v>1</v>
      </c>
      <c r="K1933" s="32">
        <v>0</v>
      </c>
      <c r="L1933" s="32">
        <v>0</v>
      </c>
      <c r="M1933" s="32">
        <v>0</v>
      </c>
      <c r="N1933" s="32">
        <v>0</v>
      </c>
      <c r="O1933" s="21">
        <v>2</v>
      </c>
      <c r="P1933" s="32">
        <v>2</v>
      </c>
      <c r="Q1933" s="32">
        <v>0.3</v>
      </c>
      <c r="R1933" s="32">
        <v>0</v>
      </c>
      <c r="S1933" s="19">
        <v>0</v>
      </c>
      <c r="T1933" s="31">
        <v>0</v>
      </c>
      <c r="U1933" s="21">
        <v>1</v>
      </c>
      <c r="V1933" s="32">
        <v>2</v>
      </c>
      <c r="W1933" s="32">
        <v>0</v>
      </c>
      <c r="X1933" s="32">
        <v>0</v>
      </c>
      <c r="Y1933" s="19">
        <v>0</v>
      </c>
      <c r="Z1933" s="32">
        <v>0</v>
      </c>
      <c r="AA1933" s="32">
        <v>0</v>
      </c>
      <c r="AB1933" s="32">
        <v>0</v>
      </c>
      <c r="AC1933" s="32">
        <v>0</v>
      </c>
      <c r="AD1933" s="21">
        <v>0</v>
      </c>
      <c r="AE1933" s="32">
        <v>0</v>
      </c>
      <c r="AF1933" s="21">
        <v>30</v>
      </c>
      <c r="AG1933" s="32">
        <v>0</v>
      </c>
      <c r="AH1933" s="32">
        <v>0</v>
      </c>
      <c r="AI1933" s="19">
        <v>8</v>
      </c>
      <c r="AJ1933" s="19">
        <v>0</v>
      </c>
      <c r="AK1933" s="19">
        <v>0</v>
      </c>
      <c r="AL1933" s="19">
        <v>0</v>
      </c>
      <c r="AM1933" s="32">
        <v>0</v>
      </c>
      <c r="AN1933" s="32">
        <v>0</v>
      </c>
      <c r="AO1933" s="32">
        <v>0</v>
      </c>
      <c r="AP1933" s="32">
        <v>0</v>
      </c>
      <c r="AQ1933" s="32">
        <v>1000</v>
      </c>
      <c r="AR1933" s="32">
        <v>0</v>
      </c>
      <c r="AS1933" s="32">
        <v>0</v>
      </c>
      <c r="AT1933" s="19">
        <v>90301006</v>
      </c>
      <c r="AU1933" s="32" t="s">
        <v>204</v>
      </c>
      <c r="AV1933" s="32"/>
      <c r="AW1933" s="35" t="s">
        <v>205</v>
      </c>
      <c r="AX1933" s="32" t="s">
        <v>354</v>
      </c>
      <c r="AY1933" s="32">
        <v>0</v>
      </c>
      <c r="AZ1933" s="32">
        <v>0</v>
      </c>
      <c r="BA1933" s="35" t="s">
        <v>206</v>
      </c>
      <c r="BB1933" s="35" t="s">
        <v>204</v>
      </c>
      <c r="BC1933" s="31">
        <v>0</v>
      </c>
      <c r="BD1933" s="31">
        <v>0</v>
      </c>
      <c r="BE1933" s="60" t="s">
        <v>4441</v>
      </c>
      <c r="BF1933" s="60" t="s">
        <v>4442</v>
      </c>
      <c r="BG1933" s="32">
        <v>0</v>
      </c>
      <c r="BH1933" s="21">
        <v>0</v>
      </c>
      <c r="BI1933" s="32">
        <v>0</v>
      </c>
      <c r="BJ1933" s="32">
        <v>0</v>
      </c>
      <c r="BK1933" s="32">
        <v>0</v>
      </c>
      <c r="BL1933" s="32">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19.5" customHeight="1">
      <c r="C1934" s="32">
        <v>70302003</v>
      </c>
      <c r="D1934" s="30" t="s">
        <v>1330</v>
      </c>
      <c r="E1934" s="30" t="s">
        <v>1331</v>
      </c>
      <c r="F1934" s="32">
        <v>1</v>
      </c>
      <c r="G1934" s="21">
        <v>60010100</v>
      </c>
      <c r="H1934" s="32">
        <v>0</v>
      </c>
      <c r="I1934" s="31">
        <v>0</v>
      </c>
      <c r="J1934" s="32">
        <v>1</v>
      </c>
      <c r="K1934" s="32">
        <v>0</v>
      </c>
      <c r="L1934" s="32">
        <v>0</v>
      </c>
      <c r="M1934" s="21">
        <v>0</v>
      </c>
      <c r="N1934" s="21">
        <v>0</v>
      </c>
      <c r="O1934" s="21">
        <v>2</v>
      </c>
      <c r="P1934" s="21">
        <v>1</v>
      </c>
      <c r="Q1934" s="21">
        <v>0.5</v>
      </c>
      <c r="R1934" s="21">
        <v>0</v>
      </c>
      <c r="S1934" s="19">
        <v>0</v>
      </c>
      <c r="T1934" s="21">
        <v>0</v>
      </c>
      <c r="U1934" s="21">
        <v>1</v>
      </c>
      <c r="V1934" s="21">
        <v>2</v>
      </c>
      <c r="W1934" s="21">
        <v>0</v>
      </c>
      <c r="X1934" s="21">
        <v>2</v>
      </c>
      <c r="Y1934" s="19">
        <v>0</v>
      </c>
      <c r="Z1934" s="21">
        <v>0</v>
      </c>
      <c r="AA1934" s="21">
        <v>1</v>
      </c>
      <c r="AB1934" s="21">
        <v>0</v>
      </c>
      <c r="AC1934" s="21">
        <v>0</v>
      </c>
      <c r="AD1934" s="21">
        <v>0</v>
      </c>
      <c r="AE1934" s="21">
        <v>0</v>
      </c>
      <c r="AF1934" s="21">
        <v>12</v>
      </c>
      <c r="AG1934" s="21">
        <v>2</v>
      </c>
      <c r="AH1934" s="21" t="s">
        <v>219</v>
      </c>
      <c r="AI1934" s="19">
        <v>0</v>
      </c>
      <c r="AJ1934" s="19">
        <v>2</v>
      </c>
      <c r="AK1934" s="19">
        <v>0</v>
      </c>
      <c r="AL1934" s="19">
        <v>1.5</v>
      </c>
      <c r="AM1934" s="21">
        <v>0</v>
      </c>
      <c r="AN1934" s="21">
        <v>0</v>
      </c>
      <c r="AO1934" s="21">
        <v>0</v>
      </c>
      <c r="AP1934" s="21">
        <v>1.5</v>
      </c>
      <c r="AQ1934" s="21">
        <v>10000</v>
      </c>
      <c r="AR1934" s="21">
        <v>1</v>
      </c>
      <c r="AS1934" s="21">
        <v>5</v>
      </c>
      <c r="AT1934" s="19">
        <v>0</v>
      </c>
      <c r="AU1934" s="21" t="s">
        <v>204</v>
      </c>
      <c r="AV1934" s="21"/>
      <c r="AW1934" s="35" t="s">
        <v>623</v>
      </c>
      <c r="AX1934" s="21" t="s">
        <v>540</v>
      </c>
      <c r="AY1934" s="32">
        <v>10000007</v>
      </c>
      <c r="AZ1934" s="32">
        <v>70302003</v>
      </c>
      <c r="BA1934" s="35" t="s">
        <v>592</v>
      </c>
      <c r="BB1934" s="21">
        <v>0</v>
      </c>
      <c r="BC1934" s="31">
        <v>0</v>
      </c>
      <c r="BD1934" s="31">
        <v>0</v>
      </c>
      <c r="BE1934" s="33" t="s">
        <v>3169</v>
      </c>
      <c r="BF1934" s="33" t="s">
        <v>3170</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70302004</v>
      </c>
      <c r="D1935" s="30" t="s">
        <v>1035</v>
      </c>
      <c r="E1935" s="30" t="s">
        <v>1036</v>
      </c>
      <c r="F1935" s="32">
        <v>1</v>
      </c>
      <c r="G1935" s="21">
        <v>60010100</v>
      </c>
      <c r="H1935" s="32">
        <v>0</v>
      </c>
      <c r="I1935" s="31">
        <v>0</v>
      </c>
      <c r="J1935" s="32">
        <v>1</v>
      </c>
      <c r="K1935" s="32">
        <v>0</v>
      </c>
      <c r="L1935" s="32">
        <v>0</v>
      </c>
      <c r="M1935" s="21">
        <v>0</v>
      </c>
      <c r="N1935" s="21">
        <v>0</v>
      </c>
      <c r="O1935" s="21">
        <v>2</v>
      </c>
      <c r="P1935" s="21">
        <v>1</v>
      </c>
      <c r="Q1935" s="21">
        <v>0.5</v>
      </c>
      <c r="R1935" s="21">
        <v>0</v>
      </c>
      <c r="S1935" s="19">
        <v>0</v>
      </c>
      <c r="T1935" s="21">
        <v>0</v>
      </c>
      <c r="U1935" s="21">
        <v>1</v>
      </c>
      <c r="V1935" s="21">
        <v>2</v>
      </c>
      <c r="W1935" s="21">
        <v>0</v>
      </c>
      <c r="X1935" s="21">
        <v>2</v>
      </c>
      <c r="Y1935" s="19">
        <v>0</v>
      </c>
      <c r="Z1935" s="21">
        <v>0</v>
      </c>
      <c r="AA1935" s="21">
        <v>1</v>
      </c>
      <c r="AB1935" s="21">
        <v>0</v>
      </c>
      <c r="AC1935" s="21">
        <v>0</v>
      </c>
      <c r="AD1935" s="21">
        <v>0</v>
      </c>
      <c r="AE1935" s="21">
        <v>0</v>
      </c>
      <c r="AF1935" s="21">
        <v>12</v>
      </c>
      <c r="AG1935" s="21">
        <v>1</v>
      </c>
      <c r="AH1935" s="21">
        <v>3</v>
      </c>
      <c r="AI1935" s="19">
        <v>4</v>
      </c>
      <c r="AJ1935" s="19">
        <v>1</v>
      </c>
      <c r="AK1935" s="19">
        <v>0</v>
      </c>
      <c r="AL1935" s="19">
        <v>1.5</v>
      </c>
      <c r="AM1935" s="21">
        <v>0</v>
      </c>
      <c r="AN1935" s="21">
        <v>0</v>
      </c>
      <c r="AO1935" s="21">
        <v>0</v>
      </c>
      <c r="AP1935" s="21">
        <v>3</v>
      </c>
      <c r="AQ1935" s="21">
        <v>999999</v>
      </c>
      <c r="AR1935" s="21">
        <v>3</v>
      </c>
      <c r="AS1935" s="21">
        <v>0</v>
      </c>
      <c r="AT1935" s="19">
        <v>0</v>
      </c>
      <c r="AU1935" s="21" t="s">
        <v>204</v>
      </c>
      <c r="AV1935" s="21"/>
      <c r="AW1935" s="35" t="s">
        <v>293</v>
      </c>
      <c r="AX1935" s="21" t="s">
        <v>540</v>
      </c>
      <c r="AY1935" s="32">
        <v>10000007</v>
      </c>
      <c r="AZ1935" s="32">
        <v>70302004</v>
      </c>
      <c r="BA1935" s="30" t="s">
        <v>206</v>
      </c>
      <c r="BB1935" s="21" t="s">
        <v>4491</v>
      </c>
      <c r="BC1935" s="31">
        <v>0</v>
      </c>
      <c r="BD1935" s="31">
        <v>0</v>
      </c>
      <c r="BE1935" s="33" t="s">
        <v>4443</v>
      </c>
      <c r="BF1935" s="33" t="s">
        <v>4444</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20.100000000000001" customHeight="1">
      <c r="C1936" s="32">
        <v>70303001</v>
      </c>
      <c r="D1936" s="30" t="s">
        <v>1092</v>
      </c>
      <c r="E1936" s="30" t="s">
        <v>1093</v>
      </c>
      <c r="F1936" s="21">
        <v>1</v>
      </c>
      <c r="G1936" s="21">
        <v>60010300</v>
      </c>
      <c r="H1936" s="32">
        <v>0</v>
      </c>
      <c r="I1936" s="31">
        <v>0</v>
      </c>
      <c r="J1936" s="32">
        <v>1</v>
      </c>
      <c r="K1936" s="32">
        <v>0</v>
      </c>
      <c r="L1936" s="32">
        <v>0</v>
      </c>
      <c r="M1936" s="21">
        <v>0</v>
      </c>
      <c r="N1936" s="21">
        <v>0</v>
      </c>
      <c r="O1936" s="21">
        <v>2</v>
      </c>
      <c r="P1936" s="21">
        <v>2</v>
      </c>
      <c r="Q1936" s="21">
        <v>0.8</v>
      </c>
      <c r="R1936" s="21">
        <v>1</v>
      </c>
      <c r="S1936" s="19">
        <v>0</v>
      </c>
      <c r="T1936" s="21">
        <v>0</v>
      </c>
      <c r="U1936" s="21">
        <v>1</v>
      </c>
      <c r="V1936" s="21">
        <v>2</v>
      </c>
      <c r="W1936" s="21">
        <v>0</v>
      </c>
      <c r="X1936" s="21">
        <v>0</v>
      </c>
      <c r="Y1936" s="19">
        <v>0</v>
      </c>
      <c r="Z1936" s="21">
        <v>0</v>
      </c>
      <c r="AA1936" s="21">
        <v>0</v>
      </c>
      <c r="AB1936" s="21">
        <v>0</v>
      </c>
      <c r="AC1936" s="21">
        <v>0</v>
      </c>
      <c r="AD1936" s="21">
        <v>0</v>
      </c>
      <c r="AE1936" s="21">
        <v>0</v>
      </c>
      <c r="AF1936" s="21">
        <v>99999</v>
      </c>
      <c r="AG1936" s="21">
        <v>0</v>
      </c>
      <c r="AH1936" s="21">
        <v>0</v>
      </c>
      <c r="AI1936" s="19">
        <v>2</v>
      </c>
      <c r="AJ1936" s="19">
        <v>2</v>
      </c>
      <c r="AK1936" s="19">
        <v>0</v>
      </c>
      <c r="AL1936" s="19">
        <v>1.5</v>
      </c>
      <c r="AM1936" s="21">
        <v>0</v>
      </c>
      <c r="AN1936" s="21">
        <v>0</v>
      </c>
      <c r="AO1936" s="21">
        <v>0</v>
      </c>
      <c r="AP1936" s="21">
        <v>1</v>
      </c>
      <c r="AQ1936" s="21">
        <v>3000</v>
      </c>
      <c r="AR1936" s="21">
        <v>0.5</v>
      </c>
      <c r="AS1936" s="21">
        <v>0</v>
      </c>
      <c r="AT1936" s="19">
        <v>0</v>
      </c>
      <c r="AU1936" s="21" t="s">
        <v>204</v>
      </c>
      <c r="AV1936" s="21"/>
      <c r="AW1936" s="35" t="s">
        <v>205</v>
      </c>
      <c r="AX1936" s="21" t="s">
        <v>551</v>
      </c>
      <c r="AY1936" s="32">
        <v>0</v>
      </c>
      <c r="AZ1936" s="32">
        <v>0</v>
      </c>
      <c r="BA1936" s="30" t="s">
        <v>534</v>
      </c>
      <c r="BB1936" s="21" t="s">
        <v>4492</v>
      </c>
      <c r="BC1936" s="31">
        <v>0</v>
      </c>
      <c r="BD1936" s="31">
        <v>0</v>
      </c>
      <c r="BE1936" s="33" t="s">
        <v>1095</v>
      </c>
      <c r="BF1936" s="33" t="s">
        <v>1096</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19.5" customHeight="1">
      <c r="C1937" s="32">
        <v>70303002</v>
      </c>
      <c r="D1937" s="30" t="s">
        <v>1097</v>
      </c>
      <c r="E1937" s="30" t="s">
        <v>1098</v>
      </c>
      <c r="F1937" s="32">
        <v>1</v>
      </c>
      <c r="G1937" s="21">
        <v>60010100</v>
      </c>
      <c r="H1937" s="32">
        <v>0</v>
      </c>
      <c r="I1937" s="31">
        <v>0</v>
      </c>
      <c r="J1937" s="32">
        <v>1</v>
      </c>
      <c r="K1937" s="32">
        <v>0</v>
      </c>
      <c r="L1937" s="32">
        <v>0</v>
      </c>
      <c r="M1937" s="21">
        <v>0</v>
      </c>
      <c r="N1937" s="21">
        <v>0</v>
      </c>
      <c r="O1937" s="21">
        <v>2</v>
      </c>
      <c r="P1937" s="21">
        <v>1</v>
      </c>
      <c r="Q1937" s="21">
        <v>0.3</v>
      </c>
      <c r="R1937" s="21">
        <v>0</v>
      </c>
      <c r="S1937" s="19">
        <v>0</v>
      </c>
      <c r="T1937" s="21">
        <v>0</v>
      </c>
      <c r="U1937" s="21">
        <v>1</v>
      </c>
      <c r="V1937" s="21">
        <v>2</v>
      </c>
      <c r="W1937" s="21">
        <v>0</v>
      </c>
      <c r="X1937" s="21">
        <v>3</v>
      </c>
      <c r="Y1937" s="19">
        <v>0</v>
      </c>
      <c r="Z1937" s="21">
        <v>0</v>
      </c>
      <c r="AA1937" s="21">
        <v>1</v>
      </c>
      <c r="AB1937" s="21">
        <v>0</v>
      </c>
      <c r="AC1937" s="21">
        <v>0</v>
      </c>
      <c r="AD1937" s="21">
        <v>0</v>
      </c>
      <c r="AE1937" s="21">
        <v>0</v>
      </c>
      <c r="AF1937" s="21">
        <v>12</v>
      </c>
      <c r="AG1937" s="21">
        <v>1</v>
      </c>
      <c r="AH1937" s="21" t="s">
        <v>613</v>
      </c>
      <c r="AI1937" s="19">
        <v>0</v>
      </c>
      <c r="AJ1937" s="19">
        <v>1</v>
      </c>
      <c r="AK1937" s="19">
        <v>0</v>
      </c>
      <c r="AL1937" s="19">
        <v>3</v>
      </c>
      <c r="AM1937" s="21">
        <v>0</v>
      </c>
      <c r="AN1937" s="21">
        <v>0</v>
      </c>
      <c r="AO1937" s="21">
        <v>0</v>
      </c>
      <c r="AP1937" s="21">
        <v>3</v>
      </c>
      <c r="AQ1937" s="21">
        <v>5000</v>
      </c>
      <c r="AR1937" s="21">
        <v>2.5</v>
      </c>
      <c r="AS1937" s="21">
        <v>0</v>
      </c>
      <c r="AT1937" s="19">
        <v>0</v>
      </c>
      <c r="AU1937" s="21">
        <v>80001030</v>
      </c>
      <c r="AV1937" s="21"/>
      <c r="AW1937" s="35" t="s">
        <v>293</v>
      </c>
      <c r="AX1937" s="21" t="s">
        <v>540</v>
      </c>
      <c r="AY1937" s="32">
        <v>10000007</v>
      </c>
      <c r="AZ1937" s="32">
        <v>70204001</v>
      </c>
      <c r="BA1937" s="30" t="s">
        <v>206</v>
      </c>
      <c r="BB1937" s="21">
        <v>0</v>
      </c>
      <c r="BC1937" s="31">
        <v>0</v>
      </c>
      <c r="BD1937" s="31">
        <v>0</v>
      </c>
      <c r="BE1937" s="33" t="s">
        <v>1099</v>
      </c>
      <c r="BF1937" s="33" t="s">
        <v>1100</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70303003</v>
      </c>
      <c r="D1938" s="30" t="s">
        <v>952</v>
      </c>
      <c r="E1938" s="30" t="s">
        <v>953</v>
      </c>
      <c r="F1938" s="32">
        <v>1</v>
      </c>
      <c r="G1938" s="21">
        <v>60010100</v>
      </c>
      <c r="H1938" s="32">
        <v>0</v>
      </c>
      <c r="I1938" s="31">
        <v>0</v>
      </c>
      <c r="J1938" s="32">
        <v>1</v>
      </c>
      <c r="K1938" s="32">
        <v>0</v>
      </c>
      <c r="L1938" s="32">
        <v>0</v>
      </c>
      <c r="M1938" s="21">
        <v>0</v>
      </c>
      <c r="N1938" s="21">
        <v>0</v>
      </c>
      <c r="O1938" s="21">
        <v>2</v>
      </c>
      <c r="P1938" s="21">
        <v>1</v>
      </c>
      <c r="Q1938" s="21">
        <v>0.3</v>
      </c>
      <c r="R1938" s="21">
        <v>0</v>
      </c>
      <c r="S1938" s="19">
        <v>0</v>
      </c>
      <c r="T1938" s="21">
        <v>0</v>
      </c>
      <c r="U1938" s="21">
        <v>1</v>
      </c>
      <c r="V1938" s="21">
        <v>2</v>
      </c>
      <c r="W1938" s="21">
        <v>0</v>
      </c>
      <c r="X1938" s="21">
        <v>2.5</v>
      </c>
      <c r="Y1938" s="19">
        <v>0</v>
      </c>
      <c r="Z1938" s="21">
        <v>0</v>
      </c>
      <c r="AA1938" s="21">
        <v>1</v>
      </c>
      <c r="AB1938" s="21">
        <v>0</v>
      </c>
      <c r="AC1938" s="21">
        <v>0</v>
      </c>
      <c r="AD1938" s="21">
        <v>0</v>
      </c>
      <c r="AE1938" s="21">
        <v>0</v>
      </c>
      <c r="AF1938" s="21">
        <v>12</v>
      </c>
      <c r="AG1938" s="21">
        <v>1</v>
      </c>
      <c r="AH1938" s="21">
        <v>3</v>
      </c>
      <c r="AI1938" s="19">
        <v>4</v>
      </c>
      <c r="AJ1938" s="19">
        <v>1</v>
      </c>
      <c r="AK1938" s="19">
        <v>0</v>
      </c>
      <c r="AL1938" s="19">
        <v>1.5</v>
      </c>
      <c r="AM1938" s="21">
        <v>0</v>
      </c>
      <c r="AN1938" s="21">
        <v>0</v>
      </c>
      <c r="AO1938" s="21">
        <v>0</v>
      </c>
      <c r="AP1938" s="21">
        <v>3</v>
      </c>
      <c r="AQ1938" s="21">
        <v>5000</v>
      </c>
      <c r="AR1938" s="21">
        <v>3</v>
      </c>
      <c r="AS1938" s="21">
        <v>0</v>
      </c>
      <c r="AT1938" s="19">
        <v>0</v>
      </c>
      <c r="AU1938" s="21">
        <v>80001030</v>
      </c>
      <c r="AV1938" s="21"/>
      <c r="AW1938" s="35" t="s">
        <v>262</v>
      </c>
      <c r="AX1938" s="21" t="s">
        <v>540</v>
      </c>
      <c r="AY1938" s="32">
        <v>10000007</v>
      </c>
      <c r="AZ1938" s="32">
        <v>70204002</v>
      </c>
      <c r="BA1938" s="30" t="s">
        <v>206</v>
      </c>
      <c r="BB1938" s="21" t="s">
        <v>4493</v>
      </c>
      <c r="BC1938" s="31">
        <v>0</v>
      </c>
      <c r="BD1938" s="31">
        <v>0</v>
      </c>
      <c r="BE1938" s="33" t="s">
        <v>1102</v>
      </c>
      <c r="BF1938" s="33" t="s">
        <v>1103</v>
      </c>
      <c r="BG1938" s="21">
        <v>0</v>
      </c>
      <c r="BH1938" s="21">
        <v>0</v>
      </c>
      <c r="BI1938" s="21">
        <v>0</v>
      </c>
      <c r="BJ1938" s="21">
        <v>0</v>
      </c>
      <c r="BK1938" s="21">
        <v>0</v>
      </c>
      <c r="BL1938" s="21">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70303004</v>
      </c>
      <c r="D1939" s="30" t="s">
        <v>957</v>
      </c>
      <c r="E1939" s="30" t="s">
        <v>958</v>
      </c>
      <c r="F1939" s="32">
        <v>1</v>
      </c>
      <c r="G1939" s="21">
        <v>60010100</v>
      </c>
      <c r="H1939" s="32">
        <v>0</v>
      </c>
      <c r="I1939" s="31">
        <v>0</v>
      </c>
      <c r="J1939" s="32">
        <v>1</v>
      </c>
      <c r="K1939" s="32">
        <v>0</v>
      </c>
      <c r="L1939" s="32">
        <v>0</v>
      </c>
      <c r="M1939" s="21">
        <v>0</v>
      </c>
      <c r="N1939" s="21">
        <v>0</v>
      </c>
      <c r="O1939" s="21">
        <v>2</v>
      </c>
      <c r="P1939" s="21">
        <v>1</v>
      </c>
      <c r="Q1939" s="21">
        <v>0.3</v>
      </c>
      <c r="R1939" s="21">
        <v>0</v>
      </c>
      <c r="S1939" s="19">
        <v>0</v>
      </c>
      <c r="T1939" s="21">
        <v>0</v>
      </c>
      <c r="U1939" s="21">
        <v>1</v>
      </c>
      <c r="V1939" s="21">
        <v>2</v>
      </c>
      <c r="W1939" s="21">
        <v>0</v>
      </c>
      <c r="X1939" s="21">
        <v>3</v>
      </c>
      <c r="Y1939" s="19">
        <v>0</v>
      </c>
      <c r="Z1939" s="21">
        <v>0</v>
      </c>
      <c r="AA1939" s="21">
        <v>1</v>
      </c>
      <c r="AB1939" s="21">
        <v>0</v>
      </c>
      <c r="AC1939" s="21">
        <v>0</v>
      </c>
      <c r="AD1939" s="21">
        <v>0</v>
      </c>
      <c r="AE1939" s="21">
        <v>0</v>
      </c>
      <c r="AF1939" s="21">
        <v>12</v>
      </c>
      <c r="AG1939" s="21">
        <v>1</v>
      </c>
      <c r="AH1939" s="21">
        <v>3</v>
      </c>
      <c r="AI1939" s="19">
        <v>6</v>
      </c>
      <c r="AJ1939" s="19">
        <v>1</v>
      </c>
      <c r="AK1939" s="19">
        <v>0</v>
      </c>
      <c r="AL1939" s="19">
        <v>1.5</v>
      </c>
      <c r="AM1939" s="21">
        <v>0</v>
      </c>
      <c r="AN1939" s="21">
        <v>0</v>
      </c>
      <c r="AO1939" s="21">
        <v>0</v>
      </c>
      <c r="AP1939" s="21">
        <v>3</v>
      </c>
      <c r="AQ1939" s="21">
        <v>5000</v>
      </c>
      <c r="AR1939" s="21">
        <v>3</v>
      </c>
      <c r="AS1939" s="21">
        <v>0</v>
      </c>
      <c r="AT1939" s="19">
        <v>0</v>
      </c>
      <c r="AU1939" s="21">
        <v>80001030</v>
      </c>
      <c r="AV1939" s="21"/>
      <c r="AW1939" s="35" t="s">
        <v>623</v>
      </c>
      <c r="AX1939" s="21" t="s">
        <v>540</v>
      </c>
      <c r="AY1939" s="32">
        <v>10000007</v>
      </c>
      <c r="AZ1939" s="32">
        <v>70204003</v>
      </c>
      <c r="BA1939" s="30" t="s">
        <v>206</v>
      </c>
      <c r="BB1939" s="21" t="s">
        <v>4460</v>
      </c>
      <c r="BC1939" s="31">
        <v>0</v>
      </c>
      <c r="BD1939" s="31">
        <v>0</v>
      </c>
      <c r="BE1939" s="33" t="s">
        <v>1105</v>
      </c>
      <c r="BF1939" s="33" t="s">
        <v>1106</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70304001</v>
      </c>
      <c r="D1940" s="30" t="s">
        <v>4494</v>
      </c>
      <c r="E1940" s="30" t="s">
        <v>4495</v>
      </c>
      <c r="F1940" s="21">
        <v>1</v>
      </c>
      <c r="G1940" s="21">
        <v>60010300</v>
      </c>
      <c r="H1940" s="32">
        <v>0</v>
      </c>
      <c r="I1940" s="31">
        <v>0</v>
      </c>
      <c r="J1940" s="32">
        <v>1</v>
      </c>
      <c r="K1940" s="32">
        <v>0</v>
      </c>
      <c r="L1940" s="32">
        <v>0</v>
      </c>
      <c r="M1940" s="21">
        <v>0</v>
      </c>
      <c r="N1940" s="21">
        <v>0</v>
      </c>
      <c r="O1940" s="21">
        <v>2</v>
      </c>
      <c r="P1940" s="21">
        <v>2</v>
      </c>
      <c r="Q1940" s="21">
        <v>0.8</v>
      </c>
      <c r="R1940" s="21">
        <v>0</v>
      </c>
      <c r="S1940" s="19">
        <v>0</v>
      </c>
      <c r="T1940" s="21">
        <v>0</v>
      </c>
      <c r="U1940" s="21">
        <v>1</v>
      </c>
      <c r="V1940" s="21">
        <v>2</v>
      </c>
      <c r="W1940" s="21">
        <v>0</v>
      </c>
      <c r="X1940" s="21">
        <v>0</v>
      </c>
      <c r="Y1940" s="19">
        <v>0</v>
      </c>
      <c r="Z1940" s="21">
        <v>0</v>
      </c>
      <c r="AA1940" s="21">
        <v>0</v>
      </c>
      <c r="AB1940" s="21">
        <v>0</v>
      </c>
      <c r="AC1940" s="21">
        <v>0</v>
      </c>
      <c r="AD1940" s="21">
        <v>0</v>
      </c>
      <c r="AE1940" s="21">
        <v>0</v>
      </c>
      <c r="AF1940" s="21">
        <v>20</v>
      </c>
      <c r="AG1940" s="21">
        <v>0</v>
      </c>
      <c r="AH1940" s="21">
        <v>0</v>
      </c>
      <c r="AI1940" s="19">
        <v>2</v>
      </c>
      <c r="AJ1940" s="19">
        <v>2</v>
      </c>
      <c r="AK1940" s="19">
        <v>0</v>
      </c>
      <c r="AL1940" s="19">
        <v>1.5</v>
      </c>
      <c r="AM1940" s="21">
        <v>0</v>
      </c>
      <c r="AN1940" s="21">
        <v>0</v>
      </c>
      <c r="AO1940" s="21">
        <v>0</v>
      </c>
      <c r="AP1940" s="21">
        <v>1</v>
      </c>
      <c r="AQ1940" s="21">
        <v>3000</v>
      </c>
      <c r="AR1940" s="21">
        <v>0.5</v>
      </c>
      <c r="AS1940" s="21">
        <v>0</v>
      </c>
      <c r="AT1940" s="19">
        <v>0</v>
      </c>
      <c r="AU1940" s="21" t="s">
        <v>204</v>
      </c>
      <c r="AV1940" s="21"/>
      <c r="AW1940" s="35" t="s">
        <v>205</v>
      </c>
      <c r="AX1940" s="21" t="s">
        <v>551</v>
      </c>
      <c r="AY1940" s="32">
        <v>0</v>
      </c>
      <c r="AZ1940" s="32">
        <v>0</v>
      </c>
      <c r="BA1940" s="30" t="s">
        <v>534</v>
      </c>
      <c r="BB1940" s="21" t="s">
        <v>4496</v>
      </c>
      <c r="BC1940" s="31">
        <v>0</v>
      </c>
      <c r="BD1940" s="31">
        <v>0</v>
      </c>
      <c r="BE1940" s="33" t="s">
        <v>4497</v>
      </c>
      <c r="BF1940" s="33" t="s">
        <v>4498</v>
      </c>
      <c r="BG1940" s="21">
        <v>0</v>
      </c>
      <c r="BH1940" s="21">
        <v>0</v>
      </c>
      <c r="BI1940" s="21">
        <v>0</v>
      </c>
      <c r="BJ1940" s="21">
        <v>0</v>
      </c>
      <c r="BK1940" s="21">
        <v>0</v>
      </c>
      <c r="BL1940" s="21">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70304002</v>
      </c>
      <c r="D1941" s="35" t="s">
        <v>750</v>
      </c>
      <c r="E1941" s="35" t="s">
        <v>751</v>
      </c>
      <c r="F1941" s="32">
        <v>1</v>
      </c>
      <c r="G1941" s="32">
        <v>60010500</v>
      </c>
      <c r="H1941" s="32">
        <v>0</v>
      </c>
      <c r="I1941" s="31">
        <v>0</v>
      </c>
      <c r="J1941" s="32">
        <v>1</v>
      </c>
      <c r="K1941" s="32">
        <v>0</v>
      </c>
      <c r="L1941" s="32">
        <v>0</v>
      </c>
      <c r="M1941" s="32">
        <v>0</v>
      </c>
      <c r="N1941" s="32">
        <v>0</v>
      </c>
      <c r="O1941" s="21">
        <v>2</v>
      </c>
      <c r="P1941" s="32">
        <v>1</v>
      </c>
      <c r="Q1941" s="32">
        <v>0.05</v>
      </c>
      <c r="R1941" s="32">
        <v>0</v>
      </c>
      <c r="S1941" s="19">
        <v>0</v>
      </c>
      <c r="T1941" s="31">
        <v>0</v>
      </c>
      <c r="U1941" s="21">
        <v>1</v>
      </c>
      <c r="V1941" s="32">
        <v>1</v>
      </c>
      <c r="W1941" s="32">
        <v>0</v>
      </c>
      <c r="X1941" s="32">
        <v>2</v>
      </c>
      <c r="Y1941" s="19">
        <v>0</v>
      </c>
      <c r="Z1941" s="32">
        <v>0</v>
      </c>
      <c r="AA1941" s="32">
        <v>0</v>
      </c>
      <c r="AB1941" s="32">
        <v>0</v>
      </c>
      <c r="AC1941" s="32">
        <v>0</v>
      </c>
      <c r="AD1941" s="21">
        <v>0</v>
      </c>
      <c r="AE1941" s="32">
        <v>0</v>
      </c>
      <c r="AF1941" s="32">
        <v>10</v>
      </c>
      <c r="AG1941" s="32">
        <v>0</v>
      </c>
      <c r="AH1941" s="32">
        <v>0</v>
      </c>
      <c r="AI1941" s="19">
        <v>7</v>
      </c>
      <c r="AJ1941" s="19">
        <v>0</v>
      </c>
      <c r="AK1941" s="19">
        <v>0</v>
      </c>
      <c r="AL1941" s="19">
        <v>0</v>
      </c>
      <c r="AM1941" s="32">
        <v>0</v>
      </c>
      <c r="AN1941" s="32">
        <v>0</v>
      </c>
      <c r="AO1941" s="32">
        <v>0</v>
      </c>
      <c r="AP1941" s="32">
        <v>0</v>
      </c>
      <c r="AQ1941" s="32">
        <v>1000</v>
      </c>
      <c r="AR1941" s="32">
        <v>0.5</v>
      </c>
      <c r="AS1941" s="32">
        <v>0</v>
      </c>
      <c r="AT1941" s="19">
        <v>0</v>
      </c>
      <c r="AU1941" s="32" t="s">
        <v>665</v>
      </c>
      <c r="AV1941" s="32"/>
      <c r="AW1941" s="35" t="s">
        <v>747</v>
      </c>
      <c r="AX1941" s="32">
        <v>0</v>
      </c>
      <c r="AY1941" s="32">
        <v>10007001</v>
      </c>
      <c r="AZ1941" s="32">
        <v>0</v>
      </c>
      <c r="BA1941" s="35" t="s">
        <v>206</v>
      </c>
      <c r="BB1941" s="35" t="s">
        <v>204</v>
      </c>
      <c r="BC1941" s="31">
        <v>0</v>
      </c>
      <c r="BD1941" s="31">
        <v>0</v>
      </c>
      <c r="BE1941" s="60" t="s">
        <v>752</v>
      </c>
      <c r="BF1941" s="60" t="s">
        <v>753</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70304003</v>
      </c>
      <c r="D1942" s="30" t="s">
        <v>754</v>
      </c>
      <c r="E1942" s="30" t="s">
        <v>755</v>
      </c>
      <c r="F1942" s="32">
        <v>1</v>
      </c>
      <c r="G1942" s="21">
        <v>60010100</v>
      </c>
      <c r="H1942" s="32">
        <v>0</v>
      </c>
      <c r="I1942" s="31">
        <v>0</v>
      </c>
      <c r="J1942" s="32">
        <v>1</v>
      </c>
      <c r="K1942" s="32">
        <v>0</v>
      </c>
      <c r="L1942" s="32">
        <v>0</v>
      </c>
      <c r="M1942" s="21">
        <v>0</v>
      </c>
      <c r="N1942" s="21">
        <v>0</v>
      </c>
      <c r="O1942" s="21">
        <v>2</v>
      </c>
      <c r="P1942" s="21">
        <v>1</v>
      </c>
      <c r="Q1942" s="21">
        <v>1</v>
      </c>
      <c r="R1942" s="21">
        <v>0</v>
      </c>
      <c r="S1942" s="19">
        <v>0</v>
      </c>
      <c r="T1942" s="21">
        <v>0</v>
      </c>
      <c r="U1942" s="21">
        <v>1</v>
      </c>
      <c r="V1942" s="21">
        <v>2</v>
      </c>
      <c r="W1942" s="21">
        <v>0</v>
      </c>
      <c r="X1942" s="21">
        <v>2</v>
      </c>
      <c r="Y1942" s="19">
        <v>0</v>
      </c>
      <c r="Z1942" s="21">
        <v>0</v>
      </c>
      <c r="AA1942" s="21">
        <v>1</v>
      </c>
      <c r="AB1942" s="21">
        <v>0</v>
      </c>
      <c r="AC1942" s="21">
        <v>0</v>
      </c>
      <c r="AD1942" s="21">
        <v>0</v>
      </c>
      <c r="AE1942" s="21">
        <v>0</v>
      </c>
      <c r="AF1942" s="21">
        <v>12</v>
      </c>
      <c r="AG1942" s="21">
        <v>2</v>
      </c>
      <c r="AH1942" s="21" t="s">
        <v>219</v>
      </c>
      <c r="AI1942" s="19">
        <v>0</v>
      </c>
      <c r="AJ1942" s="19">
        <v>0</v>
      </c>
      <c r="AK1942" s="19">
        <v>0</v>
      </c>
      <c r="AL1942" s="19">
        <v>1.5</v>
      </c>
      <c r="AM1942" s="21">
        <v>0</v>
      </c>
      <c r="AN1942" s="21">
        <v>0</v>
      </c>
      <c r="AO1942" s="21">
        <v>0</v>
      </c>
      <c r="AP1942" s="21">
        <v>1</v>
      </c>
      <c r="AQ1942" s="21">
        <v>5000</v>
      </c>
      <c r="AR1942" s="21">
        <v>0.5</v>
      </c>
      <c r="AS1942" s="21">
        <v>0</v>
      </c>
      <c r="AT1942" s="19">
        <v>0</v>
      </c>
      <c r="AU1942" s="21" t="s">
        <v>204</v>
      </c>
      <c r="AV1942" s="21"/>
      <c r="AW1942" s="35" t="s">
        <v>623</v>
      </c>
      <c r="AX1942" s="21" t="s">
        <v>540</v>
      </c>
      <c r="AY1942" s="32">
        <v>10000007</v>
      </c>
      <c r="AZ1942" s="32">
        <v>70201001</v>
      </c>
      <c r="BA1942" s="30" t="s">
        <v>206</v>
      </c>
      <c r="BB1942" s="21">
        <v>0</v>
      </c>
      <c r="BC1942" s="31">
        <v>0</v>
      </c>
      <c r="BD1942" s="31">
        <v>0</v>
      </c>
      <c r="BE1942" s="33" t="s">
        <v>756</v>
      </c>
      <c r="BF1942" s="33" t="s">
        <v>757</v>
      </c>
      <c r="BG1942" s="21">
        <v>0</v>
      </c>
      <c r="BH1942" s="21">
        <v>0</v>
      </c>
      <c r="BI1942" s="21">
        <v>0</v>
      </c>
      <c r="BJ1942" s="21">
        <v>0</v>
      </c>
      <c r="BK1942" s="21">
        <v>0</v>
      </c>
      <c r="BL1942" s="21">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20.100000000000001" customHeight="1">
      <c r="C1943" s="32">
        <v>70304004</v>
      </c>
      <c r="D1943" s="35" t="s">
        <v>4438</v>
      </c>
      <c r="E1943" s="35" t="s">
        <v>4439</v>
      </c>
      <c r="F1943" s="32">
        <v>1</v>
      </c>
      <c r="G1943" s="32">
        <v>60010500</v>
      </c>
      <c r="H1943" s="32">
        <v>0</v>
      </c>
      <c r="I1943" s="31">
        <v>0</v>
      </c>
      <c r="J1943" s="32">
        <v>1</v>
      </c>
      <c r="K1943" s="32">
        <v>0</v>
      </c>
      <c r="L1943" s="32">
        <v>0</v>
      </c>
      <c r="M1943" s="32">
        <v>0</v>
      </c>
      <c r="N1943" s="32">
        <v>0</v>
      </c>
      <c r="O1943" s="21">
        <v>2</v>
      </c>
      <c r="P1943" s="32">
        <v>2</v>
      </c>
      <c r="Q1943" s="32">
        <v>0.3</v>
      </c>
      <c r="R1943" s="32">
        <v>0</v>
      </c>
      <c r="S1943" s="19">
        <v>0</v>
      </c>
      <c r="T1943" s="31">
        <v>0</v>
      </c>
      <c r="U1943" s="21">
        <v>1</v>
      </c>
      <c r="V1943" s="32">
        <v>2</v>
      </c>
      <c r="W1943" s="32">
        <v>0</v>
      </c>
      <c r="X1943" s="32">
        <v>0</v>
      </c>
      <c r="Y1943" s="19">
        <v>0</v>
      </c>
      <c r="Z1943" s="32">
        <v>0</v>
      </c>
      <c r="AA1943" s="32">
        <v>0</v>
      </c>
      <c r="AB1943" s="32">
        <v>0</v>
      </c>
      <c r="AC1943" s="32">
        <v>0</v>
      </c>
      <c r="AD1943" s="21">
        <v>0</v>
      </c>
      <c r="AE1943" s="32">
        <v>0</v>
      </c>
      <c r="AF1943" s="21">
        <v>99999</v>
      </c>
      <c r="AG1943" s="32">
        <v>0</v>
      </c>
      <c r="AH1943" s="32">
        <v>0</v>
      </c>
      <c r="AI1943" s="19">
        <v>2</v>
      </c>
      <c r="AJ1943" s="19">
        <v>0</v>
      </c>
      <c r="AK1943" s="19">
        <v>0</v>
      </c>
      <c r="AL1943" s="19">
        <v>0</v>
      </c>
      <c r="AM1943" s="32">
        <v>0</v>
      </c>
      <c r="AN1943" s="32">
        <v>0</v>
      </c>
      <c r="AO1943" s="32">
        <v>0</v>
      </c>
      <c r="AP1943" s="32">
        <v>0</v>
      </c>
      <c r="AQ1943" s="32">
        <v>1000</v>
      </c>
      <c r="AR1943" s="32">
        <v>0</v>
      </c>
      <c r="AS1943" s="32">
        <v>0</v>
      </c>
      <c r="AT1943" s="19" t="s">
        <v>760</v>
      </c>
      <c r="AU1943" s="32" t="s">
        <v>204</v>
      </c>
      <c r="AV1943" s="32"/>
      <c r="AW1943" s="35" t="s">
        <v>205</v>
      </c>
      <c r="AX1943" s="32" t="s">
        <v>354</v>
      </c>
      <c r="AY1943" s="32">
        <v>0</v>
      </c>
      <c r="AZ1943" s="32">
        <v>0</v>
      </c>
      <c r="BA1943" s="35" t="s">
        <v>206</v>
      </c>
      <c r="BB1943" s="35" t="s">
        <v>204</v>
      </c>
      <c r="BC1943" s="31">
        <v>0</v>
      </c>
      <c r="BD1943" s="31">
        <v>0</v>
      </c>
      <c r="BE1943" s="60" t="s">
        <v>761</v>
      </c>
      <c r="BF1943" s="60" t="s">
        <v>762</v>
      </c>
      <c r="BG1943" s="32">
        <v>0</v>
      </c>
      <c r="BH1943" s="21">
        <v>0</v>
      </c>
      <c r="BI1943" s="32">
        <v>0</v>
      </c>
      <c r="BJ1943" s="32">
        <v>0</v>
      </c>
      <c r="BK1943" s="32">
        <v>0</v>
      </c>
      <c r="BL1943" s="32">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70304005</v>
      </c>
      <c r="D1944" s="35" t="s">
        <v>763</v>
      </c>
      <c r="E1944" s="35" t="s">
        <v>405</v>
      </c>
      <c r="F1944" s="32">
        <v>1</v>
      </c>
      <c r="G1944" s="32">
        <v>60010500</v>
      </c>
      <c r="H1944" s="32">
        <v>0</v>
      </c>
      <c r="I1944" s="31">
        <v>0</v>
      </c>
      <c r="J1944" s="32">
        <v>1</v>
      </c>
      <c r="K1944" s="32">
        <v>0</v>
      </c>
      <c r="L1944" s="32">
        <v>0</v>
      </c>
      <c r="M1944" s="32">
        <v>0</v>
      </c>
      <c r="N1944" s="32">
        <v>0</v>
      </c>
      <c r="O1944" s="21">
        <v>2</v>
      </c>
      <c r="P1944" s="32">
        <v>2</v>
      </c>
      <c r="Q1944" s="32">
        <v>1</v>
      </c>
      <c r="R1944" s="32">
        <v>0</v>
      </c>
      <c r="S1944" s="19">
        <v>0</v>
      </c>
      <c r="T1944" s="31">
        <v>0</v>
      </c>
      <c r="U1944" s="21">
        <v>1</v>
      </c>
      <c r="V1944" s="32">
        <v>2</v>
      </c>
      <c r="W1944" s="32">
        <v>0</v>
      </c>
      <c r="X1944" s="32">
        <v>0</v>
      </c>
      <c r="Y1944" s="19">
        <v>0</v>
      </c>
      <c r="Z1944" s="32">
        <v>0</v>
      </c>
      <c r="AA1944" s="32">
        <v>0</v>
      </c>
      <c r="AB1944" s="32">
        <v>0</v>
      </c>
      <c r="AC1944" s="32">
        <v>0</v>
      </c>
      <c r="AD1944" s="21">
        <v>0</v>
      </c>
      <c r="AE1944" s="32">
        <v>0</v>
      </c>
      <c r="AF1944" s="21">
        <v>20</v>
      </c>
      <c r="AG1944" s="32">
        <v>0</v>
      </c>
      <c r="AH1944" s="32">
        <v>0</v>
      </c>
      <c r="AI1944" s="19">
        <v>2</v>
      </c>
      <c r="AJ1944" s="19">
        <v>0</v>
      </c>
      <c r="AK1944" s="19">
        <v>0</v>
      </c>
      <c r="AL1944" s="19">
        <v>0</v>
      </c>
      <c r="AM1944" s="32">
        <v>0</v>
      </c>
      <c r="AN1944" s="32">
        <v>0</v>
      </c>
      <c r="AO1944" s="32">
        <v>0</v>
      </c>
      <c r="AP1944" s="32">
        <v>0</v>
      </c>
      <c r="AQ1944" s="32">
        <v>1000</v>
      </c>
      <c r="AR1944" s="32">
        <v>0</v>
      </c>
      <c r="AS1944" s="32">
        <v>0</v>
      </c>
      <c r="AT1944" s="19">
        <v>90304001</v>
      </c>
      <c r="AU1944" s="32" t="s">
        <v>204</v>
      </c>
      <c r="AV1944" s="32"/>
      <c r="AW1944" s="35" t="s">
        <v>205</v>
      </c>
      <c r="AX1944" s="32" t="s">
        <v>354</v>
      </c>
      <c r="AY1944" s="32">
        <v>0</v>
      </c>
      <c r="AZ1944" s="32">
        <v>0</v>
      </c>
      <c r="BA1944" s="35" t="s">
        <v>206</v>
      </c>
      <c r="BB1944" s="35" t="s">
        <v>204</v>
      </c>
      <c r="BC1944" s="31">
        <v>0</v>
      </c>
      <c r="BD1944" s="31">
        <v>0</v>
      </c>
      <c r="BE1944" s="60" t="s">
        <v>764</v>
      </c>
      <c r="BF1944" s="60" t="s">
        <v>765</v>
      </c>
      <c r="BG1944" s="32">
        <v>0</v>
      </c>
      <c r="BH1944" s="21">
        <v>0</v>
      </c>
      <c r="BI1944" s="32">
        <v>0</v>
      </c>
      <c r="BJ1944" s="32">
        <v>0</v>
      </c>
      <c r="BK1944" s="32">
        <v>0</v>
      </c>
      <c r="BL1944" s="32">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20.100000000000001" customHeight="1">
      <c r="C1945" s="32">
        <v>70304006</v>
      </c>
      <c r="D1945" s="30" t="s">
        <v>766</v>
      </c>
      <c r="E1945" s="30" t="s">
        <v>767</v>
      </c>
      <c r="F1945" s="21">
        <v>2</v>
      </c>
      <c r="G1945" s="21">
        <v>61012301</v>
      </c>
      <c r="H1945" s="21">
        <v>0</v>
      </c>
      <c r="I1945" s="31">
        <v>0</v>
      </c>
      <c r="J1945" s="32">
        <v>1</v>
      </c>
      <c r="K1945" s="32">
        <v>0</v>
      </c>
      <c r="L1945" s="32">
        <v>0</v>
      </c>
      <c r="M1945" s="21">
        <v>0</v>
      </c>
      <c r="N1945" s="21">
        <v>0</v>
      </c>
      <c r="O1945" s="21">
        <v>2</v>
      </c>
      <c r="P1945" s="21">
        <v>1</v>
      </c>
      <c r="Q1945" s="21">
        <v>0.5</v>
      </c>
      <c r="R1945" s="21">
        <v>0</v>
      </c>
      <c r="S1945" s="19">
        <v>0</v>
      </c>
      <c r="T1945" s="21">
        <v>0</v>
      </c>
      <c r="U1945" s="21">
        <v>1</v>
      </c>
      <c r="V1945" s="21">
        <v>2</v>
      </c>
      <c r="W1945" s="21">
        <v>0</v>
      </c>
      <c r="X1945" s="21">
        <v>1.4</v>
      </c>
      <c r="Y1945" s="19">
        <v>0</v>
      </c>
      <c r="Z1945" s="21">
        <v>150</v>
      </c>
      <c r="AA1945" s="21">
        <v>1</v>
      </c>
      <c r="AB1945" s="21">
        <v>0</v>
      </c>
      <c r="AC1945" s="21">
        <v>0</v>
      </c>
      <c r="AD1945" s="21">
        <v>0</v>
      </c>
      <c r="AE1945" s="21">
        <v>0</v>
      </c>
      <c r="AF1945" s="21">
        <v>12</v>
      </c>
      <c r="AG1945" s="21">
        <v>2</v>
      </c>
      <c r="AH1945" s="21" t="s">
        <v>219</v>
      </c>
      <c r="AI1945" s="19">
        <v>0</v>
      </c>
      <c r="AJ1945" s="19">
        <v>2</v>
      </c>
      <c r="AK1945" s="19">
        <v>0</v>
      </c>
      <c r="AL1945" s="19">
        <v>1.5</v>
      </c>
      <c r="AM1945" s="21">
        <v>0</v>
      </c>
      <c r="AN1945" s="21">
        <v>0</v>
      </c>
      <c r="AO1945" s="21">
        <v>0</v>
      </c>
      <c r="AP1945" s="21">
        <v>1.5</v>
      </c>
      <c r="AQ1945" s="21">
        <v>1200</v>
      </c>
      <c r="AR1945" s="21">
        <v>1</v>
      </c>
      <c r="AS1945" s="21">
        <v>15</v>
      </c>
      <c r="AT1945" s="19">
        <v>0</v>
      </c>
      <c r="AU1945" s="21" t="s">
        <v>204</v>
      </c>
      <c r="AV1945" s="21"/>
      <c r="AW1945" s="30" t="s">
        <v>262</v>
      </c>
      <c r="AX1945" s="21" t="s">
        <v>221</v>
      </c>
      <c r="AY1945" s="32">
        <v>10000011</v>
      </c>
      <c r="AZ1945" s="32">
        <v>70404001</v>
      </c>
      <c r="BA1945" s="30" t="s">
        <v>222</v>
      </c>
      <c r="BB1945" s="21">
        <v>0</v>
      </c>
      <c r="BC1945" s="31">
        <v>0</v>
      </c>
      <c r="BD1945" s="31">
        <v>0</v>
      </c>
      <c r="BE1945" s="33" t="s">
        <v>804</v>
      </c>
      <c r="BF1945" s="33" t="s">
        <v>805</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19.5" customHeight="1">
      <c r="C1946" s="32">
        <v>70304007</v>
      </c>
      <c r="D1946" s="30" t="s">
        <v>771</v>
      </c>
      <c r="E1946" s="30" t="s">
        <v>772</v>
      </c>
      <c r="F1946" s="32">
        <v>1</v>
      </c>
      <c r="G1946" s="21">
        <v>60010100</v>
      </c>
      <c r="H1946" s="32">
        <v>0</v>
      </c>
      <c r="I1946" s="31">
        <v>0</v>
      </c>
      <c r="J1946" s="32">
        <v>1</v>
      </c>
      <c r="K1946" s="32">
        <v>0</v>
      </c>
      <c r="L1946" s="32">
        <v>0</v>
      </c>
      <c r="M1946" s="21">
        <v>0</v>
      </c>
      <c r="N1946" s="21">
        <v>0</v>
      </c>
      <c r="O1946" s="21">
        <v>2</v>
      </c>
      <c r="P1946" s="21">
        <v>1</v>
      </c>
      <c r="Q1946" s="21">
        <v>0.3</v>
      </c>
      <c r="R1946" s="21">
        <v>0</v>
      </c>
      <c r="S1946" s="19">
        <v>0</v>
      </c>
      <c r="T1946" s="21">
        <v>0</v>
      </c>
      <c r="U1946" s="21">
        <v>1</v>
      </c>
      <c r="V1946" s="21">
        <v>2</v>
      </c>
      <c r="W1946" s="21">
        <v>0</v>
      </c>
      <c r="X1946" s="21">
        <v>3</v>
      </c>
      <c r="Y1946" s="19">
        <v>0</v>
      </c>
      <c r="Z1946" s="21">
        <v>0</v>
      </c>
      <c r="AA1946" s="21">
        <v>1</v>
      </c>
      <c r="AB1946" s="21">
        <v>0</v>
      </c>
      <c r="AC1946" s="21">
        <v>0</v>
      </c>
      <c r="AD1946" s="21">
        <v>0</v>
      </c>
      <c r="AE1946" s="21">
        <v>0</v>
      </c>
      <c r="AF1946" s="21">
        <v>15</v>
      </c>
      <c r="AG1946" s="21">
        <v>1</v>
      </c>
      <c r="AH1946" s="21" t="s">
        <v>613</v>
      </c>
      <c r="AI1946" s="19">
        <v>0</v>
      </c>
      <c r="AJ1946" s="19">
        <v>1</v>
      </c>
      <c r="AK1946" s="19">
        <v>0</v>
      </c>
      <c r="AL1946" s="19">
        <v>3</v>
      </c>
      <c r="AM1946" s="21">
        <v>0</v>
      </c>
      <c r="AN1946" s="21">
        <v>0</v>
      </c>
      <c r="AO1946" s="21">
        <v>0</v>
      </c>
      <c r="AP1946" s="21">
        <v>3</v>
      </c>
      <c r="AQ1946" s="21">
        <v>5000</v>
      </c>
      <c r="AR1946" s="21">
        <v>2.5</v>
      </c>
      <c r="AS1946" s="21">
        <v>0</v>
      </c>
      <c r="AT1946" s="19">
        <v>0</v>
      </c>
      <c r="AU1946" s="21" t="s">
        <v>665</v>
      </c>
      <c r="AV1946" s="21"/>
      <c r="AW1946" s="35" t="s">
        <v>262</v>
      </c>
      <c r="AX1946" s="21" t="s">
        <v>540</v>
      </c>
      <c r="AY1946" s="32">
        <v>10000007</v>
      </c>
      <c r="AZ1946" s="32">
        <v>70205002</v>
      </c>
      <c r="BA1946" s="30" t="s">
        <v>206</v>
      </c>
      <c r="BB1946" s="21">
        <v>0</v>
      </c>
      <c r="BC1946" s="31">
        <v>0</v>
      </c>
      <c r="BD1946" s="31">
        <v>0</v>
      </c>
      <c r="BE1946" s="33" t="s">
        <v>773</v>
      </c>
      <c r="BF1946" s="33" t="s">
        <v>774</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70304008</v>
      </c>
      <c r="D1947" s="25" t="s">
        <v>806</v>
      </c>
      <c r="E1947" s="25" t="s">
        <v>461</v>
      </c>
      <c r="F1947" s="25">
        <v>1</v>
      </c>
      <c r="G1947" s="25">
        <v>60010002</v>
      </c>
      <c r="H1947" s="25">
        <v>0</v>
      </c>
      <c r="I1947" s="26">
        <v>0</v>
      </c>
      <c r="J1947" s="25">
        <v>0</v>
      </c>
      <c r="K1947" s="25">
        <v>0</v>
      </c>
      <c r="L1947" s="26">
        <v>0</v>
      </c>
      <c r="M1947" s="26">
        <v>0</v>
      </c>
      <c r="N1947" s="25">
        <v>0</v>
      </c>
      <c r="O1947" s="21">
        <v>2</v>
      </c>
      <c r="P1947" s="25">
        <v>2</v>
      </c>
      <c r="Q1947" s="25">
        <v>0.95</v>
      </c>
      <c r="R1947" s="25">
        <v>0</v>
      </c>
      <c r="S1947" s="19">
        <v>0</v>
      </c>
      <c r="T1947" s="25">
        <v>0</v>
      </c>
      <c r="U1947" s="21">
        <v>1</v>
      </c>
      <c r="V1947" s="25">
        <v>2</v>
      </c>
      <c r="W1947" s="26">
        <v>0</v>
      </c>
      <c r="X1947" s="25">
        <v>3</v>
      </c>
      <c r="Y1947" s="19">
        <v>0</v>
      </c>
      <c r="Z1947" s="25">
        <v>0</v>
      </c>
      <c r="AA1947" s="25">
        <v>0</v>
      </c>
      <c r="AB1947" s="25">
        <v>0</v>
      </c>
      <c r="AC1947" s="26">
        <v>0</v>
      </c>
      <c r="AD1947" s="25">
        <v>0</v>
      </c>
      <c r="AE1947" s="25">
        <v>0</v>
      </c>
      <c r="AF1947" s="25">
        <v>15</v>
      </c>
      <c r="AG1947" s="25">
        <v>2</v>
      </c>
      <c r="AH1947" s="25" t="s">
        <v>807</v>
      </c>
      <c r="AI1947" s="56">
        <v>0</v>
      </c>
      <c r="AJ1947" s="56">
        <v>2</v>
      </c>
      <c r="AK1947" s="19">
        <v>0</v>
      </c>
      <c r="AL1947" s="25">
        <v>4</v>
      </c>
      <c r="AM1947" s="27">
        <v>0</v>
      </c>
      <c r="AN1947" s="25">
        <v>0</v>
      </c>
      <c r="AO1947" s="25">
        <v>0</v>
      </c>
      <c r="AP1947" s="25">
        <v>2</v>
      </c>
      <c r="AQ1947" s="21">
        <v>4000</v>
      </c>
      <c r="AR1947" s="25">
        <v>2</v>
      </c>
      <c r="AS1947" s="25">
        <v>0</v>
      </c>
      <c r="AT1947" s="19">
        <v>0</v>
      </c>
      <c r="AU1947" s="21" t="s">
        <v>665</v>
      </c>
      <c r="AV1947" s="21"/>
      <c r="AW1947" s="35" t="s">
        <v>293</v>
      </c>
      <c r="AX1947" s="26">
        <v>0</v>
      </c>
      <c r="AY1947" s="26">
        <v>0</v>
      </c>
      <c r="AZ1947" s="26">
        <v>70205004</v>
      </c>
      <c r="BA1947" s="35" t="s">
        <v>206</v>
      </c>
      <c r="BB1947" s="21">
        <v>0</v>
      </c>
      <c r="BC1947" s="31">
        <v>0</v>
      </c>
      <c r="BD1947" s="31">
        <v>0</v>
      </c>
      <c r="BE1947" s="33" t="s">
        <v>808</v>
      </c>
      <c r="BF1947" s="58" t="s">
        <v>809</v>
      </c>
      <c r="BG1947" s="25">
        <v>2</v>
      </c>
      <c r="BH1947" s="25">
        <v>0</v>
      </c>
      <c r="BI1947" s="32">
        <v>0</v>
      </c>
      <c r="BJ1947" s="25">
        <v>1</v>
      </c>
      <c r="BK1947" s="25">
        <v>2</v>
      </c>
      <c r="BL1947" s="27">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20.100000000000001" customHeight="1">
      <c r="C1948" s="32">
        <v>70305001</v>
      </c>
      <c r="D1948" s="30" t="s">
        <v>1122</v>
      </c>
      <c r="E1948" s="30" t="s">
        <v>397</v>
      </c>
      <c r="F1948" s="32">
        <v>1</v>
      </c>
      <c r="G1948" s="21">
        <v>60010100</v>
      </c>
      <c r="H1948" s="32">
        <v>0</v>
      </c>
      <c r="I1948" s="31">
        <v>0</v>
      </c>
      <c r="J1948" s="32">
        <v>1</v>
      </c>
      <c r="K1948" s="32">
        <v>0</v>
      </c>
      <c r="L1948" s="32">
        <v>0</v>
      </c>
      <c r="M1948" s="21">
        <v>0</v>
      </c>
      <c r="N1948" s="21">
        <v>0</v>
      </c>
      <c r="O1948" s="21">
        <v>2</v>
      </c>
      <c r="P1948" s="21">
        <v>1</v>
      </c>
      <c r="Q1948" s="21">
        <v>0.3</v>
      </c>
      <c r="R1948" s="21">
        <v>0</v>
      </c>
      <c r="S1948" s="19">
        <v>0</v>
      </c>
      <c r="T1948" s="21">
        <v>0</v>
      </c>
      <c r="U1948" s="21">
        <v>1</v>
      </c>
      <c r="V1948" s="21">
        <v>2</v>
      </c>
      <c r="W1948" s="21">
        <v>0</v>
      </c>
      <c r="X1948" s="21">
        <v>2.5</v>
      </c>
      <c r="Y1948" s="19">
        <v>0</v>
      </c>
      <c r="Z1948" s="21">
        <v>0</v>
      </c>
      <c r="AA1948" s="21">
        <v>1</v>
      </c>
      <c r="AB1948" s="21">
        <v>0</v>
      </c>
      <c r="AC1948" s="21">
        <v>0</v>
      </c>
      <c r="AD1948" s="21">
        <v>0</v>
      </c>
      <c r="AE1948" s="21">
        <v>0</v>
      </c>
      <c r="AF1948" s="21">
        <v>12</v>
      </c>
      <c r="AG1948" s="21">
        <v>1</v>
      </c>
      <c r="AH1948" s="21">
        <v>3</v>
      </c>
      <c r="AI1948" s="19">
        <v>4</v>
      </c>
      <c r="AJ1948" s="19">
        <v>1</v>
      </c>
      <c r="AK1948" s="19">
        <v>0</v>
      </c>
      <c r="AL1948" s="19">
        <v>1.5</v>
      </c>
      <c r="AM1948" s="21">
        <v>0</v>
      </c>
      <c r="AN1948" s="21">
        <v>0</v>
      </c>
      <c r="AO1948" s="21">
        <v>0</v>
      </c>
      <c r="AP1948" s="21">
        <v>3</v>
      </c>
      <c r="AQ1948" s="21">
        <v>5000</v>
      </c>
      <c r="AR1948" s="21">
        <v>3</v>
      </c>
      <c r="AS1948" s="21">
        <v>0</v>
      </c>
      <c r="AT1948" s="19">
        <v>0</v>
      </c>
      <c r="AU1948" s="21">
        <v>80001030</v>
      </c>
      <c r="AV1948" s="21"/>
      <c r="AW1948" s="35" t="s">
        <v>262</v>
      </c>
      <c r="AX1948" s="21" t="s">
        <v>540</v>
      </c>
      <c r="AY1948" s="32">
        <v>10000007</v>
      </c>
      <c r="AZ1948" s="32">
        <v>70204002</v>
      </c>
      <c r="BA1948" s="30" t="s">
        <v>206</v>
      </c>
      <c r="BB1948" s="21" t="s">
        <v>4499</v>
      </c>
      <c r="BC1948" s="31">
        <v>0</v>
      </c>
      <c r="BD1948" s="31">
        <v>0</v>
      </c>
      <c r="BE1948" s="33" t="s">
        <v>1328</v>
      </c>
      <c r="BF1948" s="33" t="s">
        <v>1329</v>
      </c>
      <c r="BG1948" s="21">
        <v>0</v>
      </c>
      <c r="BH1948" s="21">
        <v>0</v>
      </c>
      <c r="BI1948" s="21">
        <v>0</v>
      </c>
      <c r="BJ1948" s="21">
        <v>0</v>
      </c>
      <c r="BK1948" s="21">
        <v>0</v>
      </c>
      <c r="BL1948" s="21">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20.100000000000001" customHeight="1">
      <c r="C1949" s="32">
        <v>70305002</v>
      </c>
      <c r="D1949" s="30" t="s">
        <v>1330</v>
      </c>
      <c r="E1949" s="30" t="s">
        <v>1331</v>
      </c>
      <c r="F1949" s="32">
        <v>1</v>
      </c>
      <c r="G1949" s="21">
        <v>60010100</v>
      </c>
      <c r="H1949" s="32">
        <v>0</v>
      </c>
      <c r="I1949" s="31">
        <v>0</v>
      </c>
      <c r="J1949" s="32">
        <v>1</v>
      </c>
      <c r="K1949" s="32">
        <v>0</v>
      </c>
      <c r="L1949" s="32">
        <v>0</v>
      </c>
      <c r="M1949" s="21">
        <v>0</v>
      </c>
      <c r="N1949" s="21">
        <v>0</v>
      </c>
      <c r="O1949" s="21">
        <v>2</v>
      </c>
      <c r="P1949" s="21">
        <v>1</v>
      </c>
      <c r="Q1949" s="21">
        <v>1</v>
      </c>
      <c r="R1949" s="21">
        <v>0</v>
      </c>
      <c r="S1949" s="19">
        <v>0</v>
      </c>
      <c r="T1949" s="21">
        <v>0</v>
      </c>
      <c r="U1949" s="21">
        <v>1</v>
      </c>
      <c r="V1949" s="21">
        <v>2</v>
      </c>
      <c r="W1949" s="21">
        <v>0</v>
      </c>
      <c r="X1949" s="21">
        <v>2</v>
      </c>
      <c r="Y1949" s="19">
        <v>0</v>
      </c>
      <c r="Z1949" s="21">
        <v>0</v>
      </c>
      <c r="AA1949" s="21">
        <v>1</v>
      </c>
      <c r="AB1949" s="21">
        <v>0</v>
      </c>
      <c r="AC1949" s="21">
        <v>0</v>
      </c>
      <c r="AD1949" s="21">
        <v>0</v>
      </c>
      <c r="AE1949" s="21">
        <v>0</v>
      </c>
      <c r="AF1949" s="21">
        <v>12</v>
      </c>
      <c r="AG1949" s="21">
        <v>2</v>
      </c>
      <c r="AH1949" s="21" t="s">
        <v>219</v>
      </c>
      <c r="AI1949" s="19">
        <v>0</v>
      </c>
      <c r="AJ1949" s="19">
        <v>2</v>
      </c>
      <c r="AK1949" s="19">
        <v>0</v>
      </c>
      <c r="AL1949" s="19">
        <v>1.5</v>
      </c>
      <c r="AM1949" s="21">
        <v>0</v>
      </c>
      <c r="AN1949" s="21">
        <v>0</v>
      </c>
      <c r="AO1949" s="21">
        <v>0</v>
      </c>
      <c r="AP1949" s="21">
        <v>1.5</v>
      </c>
      <c r="AQ1949" s="21">
        <v>10000</v>
      </c>
      <c r="AR1949" s="21">
        <v>1</v>
      </c>
      <c r="AS1949" s="21">
        <v>5</v>
      </c>
      <c r="AT1949" s="19">
        <v>0</v>
      </c>
      <c r="AU1949" s="21" t="s">
        <v>204</v>
      </c>
      <c r="AV1949" s="21"/>
      <c r="AW1949" s="35" t="s">
        <v>623</v>
      </c>
      <c r="AX1949" s="21" t="s">
        <v>540</v>
      </c>
      <c r="AY1949" s="32">
        <v>10000007</v>
      </c>
      <c r="AZ1949" s="32">
        <v>70302003</v>
      </c>
      <c r="BA1949" s="35" t="s">
        <v>592</v>
      </c>
      <c r="BB1949" s="21">
        <v>0</v>
      </c>
      <c r="BC1949" s="31">
        <v>0</v>
      </c>
      <c r="BD1949" s="31">
        <v>0</v>
      </c>
      <c r="BE1949" s="33" t="s">
        <v>1114</v>
      </c>
      <c r="BF1949" s="33" t="s">
        <v>1115</v>
      </c>
      <c r="BG1949" s="21">
        <v>0</v>
      </c>
      <c r="BH1949" s="21">
        <v>0</v>
      </c>
      <c r="BI1949" s="21">
        <v>0</v>
      </c>
      <c r="BJ1949" s="21">
        <v>0</v>
      </c>
      <c r="BK1949" s="21">
        <v>0</v>
      </c>
      <c r="BL1949" s="21">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20.100000000000001" customHeight="1">
      <c r="C1950" s="32">
        <v>70305003</v>
      </c>
      <c r="D1950" s="35" t="s">
        <v>627</v>
      </c>
      <c r="E1950" s="35" t="s">
        <v>628</v>
      </c>
      <c r="F1950" s="32">
        <v>1</v>
      </c>
      <c r="G1950" s="32">
        <v>60010500</v>
      </c>
      <c r="H1950" s="32">
        <v>0</v>
      </c>
      <c r="I1950" s="31">
        <v>0</v>
      </c>
      <c r="J1950" s="32">
        <v>1</v>
      </c>
      <c r="K1950" s="32">
        <v>0</v>
      </c>
      <c r="L1950" s="32">
        <v>0</v>
      </c>
      <c r="M1950" s="32">
        <v>0</v>
      </c>
      <c r="N1950" s="32">
        <v>0</v>
      </c>
      <c r="O1950" s="21">
        <v>2</v>
      </c>
      <c r="P1950" s="32">
        <v>2</v>
      </c>
      <c r="Q1950" s="32">
        <v>0.3</v>
      </c>
      <c r="R1950" s="32">
        <v>0</v>
      </c>
      <c r="S1950" s="19">
        <v>0</v>
      </c>
      <c r="T1950" s="31">
        <v>0</v>
      </c>
      <c r="U1950" s="21">
        <v>1</v>
      </c>
      <c r="V1950" s="32">
        <v>2</v>
      </c>
      <c r="W1950" s="32">
        <v>0</v>
      </c>
      <c r="X1950" s="32">
        <v>0</v>
      </c>
      <c r="Y1950" s="19">
        <v>0</v>
      </c>
      <c r="Z1950" s="32">
        <v>0</v>
      </c>
      <c r="AA1950" s="32">
        <v>0</v>
      </c>
      <c r="AB1950" s="32">
        <v>0</v>
      </c>
      <c r="AC1950" s="32">
        <v>0</v>
      </c>
      <c r="AD1950" s="21">
        <v>0</v>
      </c>
      <c r="AE1950" s="32">
        <v>0</v>
      </c>
      <c r="AF1950" s="21">
        <v>12</v>
      </c>
      <c r="AG1950" s="32">
        <v>0</v>
      </c>
      <c r="AH1950" s="32">
        <v>0</v>
      </c>
      <c r="AI1950" s="19">
        <v>7</v>
      </c>
      <c r="AJ1950" s="19">
        <v>0</v>
      </c>
      <c r="AK1950" s="19">
        <v>0</v>
      </c>
      <c r="AL1950" s="19">
        <v>0</v>
      </c>
      <c r="AM1950" s="32">
        <v>0</v>
      </c>
      <c r="AN1950" s="32">
        <v>0</v>
      </c>
      <c r="AO1950" s="32">
        <v>0</v>
      </c>
      <c r="AP1950" s="32">
        <v>0</v>
      </c>
      <c r="AQ1950" s="32">
        <v>1000</v>
      </c>
      <c r="AR1950" s="32">
        <v>0</v>
      </c>
      <c r="AS1950" s="32">
        <v>0</v>
      </c>
      <c r="AT1950" s="19">
        <v>0</v>
      </c>
      <c r="AU1950" s="32">
        <v>90204004</v>
      </c>
      <c r="AV1950" s="32"/>
      <c r="AW1950" s="35" t="s">
        <v>205</v>
      </c>
      <c r="AX1950" s="32" t="s">
        <v>354</v>
      </c>
      <c r="AY1950" s="32">
        <v>0</v>
      </c>
      <c r="AZ1950" s="32">
        <v>0</v>
      </c>
      <c r="BA1950" s="35" t="s">
        <v>206</v>
      </c>
      <c r="BB1950" s="35" t="s">
        <v>204</v>
      </c>
      <c r="BC1950" s="31">
        <v>0</v>
      </c>
      <c r="BD1950" s="31">
        <v>0</v>
      </c>
      <c r="BE1950" s="60" t="s">
        <v>629</v>
      </c>
      <c r="BF1950" s="60" t="s">
        <v>630</v>
      </c>
      <c r="BG1950" s="32">
        <v>0</v>
      </c>
      <c r="BH1950" s="21">
        <v>0</v>
      </c>
      <c r="BI1950" s="32">
        <v>0</v>
      </c>
      <c r="BJ1950" s="32">
        <v>0</v>
      </c>
      <c r="BK1950" s="32">
        <v>0</v>
      </c>
      <c r="BL1950" s="32">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70305004</v>
      </c>
      <c r="D1951" s="35" t="s">
        <v>763</v>
      </c>
      <c r="E1951" s="35" t="s">
        <v>405</v>
      </c>
      <c r="F1951" s="32">
        <v>1</v>
      </c>
      <c r="G1951" s="32">
        <v>60010500</v>
      </c>
      <c r="H1951" s="32">
        <v>0</v>
      </c>
      <c r="I1951" s="31">
        <v>0</v>
      </c>
      <c r="J1951" s="32">
        <v>1</v>
      </c>
      <c r="K1951" s="32">
        <v>0</v>
      </c>
      <c r="L1951" s="32">
        <v>0</v>
      </c>
      <c r="M1951" s="32">
        <v>0</v>
      </c>
      <c r="N1951" s="32">
        <v>0</v>
      </c>
      <c r="O1951" s="21">
        <v>2</v>
      </c>
      <c r="P1951" s="32">
        <v>2</v>
      </c>
      <c r="Q1951" s="32">
        <v>0.3</v>
      </c>
      <c r="R1951" s="32">
        <v>0</v>
      </c>
      <c r="S1951" s="19">
        <v>0</v>
      </c>
      <c r="T1951" s="31">
        <v>0</v>
      </c>
      <c r="U1951" s="21">
        <v>1</v>
      </c>
      <c r="V1951" s="32">
        <v>2</v>
      </c>
      <c r="W1951" s="32">
        <v>0</v>
      </c>
      <c r="X1951" s="32">
        <v>0</v>
      </c>
      <c r="Y1951" s="19">
        <v>0</v>
      </c>
      <c r="Z1951" s="32">
        <v>0</v>
      </c>
      <c r="AA1951" s="32">
        <v>0</v>
      </c>
      <c r="AB1951" s="32">
        <v>0</v>
      </c>
      <c r="AC1951" s="32">
        <v>0</v>
      </c>
      <c r="AD1951" s="21">
        <v>0</v>
      </c>
      <c r="AE1951" s="32">
        <v>0</v>
      </c>
      <c r="AF1951" s="21">
        <v>15</v>
      </c>
      <c r="AG1951" s="32">
        <v>0</v>
      </c>
      <c r="AH1951" s="32">
        <v>0</v>
      </c>
      <c r="AI1951" s="19">
        <v>2</v>
      </c>
      <c r="AJ1951" s="19">
        <v>0</v>
      </c>
      <c r="AK1951" s="19">
        <v>0</v>
      </c>
      <c r="AL1951" s="19">
        <v>0</v>
      </c>
      <c r="AM1951" s="32">
        <v>0</v>
      </c>
      <c r="AN1951" s="32">
        <v>0</v>
      </c>
      <c r="AO1951" s="32">
        <v>0</v>
      </c>
      <c r="AP1951" s="32">
        <v>0</v>
      </c>
      <c r="AQ1951" s="32">
        <v>1000</v>
      </c>
      <c r="AR1951" s="32">
        <v>0</v>
      </c>
      <c r="AS1951" s="32">
        <v>0</v>
      </c>
      <c r="AT1951" s="19" t="s">
        <v>760</v>
      </c>
      <c r="AU1951" s="32" t="s">
        <v>204</v>
      </c>
      <c r="AV1951" s="32"/>
      <c r="AW1951" s="35" t="s">
        <v>205</v>
      </c>
      <c r="AX1951" s="32" t="s">
        <v>354</v>
      </c>
      <c r="AY1951" s="32">
        <v>0</v>
      </c>
      <c r="AZ1951" s="32">
        <v>0</v>
      </c>
      <c r="BA1951" s="35" t="s">
        <v>206</v>
      </c>
      <c r="BB1951" s="35" t="s">
        <v>204</v>
      </c>
      <c r="BC1951" s="31">
        <v>0</v>
      </c>
      <c r="BD1951" s="31">
        <v>0</v>
      </c>
      <c r="BE1951" s="60" t="s">
        <v>1124</v>
      </c>
      <c r="BF1951" s="60" t="s">
        <v>1125</v>
      </c>
      <c r="BG1951" s="32">
        <v>0</v>
      </c>
      <c r="BH1951" s="21">
        <v>0</v>
      </c>
      <c r="BI1951" s="32">
        <v>0</v>
      </c>
      <c r="BJ1951" s="32">
        <v>0</v>
      </c>
      <c r="BK1951" s="32">
        <v>0</v>
      </c>
      <c r="BL1951" s="32">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19.5" customHeight="1">
      <c r="C1952" s="32">
        <v>70305005</v>
      </c>
      <c r="D1952" s="30" t="s">
        <v>1332</v>
      </c>
      <c r="E1952" s="30" t="s">
        <v>1333</v>
      </c>
      <c r="F1952" s="32">
        <v>1</v>
      </c>
      <c r="G1952" s="21">
        <v>60010100</v>
      </c>
      <c r="H1952" s="32">
        <v>0</v>
      </c>
      <c r="I1952" s="31">
        <v>0</v>
      </c>
      <c r="J1952" s="32">
        <v>1</v>
      </c>
      <c r="K1952" s="32">
        <v>0</v>
      </c>
      <c r="L1952" s="32">
        <v>0</v>
      </c>
      <c r="M1952" s="21">
        <v>0</v>
      </c>
      <c r="N1952" s="21">
        <v>0</v>
      </c>
      <c r="O1952" s="21">
        <v>2</v>
      </c>
      <c r="P1952" s="21">
        <v>1</v>
      </c>
      <c r="Q1952" s="21">
        <v>0.3</v>
      </c>
      <c r="R1952" s="21">
        <v>0</v>
      </c>
      <c r="S1952" s="19">
        <v>0</v>
      </c>
      <c r="T1952" s="21">
        <v>0</v>
      </c>
      <c r="U1952" s="21">
        <v>1</v>
      </c>
      <c r="V1952" s="21">
        <v>2</v>
      </c>
      <c r="W1952" s="21">
        <v>0</v>
      </c>
      <c r="X1952" s="21">
        <v>3</v>
      </c>
      <c r="Y1952" s="19">
        <v>0</v>
      </c>
      <c r="Z1952" s="21">
        <v>0</v>
      </c>
      <c r="AA1952" s="21">
        <v>1</v>
      </c>
      <c r="AB1952" s="21">
        <v>0</v>
      </c>
      <c r="AC1952" s="21">
        <v>0</v>
      </c>
      <c r="AD1952" s="21">
        <v>0</v>
      </c>
      <c r="AE1952" s="21">
        <v>0</v>
      </c>
      <c r="AF1952" s="21">
        <v>15</v>
      </c>
      <c r="AG1952" s="21">
        <v>1</v>
      </c>
      <c r="AH1952" s="21" t="s">
        <v>613</v>
      </c>
      <c r="AI1952" s="19">
        <v>0</v>
      </c>
      <c r="AJ1952" s="19">
        <v>1</v>
      </c>
      <c r="AK1952" s="19">
        <v>0</v>
      </c>
      <c r="AL1952" s="19">
        <v>3</v>
      </c>
      <c r="AM1952" s="21">
        <v>0</v>
      </c>
      <c r="AN1952" s="21">
        <v>0</v>
      </c>
      <c r="AO1952" s="21">
        <v>0</v>
      </c>
      <c r="AP1952" s="21">
        <v>3</v>
      </c>
      <c r="AQ1952" s="21">
        <v>5000</v>
      </c>
      <c r="AR1952" s="21">
        <v>2.5</v>
      </c>
      <c r="AS1952" s="21">
        <v>0</v>
      </c>
      <c r="AT1952" s="19">
        <v>0</v>
      </c>
      <c r="AU1952" s="21" t="s">
        <v>665</v>
      </c>
      <c r="AV1952" s="21"/>
      <c r="AW1952" s="35" t="s">
        <v>293</v>
      </c>
      <c r="AX1952" s="21" t="s">
        <v>540</v>
      </c>
      <c r="AY1952" s="32">
        <v>10000007</v>
      </c>
      <c r="AZ1952" s="32">
        <v>70305005</v>
      </c>
      <c r="BA1952" s="30" t="s">
        <v>206</v>
      </c>
      <c r="BB1952" s="21">
        <v>0</v>
      </c>
      <c r="BC1952" s="31">
        <v>0</v>
      </c>
      <c r="BD1952" s="31">
        <v>0</v>
      </c>
      <c r="BE1952" s="33" t="s">
        <v>4500</v>
      </c>
      <c r="BF1952" s="33" t="s">
        <v>4501</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19.5" customHeight="1">
      <c r="C1953" s="32">
        <v>70305006</v>
      </c>
      <c r="D1953" s="30" t="s">
        <v>4502</v>
      </c>
      <c r="E1953" s="30" t="s">
        <v>4503</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15</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204</v>
      </c>
      <c r="AV1953" s="21"/>
      <c r="AW1953" s="35" t="s">
        <v>205</v>
      </c>
      <c r="AX1953" s="21" t="s">
        <v>551</v>
      </c>
      <c r="AY1953" s="32">
        <v>0</v>
      </c>
      <c r="AZ1953" s="32">
        <v>0</v>
      </c>
      <c r="BA1953" s="30" t="s">
        <v>534</v>
      </c>
      <c r="BB1953" s="21" t="s">
        <v>4504</v>
      </c>
      <c r="BC1953" s="31">
        <v>0</v>
      </c>
      <c r="BD1953" s="31">
        <v>0</v>
      </c>
      <c r="BE1953" s="33" t="s">
        <v>4505</v>
      </c>
      <c r="BF1953" s="33" t="s">
        <v>4506</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19.5" customHeight="1">
      <c r="C1954" s="32">
        <v>70305007</v>
      </c>
      <c r="D1954" s="30" t="s">
        <v>4507</v>
      </c>
      <c r="E1954" s="30" t="s">
        <v>4508</v>
      </c>
      <c r="F1954" s="32">
        <v>1</v>
      </c>
      <c r="G1954" s="21">
        <v>60010100</v>
      </c>
      <c r="H1954" s="32">
        <v>0</v>
      </c>
      <c r="I1954" s="31">
        <v>0</v>
      </c>
      <c r="J1954" s="32">
        <v>1</v>
      </c>
      <c r="K1954" s="32">
        <v>0</v>
      </c>
      <c r="L1954" s="32">
        <v>0</v>
      </c>
      <c r="M1954" s="21">
        <v>0</v>
      </c>
      <c r="N1954" s="21">
        <v>0</v>
      </c>
      <c r="O1954" s="21">
        <v>2</v>
      </c>
      <c r="P1954" s="21">
        <v>1</v>
      </c>
      <c r="Q1954" s="21">
        <v>1</v>
      </c>
      <c r="R1954" s="21">
        <v>0</v>
      </c>
      <c r="S1954" s="19">
        <v>0</v>
      </c>
      <c r="T1954" s="21">
        <v>0</v>
      </c>
      <c r="U1954" s="21">
        <v>1</v>
      </c>
      <c r="V1954" s="21">
        <v>2</v>
      </c>
      <c r="W1954" s="21">
        <v>0</v>
      </c>
      <c r="X1954" s="21">
        <v>3</v>
      </c>
      <c r="Y1954" s="19">
        <v>0</v>
      </c>
      <c r="Z1954" s="21">
        <v>0</v>
      </c>
      <c r="AA1954" s="21">
        <v>1</v>
      </c>
      <c r="AB1954" s="21">
        <v>0</v>
      </c>
      <c r="AC1954" s="21">
        <v>0</v>
      </c>
      <c r="AD1954" s="21">
        <v>0</v>
      </c>
      <c r="AE1954" s="21">
        <v>0</v>
      </c>
      <c r="AF1954" s="21">
        <v>7</v>
      </c>
      <c r="AG1954" s="21">
        <v>1</v>
      </c>
      <c r="AH1954" s="21" t="s">
        <v>613</v>
      </c>
      <c r="AI1954" s="19">
        <v>0</v>
      </c>
      <c r="AJ1954" s="19">
        <v>1</v>
      </c>
      <c r="AK1954" s="19">
        <v>0</v>
      </c>
      <c r="AL1954" s="19">
        <v>3</v>
      </c>
      <c r="AM1954" s="21">
        <v>0</v>
      </c>
      <c r="AN1954" s="21">
        <v>0</v>
      </c>
      <c r="AO1954" s="21">
        <v>0</v>
      </c>
      <c r="AP1954" s="21">
        <v>3</v>
      </c>
      <c r="AQ1954" s="21">
        <v>5000</v>
      </c>
      <c r="AR1954" s="21">
        <v>2.5</v>
      </c>
      <c r="AS1954" s="21">
        <v>0</v>
      </c>
      <c r="AT1954" s="19">
        <v>0</v>
      </c>
      <c r="AU1954" s="21" t="s">
        <v>204</v>
      </c>
      <c r="AV1954" s="21"/>
      <c r="AW1954" s="35" t="s">
        <v>205</v>
      </c>
      <c r="AX1954" s="21" t="s">
        <v>540</v>
      </c>
      <c r="AY1954" s="32">
        <v>10000007</v>
      </c>
      <c r="AZ1954" s="32">
        <v>70305007</v>
      </c>
      <c r="BA1954" s="30" t="s">
        <v>206</v>
      </c>
      <c r="BB1954" s="21">
        <v>0</v>
      </c>
      <c r="BC1954" s="31">
        <v>0</v>
      </c>
      <c r="BD1954" s="31">
        <v>0</v>
      </c>
      <c r="BE1954" s="33" t="s">
        <v>588</v>
      </c>
      <c r="BF1954" s="33" t="s">
        <v>589</v>
      </c>
      <c r="BG1954" s="21">
        <v>0</v>
      </c>
      <c r="BH1954" s="21">
        <v>0</v>
      </c>
      <c r="BI1954" s="21">
        <v>0</v>
      </c>
      <c r="BJ1954" s="21">
        <v>0</v>
      </c>
      <c r="BK1954" s="21">
        <v>0</v>
      </c>
      <c r="BL1954" s="21">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70401001</v>
      </c>
      <c r="D1955" s="30" t="s">
        <v>606</v>
      </c>
      <c r="E1955" s="30" t="s">
        <v>607</v>
      </c>
      <c r="F1955" s="21">
        <v>1</v>
      </c>
      <c r="G1955" s="21">
        <v>60010300</v>
      </c>
      <c r="H1955" s="32">
        <v>0</v>
      </c>
      <c r="I1955" s="31">
        <v>0</v>
      </c>
      <c r="J1955" s="32">
        <v>1</v>
      </c>
      <c r="K1955" s="32">
        <v>0</v>
      </c>
      <c r="L1955" s="32">
        <v>0</v>
      </c>
      <c r="M1955" s="21">
        <v>0</v>
      </c>
      <c r="N1955" s="21">
        <v>0</v>
      </c>
      <c r="O1955" s="21">
        <v>2</v>
      </c>
      <c r="P1955" s="21">
        <v>2</v>
      </c>
      <c r="Q1955" s="21">
        <v>0.8</v>
      </c>
      <c r="R1955" s="21">
        <v>0</v>
      </c>
      <c r="S1955" s="19">
        <v>0</v>
      </c>
      <c r="T1955" s="21">
        <v>0</v>
      </c>
      <c r="U1955" s="21">
        <v>1</v>
      </c>
      <c r="V1955" s="21">
        <v>2</v>
      </c>
      <c r="W1955" s="21">
        <v>0</v>
      </c>
      <c r="X1955" s="21">
        <v>0</v>
      </c>
      <c r="Y1955" s="19">
        <v>0</v>
      </c>
      <c r="Z1955" s="21">
        <v>0</v>
      </c>
      <c r="AA1955" s="21">
        <v>0</v>
      </c>
      <c r="AB1955" s="21">
        <v>0</v>
      </c>
      <c r="AC1955" s="21">
        <v>0</v>
      </c>
      <c r="AD1955" s="21">
        <v>0</v>
      </c>
      <c r="AE1955" s="21">
        <v>0</v>
      </c>
      <c r="AF1955" s="21">
        <v>20</v>
      </c>
      <c r="AG1955" s="21">
        <v>0</v>
      </c>
      <c r="AH1955" s="21">
        <v>0</v>
      </c>
      <c r="AI1955" s="19">
        <v>2</v>
      </c>
      <c r="AJ1955" s="19">
        <v>2</v>
      </c>
      <c r="AK1955" s="19">
        <v>0</v>
      </c>
      <c r="AL1955" s="19">
        <v>1.5</v>
      </c>
      <c r="AM1955" s="21">
        <v>0</v>
      </c>
      <c r="AN1955" s="21">
        <v>0</v>
      </c>
      <c r="AO1955" s="21">
        <v>0</v>
      </c>
      <c r="AP1955" s="21">
        <v>1</v>
      </c>
      <c r="AQ1955" s="21">
        <v>3000</v>
      </c>
      <c r="AR1955" s="21">
        <v>0.5</v>
      </c>
      <c r="AS1955" s="21">
        <v>0</v>
      </c>
      <c r="AT1955" s="19">
        <v>0</v>
      </c>
      <c r="AU1955" s="21" t="s">
        <v>204</v>
      </c>
      <c r="AV1955" s="21"/>
      <c r="AW1955" s="35" t="s">
        <v>205</v>
      </c>
      <c r="AX1955" s="21" t="s">
        <v>551</v>
      </c>
      <c r="AY1955" s="32">
        <v>0</v>
      </c>
      <c r="AZ1955" s="32">
        <v>0</v>
      </c>
      <c r="BA1955" s="30" t="s">
        <v>534</v>
      </c>
      <c r="BB1955" s="21" t="s">
        <v>4509</v>
      </c>
      <c r="BC1955" s="31">
        <v>0</v>
      </c>
      <c r="BD1955" s="31">
        <v>0</v>
      </c>
      <c r="BE1955" s="33" t="s">
        <v>4510</v>
      </c>
      <c r="BF1955" s="33" t="s">
        <v>4511</v>
      </c>
      <c r="BG1955" s="21">
        <v>0</v>
      </c>
      <c r="BH1955" s="21">
        <v>0</v>
      </c>
      <c r="BI1955" s="21">
        <v>0</v>
      </c>
      <c r="BJ1955" s="21">
        <v>0</v>
      </c>
      <c r="BK1955" s="21">
        <v>0</v>
      </c>
      <c r="BL1955" s="21">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70401002</v>
      </c>
      <c r="D1956" s="30" t="s">
        <v>4512</v>
      </c>
      <c r="E1956" s="30" t="s">
        <v>4513</v>
      </c>
      <c r="F1956" s="21">
        <v>1</v>
      </c>
      <c r="G1956" s="21">
        <v>60010300</v>
      </c>
      <c r="H1956" s="32">
        <v>0</v>
      </c>
      <c r="I1956" s="31">
        <v>0</v>
      </c>
      <c r="J1956" s="32">
        <v>1</v>
      </c>
      <c r="K1956" s="32">
        <v>0</v>
      </c>
      <c r="L1956" s="32">
        <v>0</v>
      </c>
      <c r="M1956" s="21">
        <v>0</v>
      </c>
      <c r="N1956" s="21">
        <v>0</v>
      </c>
      <c r="O1956" s="21">
        <v>2</v>
      </c>
      <c r="P1956" s="21">
        <v>2</v>
      </c>
      <c r="Q1956" s="21">
        <v>0.8</v>
      </c>
      <c r="R1956" s="21">
        <v>0</v>
      </c>
      <c r="S1956" s="19">
        <v>0</v>
      </c>
      <c r="T1956" s="21">
        <v>0</v>
      </c>
      <c r="U1956" s="21">
        <v>1</v>
      </c>
      <c r="V1956" s="21">
        <v>2</v>
      </c>
      <c r="W1956" s="21">
        <v>0</v>
      </c>
      <c r="X1956" s="21">
        <v>0</v>
      </c>
      <c r="Y1956" s="19">
        <v>0</v>
      </c>
      <c r="Z1956" s="21">
        <v>0</v>
      </c>
      <c r="AA1956" s="21">
        <v>0</v>
      </c>
      <c r="AB1956" s="21">
        <v>0</v>
      </c>
      <c r="AC1956" s="21">
        <v>0</v>
      </c>
      <c r="AD1956" s="21">
        <v>0</v>
      </c>
      <c r="AE1956" s="21">
        <v>0</v>
      </c>
      <c r="AF1956" s="21">
        <v>30</v>
      </c>
      <c r="AG1956" s="21">
        <v>0</v>
      </c>
      <c r="AH1956" s="21">
        <v>0</v>
      </c>
      <c r="AI1956" s="19">
        <v>2</v>
      </c>
      <c r="AJ1956" s="19">
        <v>2</v>
      </c>
      <c r="AK1956" s="19">
        <v>0</v>
      </c>
      <c r="AL1956" s="19">
        <v>1.5</v>
      </c>
      <c r="AM1956" s="21">
        <v>0</v>
      </c>
      <c r="AN1956" s="21">
        <v>0</v>
      </c>
      <c r="AO1956" s="21">
        <v>0</v>
      </c>
      <c r="AP1956" s="21">
        <v>1</v>
      </c>
      <c r="AQ1956" s="21">
        <v>3000</v>
      </c>
      <c r="AR1956" s="21">
        <v>0.5</v>
      </c>
      <c r="AS1956" s="21">
        <v>0</v>
      </c>
      <c r="AT1956" s="19">
        <v>0</v>
      </c>
      <c r="AU1956" s="21" t="s">
        <v>204</v>
      </c>
      <c r="AV1956" s="21"/>
      <c r="AW1956" s="35" t="s">
        <v>205</v>
      </c>
      <c r="AX1956" s="21" t="s">
        <v>551</v>
      </c>
      <c r="AY1956" s="32">
        <v>0</v>
      </c>
      <c r="AZ1956" s="32">
        <v>0</v>
      </c>
      <c r="BA1956" s="30" t="s">
        <v>534</v>
      </c>
      <c r="BB1956" s="21" t="s">
        <v>4514</v>
      </c>
      <c r="BC1956" s="31">
        <v>0</v>
      </c>
      <c r="BD1956" s="31">
        <v>0</v>
      </c>
      <c r="BE1956" s="33" t="s">
        <v>4515</v>
      </c>
      <c r="BF1956" s="33" t="s">
        <v>4516</v>
      </c>
      <c r="BG1956" s="21">
        <v>0</v>
      </c>
      <c r="BH1956" s="21">
        <v>0</v>
      </c>
      <c r="BI1956" s="21">
        <v>0</v>
      </c>
      <c r="BJ1956" s="21">
        <v>0</v>
      </c>
      <c r="BK1956" s="21">
        <v>0</v>
      </c>
      <c r="BL1956" s="21">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70401003</v>
      </c>
      <c r="D1957" s="35" t="s">
        <v>750</v>
      </c>
      <c r="E1957" s="35" t="s">
        <v>751</v>
      </c>
      <c r="F1957" s="32">
        <v>1</v>
      </c>
      <c r="G1957" s="32">
        <v>60010500</v>
      </c>
      <c r="H1957" s="32">
        <v>0</v>
      </c>
      <c r="I1957" s="31">
        <v>0</v>
      </c>
      <c r="J1957" s="32">
        <v>1</v>
      </c>
      <c r="K1957" s="32">
        <v>0</v>
      </c>
      <c r="L1957" s="32">
        <v>0</v>
      </c>
      <c r="M1957" s="32">
        <v>0</v>
      </c>
      <c r="N1957" s="32">
        <v>0</v>
      </c>
      <c r="O1957" s="21">
        <v>2</v>
      </c>
      <c r="P1957" s="32">
        <v>1</v>
      </c>
      <c r="Q1957" s="32">
        <v>0.05</v>
      </c>
      <c r="R1957" s="32">
        <v>0</v>
      </c>
      <c r="S1957" s="19">
        <v>0</v>
      </c>
      <c r="T1957" s="31">
        <v>0</v>
      </c>
      <c r="U1957" s="21">
        <v>1</v>
      </c>
      <c r="V1957" s="32">
        <v>1</v>
      </c>
      <c r="W1957" s="32">
        <v>0</v>
      </c>
      <c r="X1957" s="32">
        <v>2</v>
      </c>
      <c r="Y1957" s="19">
        <v>0</v>
      </c>
      <c r="Z1957" s="32">
        <v>0</v>
      </c>
      <c r="AA1957" s="32">
        <v>0</v>
      </c>
      <c r="AB1957" s="32">
        <v>0</v>
      </c>
      <c r="AC1957" s="32">
        <v>0</v>
      </c>
      <c r="AD1957" s="21">
        <v>0</v>
      </c>
      <c r="AE1957" s="32">
        <v>0</v>
      </c>
      <c r="AF1957" s="32">
        <v>10</v>
      </c>
      <c r="AG1957" s="32">
        <v>0</v>
      </c>
      <c r="AH1957" s="32">
        <v>0</v>
      </c>
      <c r="AI1957" s="19">
        <v>7</v>
      </c>
      <c r="AJ1957" s="19">
        <v>0</v>
      </c>
      <c r="AK1957" s="19">
        <v>0</v>
      </c>
      <c r="AL1957" s="19">
        <v>0</v>
      </c>
      <c r="AM1957" s="32">
        <v>0</v>
      </c>
      <c r="AN1957" s="32">
        <v>0</v>
      </c>
      <c r="AO1957" s="32">
        <v>0</v>
      </c>
      <c r="AP1957" s="32">
        <v>0</v>
      </c>
      <c r="AQ1957" s="32">
        <v>1000</v>
      </c>
      <c r="AR1957" s="32">
        <v>0.5</v>
      </c>
      <c r="AS1957" s="32">
        <v>0</v>
      </c>
      <c r="AT1957" s="19">
        <v>0</v>
      </c>
      <c r="AU1957" s="32" t="s">
        <v>665</v>
      </c>
      <c r="AV1957" s="32"/>
      <c r="AW1957" s="35" t="s">
        <v>747</v>
      </c>
      <c r="AX1957" s="32">
        <v>0</v>
      </c>
      <c r="AY1957" s="32">
        <v>10007001</v>
      </c>
      <c r="AZ1957" s="32">
        <v>0</v>
      </c>
      <c r="BA1957" s="35" t="s">
        <v>206</v>
      </c>
      <c r="BB1957" s="35" t="s">
        <v>204</v>
      </c>
      <c r="BC1957" s="31">
        <v>0</v>
      </c>
      <c r="BD1957" s="31">
        <v>0</v>
      </c>
      <c r="BE1957" s="60" t="s">
        <v>752</v>
      </c>
      <c r="BF1957" s="60" t="s">
        <v>753</v>
      </c>
      <c r="BG1957" s="32">
        <v>0</v>
      </c>
      <c r="BH1957" s="21">
        <v>0</v>
      </c>
      <c r="BI1957" s="32">
        <v>0</v>
      </c>
      <c r="BJ1957" s="32">
        <v>0</v>
      </c>
      <c r="BK1957" s="32">
        <v>0</v>
      </c>
      <c r="BL1957" s="32">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20.100000000000001" customHeight="1">
      <c r="C1958" s="32">
        <v>70401004</v>
      </c>
      <c r="D1958" s="35" t="s">
        <v>544</v>
      </c>
      <c r="E1958" s="35" t="s">
        <v>545</v>
      </c>
      <c r="F1958" s="32">
        <v>1</v>
      </c>
      <c r="G1958" s="32">
        <v>60010500</v>
      </c>
      <c r="H1958" s="32">
        <v>0</v>
      </c>
      <c r="I1958" s="31">
        <v>0</v>
      </c>
      <c r="J1958" s="32">
        <v>1</v>
      </c>
      <c r="K1958" s="32">
        <v>0</v>
      </c>
      <c r="L1958" s="32">
        <v>0</v>
      </c>
      <c r="M1958" s="32">
        <v>0</v>
      </c>
      <c r="N1958" s="32">
        <v>0</v>
      </c>
      <c r="O1958" s="21">
        <v>2</v>
      </c>
      <c r="P1958" s="32">
        <v>2</v>
      </c>
      <c r="Q1958" s="32">
        <v>0.6</v>
      </c>
      <c r="R1958" s="32">
        <v>0</v>
      </c>
      <c r="S1958" s="19">
        <v>0</v>
      </c>
      <c r="T1958" s="31">
        <v>0</v>
      </c>
      <c r="U1958" s="21">
        <v>1</v>
      </c>
      <c r="V1958" s="32">
        <v>2</v>
      </c>
      <c r="W1958" s="32">
        <v>0</v>
      </c>
      <c r="X1958" s="32">
        <v>0</v>
      </c>
      <c r="Y1958" s="19">
        <v>0</v>
      </c>
      <c r="Z1958" s="32">
        <v>0</v>
      </c>
      <c r="AA1958" s="32">
        <v>0</v>
      </c>
      <c r="AB1958" s="32">
        <v>0</v>
      </c>
      <c r="AC1958" s="32">
        <v>0</v>
      </c>
      <c r="AD1958" s="21">
        <v>0</v>
      </c>
      <c r="AE1958" s="32">
        <v>0</v>
      </c>
      <c r="AF1958" s="32">
        <v>20</v>
      </c>
      <c r="AG1958" s="32">
        <v>0</v>
      </c>
      <c r="AH1958" s="32">
        <v>0</v>
      </c>
      <c r="AI1958" s="19">
        <v>2</v>
      </c>
      <c r="AJ1958" s="19">
        <v>0</v>
      </c>
      <c r="AK1958" s="19">
        <v>0</v>
      </c>
      <c r="AL1958" s="19">
        <v>0</v>
      </c>
      <c r="AM1958" s="32">
        <v>0</v>
      </c>
      <c r="AN1958" s="32">
        <v>0</v>
      </c>
      <c r="AO1958" s="32">
        <v>0</v>
      </c>
      <c r="AP1958" s="32">
        <v>0</v>
      </c>
      <c r="AQ1958" s="32">
        <v>1000</v>
      </c>
      <c r="AR1958" s="32">
        <v>0</v>
      </c>
      <c r="AS1958" s="32">
        <v>0</v>
      </c>
      <c r="AT1958" s="19">
        <v>90401004</v>
      </c>
      <c r="AU1958" s="32" t="s">
        <v>204</v>
      </c>
      <c r="AV1958" s="32"/>
      <c r="AW1958" s="35" t="s">
        <v>204</v>
      </c>
      <c r="AX1958" s="32" t="s">
        <v>354</v>
      </c>
      <c r="AY1958" s="32">
        <v>0</v>
      </c>
      <c r="AZ1958" s="32">
        <v>40000003</v>
      </c>
      <c r="BA1958" s="35" t="s">
        <v>206</v>
      </c>
      <c r="BB1958" s="35" t="s">
        <v>204</v>
      </c>
      <c r="BC1958" s="31">
        <v>0</v>
      </c>
      <c r="BD1958" s="31">
        <v>0</v>
      </c>
      <c r="BE1958" s="60" t="s">
        <v>870</v>
      </c>
      <c r="BF1958" s="60" t="s">
        <v>871</v>
      </c>
      <c r="BG1958" s="32">
        <v>0</v>
      </c>
      <c r="BH1958" s="21">
        <v>0</v>
      </c>
      <c r="BI1958" s="32">
        <v>0</v>
      </c>
      <c r="BJ1958" s="32">
        <v>0</v>
      </c>
      <c r="BK1958" s="32">
        <v>0</v>
      </c>
      <c r="BL1958" s="32">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70401005</v>
      </c>
      <c r="D1959" s="35" t="s">
        <v>763</v>
      </c>
      <c r="E1959" s="35" t="s">
        <v>405</v>
      </c>
      <c r="F1959" s="32">
        <v>1</v>
      </c>
      <c r="G1959" s="32">
        <v>60010500</v>
      </c>
      <c r="H1959" s="32">
        <v>0</v>
      </c>
      <c r="I1959" s="31">
        <v>0</v>
      </c>
      <c r="J1959" s="32">
        <v>1</v>
      </c>
      <c r="K1959" s="32">
        <v>0</v>
      </c>
      <c r="L1959" s="32">
        <v>0</v>
      </c>
      <c r="M1959" s="32">
        <v>0</v>
      </c>
      <c r="N1959" s="32">
        <v>0</v>
      </c>
      <c r="O1959" s="21">
        <v>2</v>
      </c>
      <c r="P1959" s="32">
        <v>2</v>
      </c>
      <c r="Q1959" s="32">
        <v>0.3</v>
      </c>
      <c r="R1959" s="32">
        <v>0</v>
      </c>
      <c r="S1959" s="19">
        <v>0</v>
      </c>
      <c r="T1959" s="31">
        <v>0</v>
      </c>
      <c r="U1959" s="21">
        <v>1</v>
      </c>
      <c r="V1959" s="32">
        <v>2</v>
      </c>
      <c r="W1959" s="32">
        <v>0</v>
      </c>
      <c r="X1959" s="32">
        <v>0</v>
      </c>
      <c r="Y1959" s="19">
        <v>0</v>
      </c>
      <c r="Z1959" s="32">
        <v>0</v>
      </c>
      <c r="AA1959" s="32">
        <v>0</v>
      </c>
      <c r="AB1959" s="32">
        <v>0</v>
      </c>
      <c r="AC1959" s="32">
        <v>0</v>
      </c>
      <c r="AD1959" s="21">
        <v>0</v>
      </c>
      <c r="AE1959" s="32">
        <v>0</v>
      </c>
      <c r="AF1959" s="21">
        <v>15</v>
      </c>
      <c r="AG1959" s="32">
        <v>0</v>
      </c>
      <c r="AH1959" s="32">
        <v>0</v>
      </c>
      <c r="AI1959" s="19">
        <v>2</v>
      </c>
      <c r="AJ1959" s="19">
        <v>0</v>
      </c>
      <c r="AK1959" s="19">
        <v>0</v>
      </c>
      <c r="AL1959" s="19">
        <v>0</v>
      </c>
      <c r="AM1959" s="32">
        <v>0</v>
      </c>
      <c r="AN1959" s="32">
        <v>0</v>
      </c>
      <c r="AO1959" s="32">
        <v>0</v>
      </c>
      <c r="AP1959" s="32">
        <v>0</v>
      </c>
      <c r="AQ1959" s="32">
        <v>1000</v>
      </c>
      <c r="AR1959" s="32">
        <v>0</v>
      </c>
      <c r="AS1959" s="32">
        <v>0</v>
      </c>
      <c r="AT1959" s="19">
        <v>90304001</v>
      </c>
      <c r="AU1959" s="32" t="s">
        <v>204</v>
      </c>
      <c r="AV1959" s="32"/>
      <c r="AW1959" s="35" t="s">
        <v>293</v>
      </c>
      <c r="AX1959" s="32" t="s">
        <v>354</v>
      </c>
      <c r="AY1959" s="32">
        <v>0</v>
      </c>
      <c r="AZ1959" s="32">
        <v>0</v>
      </c>
      <c r="BA1959" s="35" t="s">
        <v>206</v>
      </c>
      <c r="BB1959" s="35" t="s">
        <v>204</v>
      </c>
      <c r="BC1959" s="31">
        <v>0</v>
      </c>
      <c r="BD1959" s="31">
        <v>0</v>
      </c>
      <c r="BE1959" s="60" t="s">
        <v>764</v>
      </c>
      <c r="BF1959" s="60" t="s">
        <v>765</v>
      </c>
      <c r="BG1959" s="32">
        <v>0</v>
      </c>
      <c r="BH1959" s="21">
        <v>0</v>
      </c>
      <c r="BI1959" s="32">
        <v>0</v>
      </c>
      <c r="BJ1959" s="32">
        <v>0</v>
      </c>
      <c r="BK1959" s="32">
        <v>0</v>
      </c>
      <c r="BL1959" s="32">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20.100000000000001" customHeight="1">
      <c r="C1960" s="32">
        <v>70401006</v>
      </c>
      <c r="D1960" s="30" t="s">
        <v>4517</v>
      </c>
      <c r="E1960" s="30" t="s">
        <v>4518</v>
      </c>
      <c r="F1960" s="32">
        <v>1</v>
      </c>
      <c r="G1960" s="21">
        <v>60010300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3</v>
      </c>
      <c r="Y1960" s="19">
        <v>0</v>
      </c>
      <c r="Z1960" s="21">
        <v>350</v>
      </c>
      <c r="AA1960" s="21">
        <v>0</v>
      </c>
      <c r="AB1960" s="21">
        <v>0</v>
      </c>
      <c r="AC1960" s="21">
        <v>0</v>
      </c>
      <c r="AD1960" s="21">
        <v>0</v>
      </c>
      <c r="AE1960" s="21">
        <v>0</v>
      </c>
      <c r="AF1960" s="21">
        <v>9</v>
      </c>
      <c r="AG1960" s="21">
        <v>2</v>
      </c>
      <c r="AH1960" s="21" t="s">
        <v>219</v>
      </c>
      <c r="AI1960" s="19">
        <v>0</v>
      </c>
      <c r="AJ1960" s="19">
        <v>2</v>
      </c>
      <c r="AK1960" s="19">
        <v>0</v>
      </c>
      <c r="AL1960" s="19">
        <v>1.5</v>
      </c>
      <c r="AM1960" s="21">
        <v>0</v>
      </c>
      <c r="AN1960" s="21">
        <v>0</v>
      </c>
      <c r="AO1960" s="21">
        <v>0</v>
      </c>
      <c r="AP1960" s="21">
        <v>1.5</v>
      </c>
      <c r="AQ1960" s="21">
        <v>3000</v>
      </c>
      <c r="AR1960" s="21">
        <v>1</v>
      </c>
      <c r="AS1960" s="21">
        <v>0</v>
      </c>
      <c r="AT1960" s="19">
        <v>0</v>
      </c>
      <c r="AU1960" s="21" t="s">
        <v>4519</v>
      </c>
      <c r="AV1960" s="21"/>
      <c r="AW1960" s="35" t="s">
        <v>623</v>
      </c>
      <c r="AX1960" s="21" t="s">
        <v>551</v>
      </c>
      <c r="AY1960" s="32">
        <v>10000007</v>
      </c>
      <c r="AZ1960" s="32">
        <v>70401006</v>
      </c>
      <c r="BA1960" s="30" t="s">
        <v>206</v>
      </c>
      <c r="BB1960" s="21">
        <v>0</v>
      </c>
      <c r="BC1960" s="31">
        <v>0</v>
      </c>
      <c r="BD1960" s="31">
        <v>0</v>
      </c>
      <c r="BE1960" s="33" t="s">
        <v>4520</v>
      </c>
      <c r="BF1960" s="33" t="s">
        <v>4521</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19.5" customHeight="1">
      <c r="C1961" s="32">
        <v>70402001</v>
      </c>
      <c r="D1961" s="30" t="s">
        <v>1130</v>
      </c>
      <c r="E1961" s="30" t="s">
        <v>1131</v>
      </c>
      <c r="F1961" s="32">
        <v>1</v>
      </c>
      <c r="G1961" s="21">
        <v>60010100</v>
      </c>
      <c r="H1961" s="32">
        <v>0</v>
      </c>
      <c r="I1961" s="31">
        <v>0</v>
      </c>
      <c r="J1961" s="32">
        <v>1</v>
      </c>
      <c r="K1961" s="32">
        <v>0</v>
      </c>
      <c r="L1961" s="32">
        <v>0</v>
      </c>
      <c r="M1961" s="21">
        <v>0</v>
      </c>
      <c r="N1961" s="21">
        <v>0</v>
      </c>
      <c r="O1961" s="21">
        <v>2</v>
      </c>
      <c r="P1961" s="21">
        <v>1</v>
      </c>
      <c r="Q1961" s="21">
        <v>0.3</v>
      </c>
      <c r="R1961" s="21">
        <v>0</v>
      </c>
      <c r="S1961" s="19">
        <v>0</v>
      </c>
      <c r="T1961" s="21">
        <v>0</v>
      </c>
      <c r="U1961" s="21">
        <v>1</v>
      </c>
      <c r="V1961" s="21">
        <v>2</v>
      </c>
      <c r="W1961" s="21">
        <v>0</v>
      </c>
      <c r="X1961" s="21">
        <v>1</v>
      </c>
      <c r="Y1961" s="19">
        <v>0</v>
      </c>
      <c r="Z1961" s="21">
        <v>0</v>
      </c>
      <c r="AA1961" s="21">
        <v>1</v>
      </c>
      <c r="AB1961" s="21">
        <v>0</v>
      </c>
      <c r="AC1961" s="21">
        <v>0</v>
      </c>
      <c r="AD1961" s="21">
        <v>0</v>
      </c>
      <c r="AE1961" s="21">
        <v>0</v>
      </c>
      <c r="AF1961" s="21">
        <v>30</v>
      </c>
      <c r="AG1961" s="21">
        <v>1</v>
      </c>
      <c r="AH1961" s="21" t="s">
        <v>867</v>
      </c>
      <c r="AI1961" s="19">
        <v>0</v>
      </c>
      <c r="AJ1961" s="19">
        <v>0</v>
      </c>
      <c r="AK1961" s="19">
        <v>0</v>
      </c>
      <c r="AL1961" s="19">
        <v>0</v>
      </c>
      <c r="AM1961" s="21">
        <v>0</v>
      </c>
      <c r="AN1961" s="21">
        <v>0</v>
      </c>
      <c r="AO1961" s="21">
        <v>0</v>
      </c>
      <c r="AP1961" s="21">
        <v>0.5</v>
      </c>
      <c r="AQ1961" s="21">
        <v>999999</v>
      </c>
      <c r="AR1961" s="21">
        <v>0.5</v>
      </c>
      <c r="AS1961" s="21">
        <v>0</v>
      </c>
      <c r="AT1961" s="19">
        <v>0</v>
      </c>
      <c r="AU1961" s="329" t="s">
        <v>1025</v>
      </c>
      <c r="AV1961" s="19"/>
      <c r="AW1961" s="35" t="s">
        <v>293</v>
      </c>
      <c r="AX1961" s="21" t="s">
        <v>540</v>
      </c>
      <c r="AY1961" s="32">
        <v>10000007</v>
      </c>
      <c r="AZ1961" s="32">
        <v>70202004</v>
      </c>
      <c r="BA1961" s="35" t="s">
        <v>321</v>
      </c>
      <c r="BB1961" s="35" t="s">
        <v>377</v>
      </c>
      <c r="BC1961" s="31">
        <v>0</v>
      </c>
      <c r="BD1961" s="31">
        <v>0</v>
      </c>
      <c r="BE1961" s="33" t="s">
        <v>1007</v>
      </c>
      <c r="BF1961" s="33" t="s">
        <v>1008</v>
      </c>
      <c r="BG1961" s="21">
        <v>0</v>
      </c>
      <c r="BH1961" s="21">
        <v>0</v>
      </c>
      <c r="BI1961" s="21">
        <v>0</v>
      </c>
      <c r="BJ1961" s="21">
        <v>0</v>
      </c>
      <c r="BK1961" s="21">
        <v>0</v>
      </c>
      <c r="BL1961" s="21">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20.100000000000001" customHeight="1">
      <c r="C1962" s="32">
        <v>70402002</v>
      </c>
      <c r="D1962" s="30" t="s">
        <v>4522</v>
      </c>
      <c r="E1962" s="30" t="s">
        <v>4523</v>
      </c>
      <c r="F1962" s="21">
        <v>1</v>
      </c>
      <c r="G1962" s="21">
        <v>60010300</v>
      </c>
      <c r="H1962" s="32">
        <v>0</v>
      </c>
      <c r="I1962" s="31">
        <v>0</v>
      </c>
      <c r="J1962" s="32">
        <v>1</v>
      </c>
      <c r="K1962" s="32">
        <v>0</v>
      </c>
      <c r="L1962" s="32">
        <v>0</v>
      </c>
      <c r="M1962" s="21">
        <v>0</v>
      </c>
      <c r="N1962" s="21">
        <v>0</v>
      </c>
      <c r="O1962" s="21">
        <v>2</v>
      </c>
      <c r="P1962" s="21">
        <v>2</v>
      </c>
      <c r="Q1962" s="21">
        <v>0.8</v>
      </c>
      <c r="R1962" s="21">
        <v>0</v>
      </c>
      <c r="S1962" s="19">
        <v>0</v>
      </c>
      <c r="T1962" s="21">
        <v>0</v>
      </c>
      <c r="U1962" s="21">
        <v>1</v>
      </c>
      <c r="V1962" s="21">
        <v>2</v>
      </c>
      <c r="W1962" s="21">
        <v>0</v>
      </c>
      <c r="X1962" s="21">
        <v>0</v>
      </c>
      <c r="Y1962" s="19">
        <v>0</v>
      </c>
      <c r="Z1962" s="21">
        <v>0</v>
      </c>
      <c r="AA1962" s="21">
        <v>0</v>
      </c>
      <c r="AB1962" s="21">
        <v>0</v>
      </c>
      <c r="AC1962" s="21">
        <v>0</v>
      </c>
      <c r="AD1962" s="21">
        <v>0</v>
      </c>
      <c r="AE1962" s="21">
        <v>0</v>
      </c>
      <c r="AF1962" s="21">
        <v>15</v>
      </c>
      <c r="AG1962" s="21">
        <v>0</v>
      </c>
      <c r="AH1962" s="21">
        <v>0</v>
      </c>
      <c r="AI1962" s="19">
        <v>2</v>
      </c>
      <c r="AJ1962" s="19">
        <v>2</v>
      </c>
      <c r="AK1962" s="19">
        <v>0</v>
      </c>
      <c r="AL1962" s="19">
        <v>1.5</v>
      </c>
      <c r="AM1962" s="21">
        <v>0</v>
      </c>
      <c r="AN1962" s="21">
        <v>0</v>
      </c>
      <c r="AO1962" s="21">
        <v>0</v>
      </c>
      <c r="AP1962" s="21">
        <v>1</v>
      </c>
      <c r="AQ1962" s="21">
        <v>3000</v>
      </c>
      <c r="AR1962" s="21">
        <v>0.5</v>
      </c>
      <c r="AS1962" s="21">
        <v>0</v>
      </c>
      <c r="AT1962" s="19">
        <v>0</v>
      </c>
      <c r="AU1962" s="21" t="s">
        <v>204</v>
      </c>
      <c r="AV1962" s="21"/>
      <c r="AW1962" s="35" t="s">
        <v>205</v>
      </c>
      <c r="AX1962" s="21" t="s">
        <v>551</v>
      </c>
      <c r="AY1962" s="32">
        <v>0</v>
      </c>
      <c r="AZ1962" s="32">
        <v>0</v>
      </c>
      <c r="BA1962" s="30" t="s">
        <v>534</v>
      </c>
      <c r="BB1962" s="21" t="s">
        <v>4524</v>
      </c>
      <c r="BC1962" s="31">
        <v>0</v>
      </c>
      <c r="BD1962" s="31">
        <v>0</v>
      </c>
      <c r="BE1962" s="33" t="s">
        <v>4525</v>
      </c>
      <c r="BF1962" s="33" t="s">
        <v>4526</v>
      </c>
      <c r="BG1962" s="21">
        <v>0</v>
      </c>
      <c r="BH1962" s="21">
        <v>0</v>
      </c>
      <c r="BI1962" s="21">
        <v>0</v>
      </c>
      <c r="BJ1962" s="21">
        <v>0</v>
      </c>
      <c r="BK1962" s="21">
        <v>0</v>
      </c>
      <c r="BL1962" s="21">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19.5" customHeight="1">
      <c r="C1963" s="32">
        <v>70402003</v>
      </c>
      <c r="D1963" s="30" t="s">
        <v>4469</v>
      </c>
      <c r="E1963" s="30" t="s">
        <v>4470</v>
      </c>
      <c r="F1963" s="32">
        <v>1</v>
      </c>
      <c r="G1963" s="21">
        <v>60010100</v>
      </c>
      <c r="H1963" s="32">
        <v>0</v>
      </c>
      <c r="I1963" s="31">
        <v>0</v>
      </c>
      <c r="J1963" s="32">
        <v>1</v>
      </c>
      <c r="K1963" s="32">
        <v>0</v>
      </c>
      <c r="L1963" s="32">
        <v>0</v>
      </c>
      <c r="M1963" s="21">
        <v>0</v>
      </c>
      <c r="N1963" s="21">
        <v>0</v>
      </c>
      <c r="O1963" s="21">
        <v>2</v>
      </c>
      <c r="P1963" s="21">
        <v>1</v>
      </c>
      <c r="Q1963" s="21">
        <v>0.3</v>
      </c>
      <c r="R1963" s="21">
        <v>0</v>
      </c>
      <c r="S1963" s="19">
        <v>0</v>
      </c>
      <c r="T1963" s="21">
        <v>0</v>
      </c>
      <c r="U1963" s="21">
        <v>1</v>
      </c>
      <c r="V1963" s="21">
        <v>2</v>
      </c>
      <c r="W1963" s="21">
        <v>0</v>
      </c>
      <c r="X1963" s="21">
        <v>3</v>
      </c>
      <c r="Y1963" s="19">
        <v>0</v>
      </c>
      <c r="Z1963" s="21">
        <v>0</v>
      </c>
      <c r="AA1963" s="21">
        <v>1</v>
      </c>
      <c r="AB1963" s="21">
        <v>0</v>
      </c>
      <c r="AC1963" s="21">
        <v>0</v>
      </c>
      <c r="AD1963" s="21">
        <v>0</v>
      </c>
      <c r="AE1963" s="21">
        <v>0</v>
      </c>
      <c r="AF1963" s="21">
        <v>15</v>
      </c>
      <c r="AG1963" s="21">
        <v>1</v>
      </c>
      <c r="AH1963" s="21" t="s">
        <v>613</v>
      </c>
      <c r="AI1963" s="19">
        <v>0</v>
      </c>
      <c r="AJ1963" s="19">
        <v>1</v>
      </c>
      <c r="AK1963" s="19">
        <v>0</v>
      </c>
      <c r="AL1963" s="19">
        <v>3</v>
      </c>
      <c r="AM1963" s="21">
        <v>0</v>
      </c>
      <c r="AN1963" s="21">
        <v>0</v>
      </c>
      <c r="AO1963" s="21">
        <v>0</v>
      </c>
      <c r="AP1963" s="21">
        <v>2.5</v>
      </c>
      <c r="AQ1963" s="21">
        <v>5000</v>
      </c>
      <c r="AR1963" s="21">
        <v>2</v>
      </c>
      <c r="AS1963" s="21">
        <v>0</v>
      </c>
      <c r="AT1963" s="19">
        <v>0</v>
      </c>
      <c r="AU1963" s="21" t="s">
        <v>665</v>
      </c>
      <c r="AV1963" s="21"/>
      <c r="AW1963" s="35" t="s">
        <v>623</v>
      </c>
      <c r="AX1963" s="21" t="s">
        <v>540</v>
      </c>
      <c r="AY1963" s="32">
        <v>10000007</v>
      </c>
      <c r="AZ1963" s="32">
        <v>70402003</v>
      </c>
      <c r="BA1963" s="30" t="s">
        <v>206</v>
      </c>
      <c r="BB1963" s="21">
        <v>0</v>
      </c>
      <c r="BC1963" s="31">
        <v>0</v>
      </c>
      <c r="BD1963" s="31">
        <v>0</v>
      </c>
      <c r="BE1963" s="33" t="s">
        <v>4500</v>
      </c>
      <c r="BF1963" s="33" t="s">
        <v>4501</v>
      </c>
      <c r="BG1963" s="21">
        <v>0</v>
      </c>
      <c r="BH1963" s="21">
        <v>0</v>
      </c>
      <c r="BI1963" s="21">
        <v>0</v>
      </c>
      <c r="BJ1963" s="21">
        <v>0</v>
      </c>
      <c r="BK1963" s="21">
        <v>0</v>
      </c>
      <c r="BL1963" s="21">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70402004</v>
      </c>
      <c r="D1964" s="35" t="s">
        <v>750</v>
      </c>
      <c r="E1964" s="35" t="s">
        <v>751</v>
      </c>
      <c r="F1964" s="32">
        <v>1</v>
      </c>
      <c r="G1964" s="32">
        <v>60010500</v>
      </c>
      <c r="H1964" s="32">
        <v>0</v>
      </c>
      <c r="I1964" s="31">
        <v>0</v>
      </c>
      <c r="J1964" s="32">
        <v>1</v>
      </c>
      <c r="K1964" s="32">
        <v>0</v>
      </c>
      <c r="L1964" s="32">
        <v>0</v>
      </c>
      <c r="M1964" s="32">
        <v>0</v>
      </c>
      <c r="N1964" s="32">
        <v>0</v>
      </c>
      <c r="O1964" s="21">
        <v>2</v>
      </c>
      <c r="P1964" s="32">
        <v>1</v>
      </c>
      <c r="Q1964" s="32">
        <v>0.05</v>
      </c>
      <c r="R1964" s="32">
        <v>0</v>
      </c>
      <c r="S1964" s="19">
        <v>0</v>
      </c>
      <c r="T1964" s="31">
        <v>0</v>
      </c>
      <c r="U1964" s="21">
        <v>1</v>
      </c>
      <c r="V1964" s="32">
        <v>1</v>
      </c>
      <c r="W1964" s="32">
        <v>0</v>
      </c>
      <c r="X1964" s="32">
        <v>2</v>
      </c>
      <c r="Y1964" s="19">
        <v>0</v>
      </c>
      <c r="Z1964" s="32">
        <v>0</v>
      </c>
      <c r="AA1964" s="32">
        <v>0</v>
      </c>
      <c r="AB1964" s="32">
        <v>0</v>
      </c>
      <c r="AC1964" s="32">
        <v>0</v>
      </c>
      <c r="AD1964" s="21">
        <v>0</v>
      </c>
      <c r="AE1964" s="32">
        <v>0</v>
      </c>
      <c r="AF1964" s="32">
        <v>10</v>
      </c>
      <c r="AG1964" s="32">
        <v>0</v>
      </c>
      <c r="AH1964" s="32">
        <v>0</v>
      </c>
      <c r="AI1964" s="19">
        <v>7</v>
      </c>
      <c r="AJ1964" s="19">
        <v>0</v>
      </c>
      <c r="AK1964" s="19">
        <v>0</v>
      </c>
      <c r="AL1964" s="19">
        <v>0</v>
      </c>
      <c r="AM1964" s="32">
        <v>0</v>
      </c>
      <c r="AN1964" s="32">
        <v>0</v>
      </c>
      <c r="AO1964" s="32">
        <v>0</v>
      </c>
      <c r="AP1964" s="32">
        <v>0</v>
      </c>
      <c r="AQ1964" s="32">
        <v>1000</v>
      </c>
      <c r="AR1964" s="32">
        <v>0.5</v>
      </c>
      <c r="AS1964" s="32">
        <v>0</v>
      </c>
      <c r="AT1964" s="19">
        <v>0</v>
      </c>
      <c r="AU1964" s="32" t="s">
        <v>860</v>
      </c>
      <c r="AV1964" s="32"/>
      <c r="AW1964" s="35" t="s">
        <v>747</v>
      </c>
      <c r="AX1964" s="32">
        <v>0</v>
      </c>
      <c r="AY1964" s="32">
        <v>10007001</v>
      </c>
      <c r="AZ1964" s="32">
        <v>0</v>
      </c>
      <c r="BA1964" s="35" t="s">
        <v>206</v>
      </c>
      <c r="BB1964" s="35" t="s">
        <v>204</v>
      </c>
      <c r="BC1964" s="31">
        <v>0</v>
      </c>
      <c r="BD1964" s="31">
        <v>0</v>
      </c>
      <c r="BE1964" s="60" t="s">
        <v>4527</v>
      </c>
      <c r="BF1964" s="60" t="s">
        <v>4528</v>
      </c>
      <c r="BG1964" s="32">
        <v>0</v>
      </c>
      <c r="BH1964" s="21">
        <v>0</v>
      </c>
      <c r="BI1964" s="32">
        <v>0</v>
      </c>
      <c r="BJ1964" s="32">
        <v>0</v>
      </c>
      <c r="BK1964" s="32">
        <v>0</v>
      </c>
      <c r="BL1964" s="32">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20.100000000000001" customHeight="1">
      <c r="C1965" s="32">
        <v>70402005</v>
      </c>
      <c r="D1965" s="35" t="s">
        <v>573</v>
      </c>
      <c r="E1965" s="35" t="s">
        <v>574</v>
      </c>
      <c r="F1965" s="32">
        <v>1</v>
      </c>
      <c r="G1965" s="32">
        <v>60010500</v>
      </c>
      <c r="H1965" s="32">
        <v>0</v>
      </c>
      <c r="I1965" s="31">
        <v>0</v>
      </c>
      <c r="J1965" s="32">
        <v>1</v>
      </c>
      <c r="K1965" s="32">
        <v>0</v>
      </c>
      <c r="L1965" s="32">
        <v>0</v>
      </c>
      <c r="M1965" s="32">
        <v>0</v>
      </c>
      <c r="N1965" s="32">
        <v>0</v>
      </c>
      <c r="O1965" s="21">
        <v>2</v>
      </c>
      <c r="P1965" s="32">
        <v>2</v>
      </c>
      <c r="Q1965" s="32">
        <v>0.3</v>
      </c>
      <c r="R1965" s="32">
        <v>1</v>
      </c>
      <c r="S1965" s="19">
        <v>0</v>
      </c>
      <c r="T1965" s="31">
        <v>0</v>
      </c>
      <c r="U1965" s="21">
        <v>1</v>
      </c>
      <c r="V1965" s="32">
        <v>2</v>
      </c>
      <c r="W1965" s="32">
        <v>0</v>
      </c>
      <c r="X1965" s="32">
        <v>0</v>
      </c>
      <c r="Y1965" s="19">
        <v>0</v>
      </c>
      <c r="Z1965" s="32">
        <v>0</v>
      </c>
      <c r="AA1965" s="32">
        <v>0</v>
      </c>
      <c r="AB1965" s="32">
        <v>0</v>
      </c>
      <c r="AC1965" s="32">
        <v>0</v>
      </c>
      <c r="AD1965" s="21">
        <v>0</v>
      </c>
      <c r="AE1965" s="32">
        <v>0</v>
      </c>
      <c r="AF1965" s="21">
        <v>15</v>
      </c>
      <c r="AG1965" s="32">
        <v>0</v>
      </c>
      <c r="AH1965" s="32">
        <v>0</v>
      </c>
      <c r="AI1965" s="19">
        <v>2</v>
      </c>
      <c r="AJ1965" s="19">
        <v>0</v>
      </c>
      <c r="AK1965" s="19">
        <v>0</v>
      </c>
      <c r="AL1965" s="19">
        <v>0</v>
      </c>
      <c r="AM1965" s="32">
        <v>0</v>
      </c>
      <c r="AN1965" s="32">
        <v>0</v>
      </c>
      <c r="AO1965" s="32">
        <v>0</v>
      </c>
      <c r="AP1965" s="32">
        <v>0</v>
      </c>
      <c r="AQ1965" s="32">
        <v>1000</v>
      </c>
      <c r="AR1965" s="32">
        <v>0</v>
      </c>
      <c r="AS1965" s="32">
        <v>0</v>
      </c>
      <c r="AT1965" s="19">
        <v>90402005</v>
      </c>
      <c r="AU1965" s="32" t="s">
        <v>204</v>
      </c>
      <c r="AV1965" s="32"/>
      <c r="AW1965" s="35" t="s">
        <v>205</v>
      </c>
      <c r="AX1965" s="32" t="s">
        <v>354</v>
      </c>
      <c r="AY1965" s="32">
        <v>0</v>
      </c>
      <c r="AZ1965" s="32">
        <v>0</v>
      </c>
      <c r="BA1965" s="35" t="s">
        <v>206</v>
      </c>
      <c r="BB1965" s="35" t="s">
        <v>204</v>
      </c>
      <c r="BC1965" s="31">
        <v>0</v>
      </c>
      <c r="BD1965" s="31">
        <v>0</v>
      </c>
      <c r="BE1965" s="60" t="s">
        <v>856</v>
      </c>
      <c r="BF1965" s="60" t="s">
        <v>857</v>
      </c>
      <c r="BG1965" s="32">
        <v>0</v>
      </c>
      <c r="BH1965" s="21">
        <v>0</v>
      </c>
      <c r="BI1965" s="32">
        <v>0</v>
      </c>
      <c r="BJ1965" s="32">
        <v>0</v>
      </c>
      <c r="BK1965" s="32">
        <v>0</v>
      </c>
      <c r="BL1965" s="32">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70403001</v>
      </c>
      <c r="D1966" s="30" t="s">
        <v>4529</v>
      </c>
      <c r="E1966" s="30" t="s">
        <v>4530</v>
      </c>
      <c r="F1966" s="21">
        <v>1</v>
      </c>
      <c r="G1966" s="21">
        <v>60010300</v>
      </c>
      <c r="H1966" s="32">
        <v>0</v>
      </c>
      <c r="I1966" s="31">
        <v>0</v>
      </c>
      <c r="J1966" s="32">
        <v>1</v>
      </c>
      <c r="K1966" s="32">
        <v>0</v>
      </c>
      <c r="L1966" s="32">
        <v>0</v>
      </c>
      <c r="M1966" s="21">
        <v>0</v>
      </c>
      <c r="N1966" s="21">
        <v>0</v>
      </c>
      <c r="O1966" s="21">
        <v>2</v>
      </c>
      <c r="P1966" s="21">
        <v>2</v>
      </c>
      <c r="Q1966" s="21">
        <v>0.8</v>
      </c>
      <c r="R1966" s="21">
        <v>0</v>
      </c>
      <c r="S1966" s="19">
        <v>0</v>
      </c>
      <c r="T1966" s="21">
        <v>0</v>
      </c>
      <c r="U1966" s="21">
        <v>1</v>
      </c>
      <c r="V1966" s="21">
        <v>2</v>
      </c>
      <c r="W1966" s="21">
        <v>0</v>
      </c>
      <c r="X1966" s="21">
        <v>0</v>
      </c>
      <c r="Y1966" s="19">
        <v>0</v>
      </c>
      <c r="Z1966" s="21">
        <v>0</v>
      </c>
      <c r="AA1966" s="21">
        <v>0</v>
      </c>
      <c r="AB1966" s="21">
        <v>0</v>
      </c>
      <c r="AC1966" s="21">
        <v>0</v>
      </c>
      <c r="AD1966" s="21">
        <v>0</v>
      </c>
      <c r="AE1966" s="21">
        <v>0</v>
      </c>
      <c r="AF1966" s="21">
        <v>15</v>
      </c>
      <c r="AG1966" s="21">
        <v>0</v>
      </c>
      <c r="AH1966" s="21">
        <v>0</v>
      </c>
      <c r="AI1966" s="19">
        <v>2</v>
      </c>
      <c r="AJ1966" s="19">
        <v>2</v>
      </c>
      <c r="AK1966" s="19">
        <v>0</v>
      </c>
      <c r="AL1966" s="19">
        <v>1.5</v>
      </c>
      <c r="AM1966" s="21">
        <v>0</v>
      </c>
      <c r="AN1966" s="21">
        <v>0</v>
      </c>
      <c r="AO1966" s="21">
        <v>0</v>
      </c>
      <c r="AP1966" s="21">
        <v>1</v>
      </c>
      <c r="AQ1966" s="21">
        <v>3000</v>
      </c>
      <c r="AR1966" s="21">
        <v>0.5</v>
      </c>
      <c r="AS1966" s="21">
        <v>0</v>
      </c>
      <c r="AT1966" s="19">
        <v>0</v>
      </c>
      <c r="AU1966" s="21" t="s">
        <v>204</v>
      </c>
      <c r="AV1966" s="21"/>
      <c r="AW1966" s="35" t="s">
        <v>205</v>
      </c>
      <c r="AX1966" s="21" t="s">
        <v>551</v>
      </c>
      <c r="AY1966" s="32">
        <v>0</v>
      </c>
      <c r="AZ1966" s="32">
        <v>0</v>
      </c>
      <c r="BA1966" s="30" t="s">
        <v>534</v>
      </c>
      <c r="BB1966" s="21" t="s">
        <v>4531</v>
      </c>
      <c r="BC1966" s="31">
        <v>0</v>
      </c>
      <c r="BD1966" s="31">
        <v>0</v>
      </c>
      <c r="BE1966" s="33" t="s">
        <v>4532</v>
      </c>
      <c r="BF1966" s="33" t="s">
        <v>4533</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20.100000000000001" customHeight="1">
      <c r="C1967" s="32">
        <v>70403002</v>
      </c>
      <c r="D1967" s="30" t="s">
        <v>4534</v>
      </c>
      <c r="E1967" s="30" t="s">
        <v>4535</v>
      </c>
      <c r="F1967" s="32">
        <v>1</v>
      </c>
      <c r="G1967" s="21">
        <v>60010300</v>
      </c>
      <c r="H1967" s="32">
        <v>0</v>
      </c>
      <c r="I1967" s="31">
        <v>0</v>
      </c>
      <c r="J1967" s="32">
        <v>1</v>
      </c>
      <c r="K1967" s="32">
        <v>0</v>
      </c>
      <c r="L1967" s="32">
        <v>0</v>
      </c>
      <c r="M1967" s="21">
        <v>0</v>
      </c>
      <c r="N1967" s="21">
        <v>0</v>
      </c>
      <c r="O1967" s="21">
        <v>2</v>
      </c>
      <c r="P1967" s="21">
        <v>1</v>
      </c>
      <c r="Q1967" s="21">
        <v>0.3</v>
      </c>
      <c r="R1967" s="21">
        <v>0</v>
      </c>
      <c r="S1967" s="19">
        <v>0</v>
      </c>
      <c r="T1967" s="21">
        <v>0</v>
      </c>
      <c r="U1967" s="21">
        <v>1</v>
      </c>
      <c r="V1967" s="21">
        <v>2</v>
      </c>
      <c r="W1967" s="21">
        <v>0</v>
      </c>
      <c r="X1967" s="21">
        <v>3</v>
      </c>
      <c r="Y1967" s="19">
        <v>0</v>
      </c>
      <c r="Z1967" s="21">
        <v>350</v>
      </c>
      <c r="AA1967" s="21">
        <v>0</v>
      </c>
      <c r="AB1967" s="21">
        <v>0</v>
      </c>
      <c r="AC1967" s="21">
        <v>0</v>
      </c>
      <c r="AD1967" s="21">
        <v>0</v>
      </c>
      <c r="AE1967" s="21">
        <v>0</v>
      </c>
      <c r="AF1967" s="21">
        <v>9</v>
      </c>
      <c r="AG1967" s="21">
        <v>2</v>
      </c>
      <c r="AH1967" s="21" t="s">
        <v>219</v>
      </c>
      <c r="AI1967" s="19">
        <v>0</v>
      </c>
      <c r="AJ1967" s="19">
        <v>2</v>
      </c>
      <c r="AK1967" s="19">
        <v>0</v>
      </c>
      <c r="AL1967" s="19">
        <v>1.5</v>
      </c>
      <c r="AM1967" s="21">
        <v>0</v>
      </c>
      <c r="AN1967" s="21">
        <v>0</v>
      </c>
      <c r="AO1967" s="21">
        <v>0</v>
      </c>
      <c r="AP1967" s="21">
        <v>1</v>
      </c>
      <c r="AQ1967" s="21">
        <v>3000</v>
      </c>
      <c r="AR1967" s="21">
        <v>0.5</v>
      </c>
      <c r="AS1967" s="21">
        <v>0</v>
      </c>
      <c r="AT1967" s="19">
        <v>0</v>
      </c>
      <c r="AU1967" s="21" t="s">
        <v>860</v>
      </c>
      <c r="AV1967" s="21"/>
      <c r="AW1967" s="30" t="s">
        <v>293</v>
      </c>
      <c r="AX1967" s="21" t="s">
        <v>551</v>
      </c>
      <c r="AY1967" s="32">
        <v>10000007</v>
      </c>
      <c r="AZ1967" s="32">
        <v>70403002</v>
      </c>
      <c r="BA1967" s="30" t="s">
        <v>206</v>
      </c>
      <c r="BB1967" s="21">
        <v>0</v>
      </c>
      <c r="BC1967" s="31">
        <v>0</v>
      </c>
      <c r="BD1967" s="31">
        <v>0</v>
      </c>
      <c r="BE1967" s="33" t="s">
        <v>4520</v>
      </c>
      <c r="BF1967" s="33" t="s">
        <v>4521</v>
      </c>
      <c r="BG1967" s="21">
        <v>0</v>
      </c>
      <c r="BH1967" s="21">
        <v>0</v>
      </c>
      <c r="BI1967" s="21">
        <v>0</v>
      </c>
      <c r="BJ1967" s="21">
        <v>0</v>
      </c>
      <c r="BK1967" s="21">
        <v>0</v>
      </c>
      <c r="BL1967" s="21">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19.5" customHeight="1">
      <c r="C1968" s="32">
        <v>70403003</v>
      </c>
      <c r="D1968" s="30" t="s">
        <v>1097</v>
      </c>
      <c r="E1968" s="30" t="s">
        <v>1098</v>
      </c>
      <c r="F1968" s="32">
        <v>1</v>
      </c>
      <c r="G1968" s="21">
        <v>60010100</v>
      </c>
      <c r="H1968" s="32">
        <v>0</v>
      </c>
      <c r="I1968" s="31">
        <v>0</v>
      </c>
      <c r="J1968" s="32">
        <v>1</v>
      </c>
      <c r="K1968" s="32">
        <v>0</v>
      </c>
      <c r="L1968" s="32">
        <v>0</v>
      </c>
      <c r="M1968" s="21">
        <v>0</v>
      </c>
      <c r="N1968" s="21">
        <v>0</v>
      </c>
      <c r="O1968" s="21">
        <v>2</v>
      </c>
      <c r="P1968" s="21">
        <v>1</v>
      </c>
      <c r="Q1968" s="21">
        <v>0.3</v>
      </c>
      <c r="R1968" s="21">
        <v>0</v>
      </c>
      <c r="S1968" s="19">
        <v>0</v>
      </c>
      <c r="T1968" s="21">
        <v>0</v>
      </c>
      <c r="U1968" s="21">
        <v>1</v>
      </c>
      <c r="V1968" s="21">
        <v>2</v>
      </c>
      <c r="W1968" s="21">
        <v>0</v>
      </c>
      <c r="X1968" s="21">
        <v>3</v>
      </c>
      <c r="Y1968" s="19">
        <v>0</v>
      </c>
      <c r="Z1968" s="21">
        <v>0</v>
      </c>
      <c r="AA1968" s="21">
        <v>1</v>
      </c>
      <c r="AB1968" s="21">
        <v>0</v>
      </c>
      <c r="AC1968" s="21">
        <v>0</v>
      </c>
      <c r="AD1968" s="21">
        <v>0</v>
      </c>
      <c r="AE1968" s="21">
        <v>0</v>
      </c>
      <c r="AF1968" s="21">
        <v>15</v>
      </c>
      <c r="AG1968" s="21">
        <v>1</v>
      </c>
      <c r="AH1968" s="21" t="s">
        <v>613</v>
      </c>
      <c r="AI1968" s="19">
        <v>0</v>
      </c>
      <c r="AJ1968" s="19">
        <v>1</v>
      </c>
      <c r="AK1968" s="19">
        <v>0</v>
      </c>
      <c r="AL1968" s="19">
        <v>3</v>
      </c>
      <c r="AM1968" s="21">
        <v>0</v>
      </c>
      <c r="AN1968" s="21">
        <v>0</v>
      </c>
      <c r="AO1968" s="21">
        <v>0</v>
      </c>
      <c r="AP1968" s="21">
        <v>3</v>
      </c>
      <c r="AQ1968" s="21">
        <v>5000</v>
      </c>
      <c r="AR1968" s="21">
        <v>2.5</v>
      </c>
      <c r="AS1968" s="21">
        <v>0</v>
      </c>
      <c r="AT1968" s="19">
        <v>0</v>
      </c>
      <c r="AU1968" s="21" t="s">
        <v>665</v>
      </c>
      <c r="AV1968" s="21"/>
      <c r="AW1968" s="35" t="s">
        <v>262</v>
      </c>
      <c r="AX1968" s="21" t="s">
        <v>540</v>
      </c>
      <c r="AY1968" s="32">
        <v>10000007</v>
      </c>
      <c r="AZ1968" s="32">
        <v>70403003</v>
      </c>
      <c r="BA1968" s="30" t="s">
        <v>206</v>
      </c>
      <c r="BB1968" s="21">
        <v>0</v>
      </c>
      <c r="BC1968" s="31">
        <v>0</v>
      </c>
      <c r="BD1968" s="31">
        <v>0</v>
      </c>
      <c r="BE1968" s="33" t="s">
        <v>4500</v>
      </c>
      <c r="BF1968" s="33" t="s">
        <v>4501</v>
      </c>
      <c r="BG1968" s="21">
        <v>0</v>
      </c>
      <c r="BH1968" s="21">
        <v>0</v>
      </c>
      <c r="BI1968" s="21">
        <v>0</v>
      </c>
      <c r="BJ1968" s="21">
        <v>0</v>
      </c>
      <c r="BK1968" s="21">
        <v>0</v>
      </c>
      <c r="BL1968" s="21">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70403004</v>
      </c>
      <c r="D1969" s="30" t="s">
        <v>957</v>
      </c>
      <c r="E1969" s="30" t="s">
        <v>958</v>
      </c>
      <c r="F1969" s="32">
        <v>1</v>
      </c>
      <c r="G1969" s="21">
        <v>60010100</v>
      </c>
      <c r="H1969" s="32">
        <v>0</v>
      </c>
      <c r="I1969" s="31">
        <v>0</v>
      </c>
      <c r="J1969" s="32">
        <v>1</v>
      </c>
      <c r="K1969" s="32">
        <v>0</v>
      </c>
      <c r="L1969" s="32">
        <v>0</v>
      </c>
      <c r="M1969" s="21">
        <v>0</v>
      </c>
      <c r="N1969" s="21">
        <v>0</v>
      </c>
      <c r="O1969" s="21">
        <v>2</v>
      </c>
      <c r="P1969" s="21">
        <v>1</v>
      </c>
      <c r="Q1969" s="21">
        <v>0.3</v>
      </c>
      <c r="R1969" s="21">
        <v>0</v>
      </c>
      <c r="S1969" s="19">
        <v>0</v>
      </c>
      <c r="T1969" s="21">
        <v>0</v>
      </c>
      <c r="U1969" s="21">
        <v>1</v>
      </c>
      <c r="V1969" s="21">
        <v>2</v>
      </c>
      <c r="W1969" s="21">
        <v>0</v>
      </c>
      <c r="X1969" s="21">
        <v>2.5</v>
      </c>
      <c r="Y1969" s="19">
        <v>0</v>
      </c>
      <c r="Z1969" s="21">
        <v>0</v>
      </c>
      <c r="AA1969" s="21">
        <v>1</v>
      </c>
      <c r="AB1969" s="21">
        <v>0</v>
      </c>
      <c r="AC1969" s="21">
        <v>0</v>
      </c>
      <c r="AD1969" s="21">
        <v>0</v>
      </c>
      <c r="AE1969" s="21">
        <v>0</v>
      </c>
      <c r="AF1969" s="21">
        <v>12</v>
      </c>
      <c r="AG1969" s="21">
        <v>1</v>
      </c>
      <c r="AH1969" s="21">
        <v>3</v>
      </c>
      <c r="AI1969" s="19">
        <v>4</v>
      </c>
      <c r="AJ1969" s="19">
        <v>1</v>
      </c>
      <c r="AK1969" s="19">
        <v>0</v>
      </c>
      <c r="AL1969" s="19">
        <v>1.5</v>
      </c>
      <c r="AM1969" s="21">
        <v>0</v>
      </c>
      <c r="AN1969" s="21">
        <v>0</v>
      </c>
      <c r="AO1969" s="21">
        <v>0</v>
      </c>
      <c r="AP1969" s="21">
        <v>2.5</v>
      </c>
      <c r="AQ1969" s="21">
        <v>5000</v>
      </c>
      <c r="AR1969" s="21">
        <v>2</v>
      </c>
      <c r="AS1969" s="21">
        <v>0</v>
      </c>
      <c r="AT1969" s="19">
        <v>0</v>
      </c>
      <c r="AU1969" s="21">
        <v>80001030</v>
      </c>
      <c r="AV1969" s="21"/>
      <c r="AW1969" s="35" t="s">
        <v>623</v>
      </c>
      <c r="AX1969" s="21" t="s">
        <v>540</v>
      </c>
      <c r="AY1969" s="32">
        <v>10000007</v>
      </c>
      <c r="AZ1969" s="32">
        <v>70403004</v>
      </c>
      <c r="BA1969" s="30" t="s">
        <v>206</v>
      </c>
      <c r="BB1969" s="21" t="s">
        <v>4536</v>
      </c>
      <c r="BC1969" s="31">
        <v>0</v>
      </c>
      <c r="BD1969" s="31">
        <v>0</v>
      </c>
      <c r="BE1969" s="33" t="s">
        <v>4537</v>
      </c>
      <c r="BF1969" s="33" t="s">
        <v>4538</v>
      </c>
      <c r="BG1969" s="21">
        <v>0</v>
      </c>
      <c r="BH1969" s="21">
        <v>0</v>
      </c>
      <c r="BI1969" s="21">
        <v>0</v>
      </c>
      <c r="BJ1969" s="21">
        <v>0</v>
      </c>
      <c r="BK1969" s="21">
        <v>0</v>
      </c>
      <c r="BL1969" s="21">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20.100000000000001" customHeight="1">
      <c r="C1970" s="32">
        <v>70403005</v>
      </c>
      <c r="D1970" s="35" t="s">
        <v>573</v>
      </c>
      <c r="E1970" s="35" t="s">
        <v>574</v>
      </c>
      <c r="F1970" s="32">
        <v>1</v>
      </c>
      <c r="G1970" s="32">
        <v>60010500</v>
      </c>
      <c r="H1970" s="32">
        <v>0</v>
      </c>
      <c r="I1970" s="31">
        <v>0</v>
      </c>
      <c r="J1970" s="32">
        <v>1</v>
      </c>
      <c r="K1970" s="32">
        <v>0</v>
      </c>
      <c r="L1970" s="32">
        <v>0</v>
      </c>
      <c r="M1970" s="32">
        <v>0</v>
      </c>
      <c r="N1970" s="32">
        <v>0</v>
      </c>
      <c r="O1970" s="21">
        <v>2</v>
      </c>
      <c r="P1970" s="32">
        <v>2</v>
      </c>
      <c r="Q1970" s="32">
        <v>0.3</v>
      </c>
      <c r="R1970" s="32">
        <v>1</v>
      </c>
      <c r="S1970" s="19">
        <v>0</v>
      </c>
      <c r="T1970" s="31">
        <v>0</v>
      </c>
      <c r="U1970" s="21">
        <v>1</v>
      </c>
      <c r="V1970" s="32">
        <v>2</v>
      </c>
      <c r="W1970" s="32">
        <v>0</v>
      </c>
      <c r="X1970" s="32">
        <v>0</v>
      </c>
      <c r="Y1970" s="19">
        <v>0</v>
      </c>
      <c r="Z1970" s="32">
        <v>0</v>
      </c>
      <c r="AA1970" s="32">
        <v>0</v>
      </c>
      <c r="AB1970" s="32">
        <v>0</v>
      </c>
      <c r="AC1970" s="32">
        <v>0</v>
      </c>
      <c r="AD1970" s="21">
        <v>0</v>
      </c>
      <c r="AE1970" s="32">
        <v>0</v>
      </c>
      <c r="AF1970" s="21">
        <v>15</v>
      </c>
      <c r="AG1970" s="32">
        <v>0</v>
      </c>
      <c r="AH1970" s="32">
        <v>0</v>
      </c>
      <c r="AI1970" s="19">
        <v>2</v>
      </c>
      <c r="AJ1970" s="19">
        <v>0</v>
      </c>
      <c r="AK1970" s="19">
        <v>0</v>
      </c>
      <c r="AL1970" s="19">
        <v>0</v>
      </c>
      <c r="AM1970" s="32">
        <v>0</v>
      </c>
      <c r="AN1970" s="32">
        <v>0</v>
      </c>
      <c r="AO1970" s="32">
        <v>0</v>
      </c>
      <c r="AP1970" s="32">
        <v>0</v>
      </c>
      <c r="AQ1970" s="32">
        <v>1000</v>
      </c>
      <c r="AR1970" s="32">
        <v>0</v>
      </c>
      <c r="AS1970" s="32">
        <v>0</v>
      </c>
      <c r="AT1970" s="19">
        <v>90402005</v>
      </c>
      <c r="AU1970" s="32" t="s">
        <v>204</v>
      </c>
      <c r="AV1970" s="32"/>
      <c r="AW1970" s="35" t="s">
        <v>205</v>
      </c>
      <c r="AX1970" s="32" t="s">
        <v>354</v>
      </c>
      <c r="AY1970" s="32">
        <v>0</v>
      </c>
      <c r="AZ1970" s="32">
        <v>0</v>
      </c>
      <c r="BA1970" s="35" t="s">
        <v>206</v>
      </c>
      <c r="BB1970" s="35" t="s">
        <v>204</v>
      </c>
      <c r="BC1970" s="31">
        <v>0</v>
      </c>
      <c r="BD1970" s="31">
        <v>0</v>
      </c>
      <c r="BE1970" s="60" t="s">
        <v>804</v>
      </c>
      <c r="BF1970" s="60" t="s">
        <v>805</v>
      </c>
      <c r="BG1970" s="32">
        <v>0</v>
      </c>
      <c r="BH1970" s="21">
        <v>0</v>
      </c>
      <c r="BI1970" s="32">
        <v>0</v>
      </c>
      <c r="BJ1970" s="32">
        <v>0</v>
      </c>
      <c r="BK1970" s="32">
        <v>0</v>
      </c>
      <c r="BL1970" s="32">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19.5" customHeight="1">
      <c r="C1971" s="32">
        <v>70404001</v>
      </c>
      <c r="D1971" s="35" t="s">
        <v>766</v>
      </c>
      <c r="E1971" s="35" t="s">
        <v>767</v>
      </c>
      <c r="F1971" s="32">
        <v>1</v>
      </c>
      <c r="G1971" s="32">
        <v>60010300</v>
      </c>
      <c r="H1971" s="32">
        <v>0</v>
      </c>
      <c r="I1971" s="31">
        <v>0</v>
      </c>
      <c r="J1971" s="32">
        <v>1</v>
      </c>
      <c r="K1971" s="32">
        <v>0</v>
      </c>
      <c r="L1971" s="32">
        <v>0</v>
      </c>
      <c r="M1971" s="32">
        <v>0</v>
      </c>
      <c r="N1971" s="32">
        <v>0</v>
      </c>
      <c r="O1971" s="21">
        <v>2</v>
      </c>
      <c r="P1971" s="32">
        <v>0</v>
      </c>
      <c r="Q1971" s="32">
        <v>0</v>
      </c>
      <c r="R1971" s="32">
        <v>0</v>
      </c>
      <c r="S1971" s="19">
        <v>0</v>
      </c>
      <c r="T1971" s="31">
        <v>0</v>
      </c>
      <c r="U1971" s="21">
        <v>1</v>
      </c>
      <c r="V1971" s="32">
        <v>2</v>
      </c>
      <c r="W1971" s="32">
        <v>0</v>
      </c>
      <c r="X1971" s="32">
        <v>3</v>
      </c>
      <c r="Y1971" s="19">
        <v>0</v>
      </c>
      <c r="Z1971" s="32">
        <v>0</v>
      </c>
      <c r="AA1971" s="32">
        <v>0</v>
      </c>
      <c r="AB1971" s="32">
        <v>0</v>
      </c>
      <c r="AC1971" s="32">
        <v>0</v>
      </c>
      <c r="AD1971" s="21">
        <v>0</v>
      </c>
      <c r="AE1971" s="32">
        <v>0</v>
      </c>
      <c r="AF1971" s="32">
        <v>20</v>
      </c>
      <c r="AG1971" s="32">
        <v>1</v>
      </c>
      <c r="AH1971" s="32">
        <v>1</v>
      </c>
      <c r="AI1971" s="19">
        <v>2</v>
      </c>
      <c r="AJ1971" s="19">
        <v>2</v>
      </c>
      <c r="AK1971" s="19">
        <v>0</v>
      </c>
      <c r="AL1971" s="19">
        <v>1.5</v>
      </c>
      <c r="AM1971" s="32">
        <v>0</v>
      </c>
      <c r="AN1971" s="32">
        <v>0</v>
      </c>
      <c r="AO1971" s="32">
        <v>0</v>
      </c>
      <c r="AP1971" s="32">
        <v>1</v>
      </c>
      <c r="AQ1971" s="32">
        <v>30000</v>
      </c>
      <c r="AR1971" s="32">
        <v>0</v>
      </c>
      <c r="AS1971" s="32">
        <v>4</v>
      </c>
      <c r="AT1971" s="19">
        <v>0</v>
      </c>
      <c r="AU1971" s="21" t="s">
        <v>665</v>
      </c>
      <c r="AV1971" s="21"/>
      <c r="AW1971" s="35" t="s">
        <v>205</v>
      </c>
      <c r="AX1971" s="32" t="s">
        <v>551</v>
      </c>
      <c r="AY1971" s="32">
        <v>10003002</v>
      </c>
      <c r="AZ1971" s="32">
        <v>70106005</v>
      </c>
      <c r="BA1971" s="35" t="s">
        <v>592</v>
      </c>
      <c r="BB1971" s="35">
        <v>0</v>
      </c>
      <c r="BC1971" s="31">
        <v>0</v>
      </c>
      <c r="BD1971" s="31">
        <v>0</v>
      </c>
      <c r="BE1971" s="60" t="s">
        <v>1071</v>
      </c>
      <c r="BF1971" s="60" t="s">
        <v>1072</v>
      </c>
      <c r="BG1971" s="32">
        <v>0</v>
      </c>
      <c r="BH1971" s="21">
        <v>0</v>
      </c>
      <c r="BI1971" s="32">
        <v>0</v>
      </c>
      <c r="BJ1971" s="32">
        <v>0</v>
      </c>
      <c r="BK1971" s="32">
        <v>0</v>
      </c>
      <c r="BL1971" s="32">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70404002</v>
      </c>
      <c r="D1972" s="30" t="s">
        <v>1073</v>
      </c>
      <c r="E1972" s="30" t="s">
        <v>1074</v>
      </c>
      <c r="F1972" s="32">
        <v>1</v>
      </c>
      <c r="G1972" s="21">
        <v>60010100</v>
      </c>
      <c r="H1972" s="32">
        <v>0</v>
      </c>
      <c r="I1972" s="31">
        <v>0</v>
      </c>
      <c r="J1972" s="32">
        <v>1</v>
      </c>
      <c r="K1972" s="32">
        <v>0</v>
      </c>
      <c r="L1972" s="32">
        <v>0</v>
      </c>
      <c r="M1972" s="21">
        <v>0</v>
      </c>
      <c r="N1972" s="21">
        <v>0</v>
      </c>
      <c r="O1972" s="21">
        <v>2</v>
      </c>
      <c r="P1972" s="21">
        <v>1</v>
      </c>
      <c r="Q1972" s="21">
        <v>0.3</v>
      </c>
      <c r="R1972" s="21">
        <v>0</v>
      </c>
      <c r="S1972" s="19">
        <v>0</v>
      </c>
      <c r="T1972" s="21">
        <v>0</v>
      </c>
      <c r="U1972" s="21">
        <v>1</v>
      </c>
      <c r="V1972" s="21">
        <v>2</v>
      </c>
      <c r="W1972" s="21">
        <v>0</v>
      </c>
      <c r="X1972" s="21">
        <v>2.5</v>
      </c>
      <c r="Y1972" s="19">
        <v>0</v>
      </c>
      <c r="Z1972" s="21">
        <v>0</v>
      </c>
      <c r="AA1972" s="21">
        <v>1</v>
      </c>
      <c r="AB1972" s="21">
        <v>0</v>
      </c>
      <c r="AC1972" s="21">
        <v>0</v>
      </c>
      <c r="AD1972" s="21">
        <v>0</v>
      </c>
      <c r="AE1972" s="21">
        <v>0</v>
      </c>
      <c r="AF1972" s="21">
        <v>12</v>
      </c>
      <c r="AG1972" s="21">
        <v>1</v>
      </c>
      <c r="AH1972" s="21">
        <v>3</v>
      </c>
      <c r="AI1972" s="19">
        <v>4</v>
      </c>
      <c r="AJ1972" s="19">
        <v>1</v>
      </c>
      <c r="AK1972" s="19">
        <v>0</v>
      </c>
      <c r="AL1972" s="19">
        <v>1.5</v>
      </c>
      <c r="AM1972" s="21">
        <v>0</v>
      </c>
      <c r="AN1972" s="21">
        <v>0</v>
      </c>
      <c r="AO1972" s="21">
        <v>0</v>
      </c>
      <c r="AP1972" s="21">
        <v>2.5</v>
      </c>
      <c r="AQ1972" s="21">
        <v>5000</v>
      </c>
      <c r="AR1972" s="21">
        <v>2</v>
      </c>
      <c r="AS1972" s="21">
        <v>0</v>
      </c>
      <c r="AT1972" s="19">
        <v>0</v>
      </c>
      <c r="AU1972" s="21">
        <v>0</v>
      </c>
      <c r="AV1972" s="21"/>
      <c r="AW1972" s="35" t="s">
        <v>623</v>
      </c>
      <c r="AX1972" s="21" t="s">
        <v>540</v>
      </c>
      <c r="AY1972" s="32">
        <v>10000007</v>
      </c>
      <c r="AZ1972" s="32">
        <v>70404002</v>
      </c>
      <c r="BA1972" s="30" t="s">
        <v>206</v>
      </c>
      <c r="BB1972" s="21" t="s">
        <v>4539</v>
      </c>
      <c r="BC1972" s="31">
        <v>0</v>
      </c>
      <c r="BD1972" s="31">
        <v>0</v>
      </c>
      <c r="BE1972" s="33" t="s">
        <v>4540</v>
      </c>
      <c r="BF1972" s="33" t="s">
        <v>4541</v>
      </c>
      <c r="BG1972" s="21">
        <v>0</v>
      </c>
      <c r="BH1972" s="21">
        <v>0</v>
      </c>
      <c r="BI1972" s="21">
        <v>0</v>
      </c>
      <c r="BJ1972" s="21">
        <v>0</v>
      </c>
      <c r="BK1972" s="21">
        <v>0</v>
      </c>
      <c r="BL1972" s="21">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70404003</v>
      </c>
      <c r="D1973" s="30" t="s">
        <v>799</v>
      </c>
      <c r="E1973" s="30" t="s">
        <v>800</v>
      </c>
      <c r="F1973" s="21">
        <v>1</v>
      </c>
      <c r="G1973" s="21">
        <v>60010300</v>
      </c>
      <c r="H1973" s="32">
        <v>0</v>
      </c>
      <c r="I1973" s="31">
        <v>0</v>
      </c>
      <c r="J1973" s="32">
        <v>1</v>
      </c>
      <c r="K1973" s="32">
        <v>0</v>
      </c>
      <c r="L1973" s="32">
        <v>0</v>
      </c>
      <c r="M1973" s="21">
        <v>0</v>
      </c>
      <c r="N1973" s="21">
        <v>0</v>
      </c>
      <c r="O1973" s="21">
        <v>2</v>
      </c>
      <c r="P1973" s="21">
        <v>2</v>
      </c>
      <c r="Q1973" s="21">
        <v>0.5</v>
      </c>
      <c r="R1973" s="21">
        <v>1</v>
      </c>
      <c r="S1973" s="19">
        <v>0</v>
      </c>
      <c r="T1973" s="21">
        <v>0</v>
      </c>
      <c r="U1973" s="21">
        <v>1</v>
      </c>
      <c r="V1973" s="21">
        <v>2</v>
      </c>
      <c r="W1973" s="21">
        <v>0</v>
      </c>
      <c r="X1973" s="21">
        <v>0</v>
      </c>
      <c r="Y1973" s="19">
        <v>0</v>
      </c>
      <c r="Z1973" s="21">
        <v>0</v>
      </c>
      <c r="AA1973" s="21">
        <v>0</v>
      </c>
      <c r="AB1973" s="21">
        <v>0</v>
      </c>
      <c r="AC1973" s="21">
        <v>0</v>
      </c>
      <c r="AD1973" s="21">
        <v>0</v>
      </c>
      <c r="AE1973" s="21">
        <v>0</v>
      </c>
      <c r="AF1973" s="21">
        <v>99999</v>
      </c>
      <c r="AG1973" s="21">
        <v>0</v>
      </c>
      <c r="AH1973" s="21">
        <v>0</v>
      </c>
      <c r="AI1973" s="19">
        <v>2</v>
      </c>
      <c r="AJ1973" s="19">
        <v>2</v>
      </c>
      <c r="AK1973" s="19">
        <v>0</v>
      </c>
      <c r="AL1973" s="19">
        <v>1.5</v>
      </c>
      <c r="AM1973" s="21">
        <v>0</v>
      </c>
      <c r="AN1973" s="21">
        <v>0</v>
      </c>
      <c r="AO1973" s="21">
        <v>0</v>
      </c>
      <c r="AP1973" s="21">
        <v>1</v>
      </c>
      <c r="AQ1973" s="21">
        <v>3000</v>
      </c>
      <c r="AR1973" s="21">
        <v>0.5</v>
      </c>
      <c r="AS1973" s="21">
        <v>0</v>
      </c>
      <c r="AT1973" s="19">
        <v>0</v>
      </c>
      <c r="AU1973" s="21" t="s">
        <v>204</v>
      </c>
      <c r="AV1973" s="21"/>
      <c r="AW1973" s="35" t="s">
        <v>293</v>
      </c>
      <c r="AX1973" s="21" t="s">
        <v>551</v>
      </c>
      <c r="AY1973" s="32">
        <v>0</v>
      </c>
      <c r="AZ1973" s="32">
        <v>0</v>
      </c>
      <c r="BA1973" s="30" t="s">
        <v>534</v>
      </c>
      <c r="BB1973" s="21" t="s">
        <v>4542</v>
      </c>
      <c r="BC1973" s="31">
        <v>0</v>
      </c>
      <c r="BD1973" s="31">
        <v>0</v>
      </c>
      <c r="BE1973" s="33" t="s">
        <v>870</v>
      </c>
      <c r="BF1973" s="33" t="s">
        <v>871</v>
      </c>
      <c r="BG1973" s="21">
        <v>0</v>
      </c>
      <c r="BH1973" s="21">
        <v>0</v>
      </c>
      <c r="BI1973" s="21">
        <v>0</v>
      </c>
      <c r="BJ1973" s="21">
        <v>0</v>
      </c>
      <c r="BK1973" s="21">
        <v>0</v>
      </c>
      <c r="BL1973" s="21">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20.100000000000001" customHeight="1">
      <c r="C1974" s="32">
        <v>70404004</v>
      </c>
      <c r="D1974" s="35" t="s">
        <v>544</v>
      </c>
      <c r="E1974" s="35" t="s">
        <v>545</v>
      </c>
      <c r="F1974" s="32">
        <v>1</v>
      </c>
      <c r="G1974" s="32">
        <v>60010500</v>
      </c>
      <c r="H1974" s="32">
        <v>0</v>
      </c>
      <c r="I1974" s="31">
        <v>0</v>
      </c>
      <c r="J1974" s="32">
        <v>1</v>
      </c>
      <c r="K1974" s="32">
        <v>0</v>
      </c>
      <c r="L1974" s="32">
        <v>0</v>
      </c>
      <c r="M1974" s="32">
        <v>0</v>
      </c>
      <c r="N1974" s="32">
        <v>0</v>
      </c>
      <c r="O1974" s="21">
        <v>2</v>
      </c>
      <c r="P1974" s="32">
        <v>2</v>
      </c>
      <c r="Q1974" s="32">
        <v>0.6</v>
      </c>
      <c r="R1974" s="32">
        <v>0</v>
      </c>
      <c r="S1974" s="19">
        <v>0</v>
      </c>
      <c r="T1974" s="31">
        <v>0</v>
      </c>
      <c r="U1974" s="21">
        <v>1</v>
      </c>
      <c r="V1974" s="32">
        <v>2</v>
      </c>
      <c r="W1974" s="32">
        <v>0</v>
      </c>
      <c r="X1974" s="32">
        <v>0</v>
      </c>
      <c r="Y1974" s="19">
        <v>0</v>
      </c>
      <c r="Z1974" s="32">
        <v>0</v>
      </c>
      <c r="AA1974" s="32">
        <v>0</v>
      </c>
      <c r="AB1974" s="32">
        <v>0</v>
      </c>
      <c r="AC1974" s="32">
        <v>0</v>
      </c>
      <c r="AD1974" s="21">
        <v>0</v>
      </c>
      <c r="AE1974" s="32">
        <v>0</v>
      </c>
      <c r="AF1974" s="32">
        <v>20</v>
      </c>
      <c r="AG1974" s="32">
        <v>0</v>
      </c>
      <c r="AH1974" s="32">
        <v>0</v>
      </c>
      <c r="AI1974" s="19">
        <v>2</v>
      </c>
      <c r="AJ1974" s="19">
        <v>0</v>
      </c>
      <c r="AK1974" s="19">
        <v>0</v>
      </c>
      <c r="AL1974" s="19">
        <v>0</v>
      </c>
      <c r="AM1974" s="32">
        <v>0</v>
      </c>
      <c r="AN1974" s="32">
        <v>0</v>
      </c>
      <c r="AO1974" s="32">
        <v>0</v>
      </c>
      <c r="AP1974" s="32">
        <v>0</v>
      </c>
      <c r="AQ1974" s="32">
        <v>1000</v>
      </c>
      <c r="AR1974" s="32">
        <v>0</v>
      </c>
      <c r="AS1974" s="32">
        <v>0</v>
      </c>
      <c r="AT1974" s="19">
        <v>90401004</v>
      </c>
      <c r="AU1974" s="32" t="s">
        <v>204</v>
      </c>
      <c r="AV1974" s="32"/>
      <c r="AW1974" s="35" t="s">
        <v>204</v>
      </c>
      <c r="AX1974" s="32" t="s">
        <v>354</v>
      </c>
      <c r="AY1974" s="32">
        <v>0</v>
      </c>
      <c r="AZ1974" s="32">
        <v>40000003</v>
      </c>
      <c r="BA1974" s="35" t="s">
        <v>206</v>
      </c>
      <c r="BB1974" s="35" t="s">
        <v>204</v>
      </c>
      <c r="BC1974" s="31">
        <v>0</v>
      </c>
      <c r="BD1974" s="31">
        <v>0</v>
      </c>
      <c r="BE1974" s="60" t="s">
        <v>856</v>
      </c>
      <c r="BF1974" s="60" t="s">
        <v>857</v>
      </c>
      <c r="BG1974" s="32">
        <v>0</v>
      </c>
      <c r="BH1974" s="21">
        <v>0</v>
      </c>
      <c r="BI1974" s="32">
        <v>0</v>
      </c>
      <c r="BJ1974" s="32">
        <v>0</v>
      </c>
      <c r="BK1974" s="32">
        <v>0</v>
      </c>
      <c r="BL1974" s="32">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20.100000000000001" customHeight="1">
      <c r="C1975" s="32">
        <v>70404005</v>
      </c>
      <c r="D1975" s="35" t="s">
        <v>573</v>
      </c>
      <c r="E1975" s="35" t="s">
        <v>574</v>
      </c>
      <c r="F1975" s="32">
        <v>1</v>
      </c>
      <c r="G1975" s="32">
        <v>60010500</v>
      </c>
      <c r="H1975" s="32">
        <v>0</v>
      </c>
      <c r="I1975" s="31">
        <v>0</v>
      </c>
      <c r="J1975" s="32">
        <v>1</v>
      </c>
      <c r="K1975" s="32">
        <v>0</v>
      </c>
      <c r="L1975" s="32">
        <v>0</v>
      </c>
      <c r="M1975" s="32">
        <v>0</v>
      </c>
      <c r="N1975" s="32">
        <v>0</v>
      </c>
      <c r="O1975" s="21">
        <v>2</v>
      </c>
      <c r="P1975" s="32">
        <v>2</v>
      </c>
      <c r="Q1975" s="32">
        <v>0.3</v>
      </c>
      <c r="R1975" s="32">
        <v>0</v>
      </c>
      <c r="S1975" s="19">
        <v>0</v>
      </c>
      <c r="T1975" s="31">
        <v>0</v>
      </c>
      <c r="U1975" s="21">
        <v>1</v>
      </c>
      <c r="V1975" s="32">
        <v>2</v>
      </c>
      <c r="W1975" s="32">
        <v>0</v>
      </c>
      <c r="X1975" s="32">
        <v>0</v>
      </c>
      <c r="Y1975" s="19">
        <v>0</v>
      </c>
      <c r="Z1975" s="32">
        <v>0</v>
      </c>
      <c r="AA1975" s="32">
        <v>0</v>
      </c>
      <c r="AB1975" s="32">
        <v>0</v>
      </c>
      <c r="AC1975" s="32">
        <v>0</v>
      </c>
      <c r="AD1975" s="21">
        <v>0</v>
      </c>
      <c r="AE1975" s="32">
        <v>0</v>
      </c>
      <c r="AF1975" s="21">
        <v>15</v>
      </c>
      <c r="AG1975" s="32">
        <v>0</v>
      </c>
      <c r="AH1975" s="32">
        <v>0</v>
      </c>
      <c r="AI1975" s="19">
        <v>2</v>
      </c>
      <c r="AJ1975" s="19">
        <v>0</v>
      </c>
      <c r="AK1975" s="19">
        <v>0</v>
      </c>
      <c r="AL1975" s="19">
        <v>0</v>
      </c>
      <c r="AM1975" s="32">
        <v>0</v>
      </c>
      <c r="AN1975" s="32">
        <v>0</v>
      </c>
      <c r="AO1975" s="32">
        <v>0</v>
      </c>
      <c r="AP1975" s="32">
        <v>0</v>
      </c>
      <c r="AQ1975" s="32">
        <v>1000</v>
      </c>
      <c r="AR1975" s="32">
        <v>0</v>
      </c>
      <c r="AS1975" s="32">
        <v>0</v>
      </c>
      <c r="AT1975" s="19">
        <v>90402005</v>
      </c>
      <c r="AU1975" s="32" t="s">
        <v>204</v>
      </c>
      <c r="AV1975" s="32"/>
      <c r="AW1975" s="35" t="s">
        <v>205</v>
      </c>
      <c r="AX1975" s="32" t="s">
        <v>354</v>
      </c>
      <c r="AY1975" s="32">
        <v>0</v>
      </c>
      <c r="AZ1975" s="32">
        <v>0</v>
      </c>
      <c r="BA1975" s="35" t="s">
        <v>206</v>
      </c>
      <c r="BB1975" s="35" t="s">
        <v>204</v>
      </c>
      <c r="BC1975" s="31">
        <v>0</v>
      </c>
      <c r="BD1975" s="31">
        <v>0</v>
      </c>
      <c r="BE1975" s="60" t="s">
        <v>761</v>
      </c>
      <c r="BF1975" s="60" t="s">
        <v>762</v>
      </c>
      <c r="BG1975" s="32">
        <v>0</v>
      </c>
      <c r="BH1975" s="21">
        <v>0</v>
      </c>
      <c r="BI1975" s="32">
        <v>0</v>
      </c>
      <c r="BJ1975" s="32">
        <v>0</v>
      </c>
      <c r="BK1975" s="32">
        <v>0</v>
      </c>
      <c r="BL1975" s="32">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20.100000000000001" customHeight="1">
      <c r="C1976" s="32">
        <v>70404006</v>
      </c>
      <c r="D1976" s="30" t="s">
        <v>1664</v>
      </c>
      <c r="E1976" s="30" t="s">
        <v>1665</v>
      </c>
      <c r="F1976" s="21">
        <v>2</v>
      </c>
      <c r="G1976" s="21">
        <v>61012301</v>
      </c>
      <c r="H1976" s="21">
        <v>0</v>
      </c>
      <c r="I1976" s="31">
        <v>0</v>
      </c>
      <c r="J1976" s="32">
        <v>1</v>
      </c>
      <c r="K1976" s="32">
        <v>0</v>
      </c>
      <c r="L1976" s="32">
        <v>0</v>
      </c>
      <c r="M1976" s="21">
        <v>0</v>
      </c>
      <c r="N1976" s="21">
        <v>0</v>
      </c>
      <c r="O1976" s="21">
        <v>2</v>
      </c>
      <c r="P1976" s="21">
        <v>1</v>
      </c>
      <c r="Q1976" s="21">
        <v>0.5</v>
      </c>
      <c r="R1976" s="21">
        <v>0</v>
      </c>
      <c r="S1976" s="19">
        <v>0</v>
      </c>
      <c r="T1976" s="21">
        <v>0</v>
      </c>
      <c r="U1976" s="21">
        <v>1</v>
      </c>
      <c r="V1976" s="21">
        <v>2</v>
      </c>
      <c r="W1976" s="21">
        <v>0</v>
      </c>
      <c r="X1976" s="21">
        <v>3</v>
      </c>
      <c r="Y1976" s="19">
        <v>0</v>
      </c>
      <c r="Z1976" s="21">
        <v>0</v>
      </c>
      <c r="AA1976" s="21">
        <v>1</v>
      </c>
      <c r="AB1976" s="21">
        <v>0</v>
      </c>
      <c r="AC1976" s="21">
        <v>0</v>
      </c>
      <c r="AD1976" s="21">
        <v>0</v>
      </c>
      <c r="AE1976" s="21">
        <v>0</v>
      </c>
      <c r="AF1976" s="21">
        <v>12</v>
      </c>
      <c r="AG1976" s="21">
        <v>2</v>
      </c>
      <c r="AH1976" s="21" t="s">
        <v>219</v>
      </c>
      <c r="AI1976" s="19">
        <v>0</v>
      </c>
      <c r="AJ1976" s="19">
        <v>2</v>
      </c>
      <c r="AK1976" s="19">
        <v>0</v>
      </c>
      <c r="AL1976" s="19">
        <v>1.5</v>
      </c>
      <c r="AM1976" s="21">
        <v>0</v>
      </c>
      <c r="AN1976" s="21">
        <v>0</v>
      </c>
      <c r="AO1976" s="21">
        <v>0</v>
      </c>
      <c r="AP1976" s="21">
        <v>1.5</v>
      </c>
      <c r="AQ1976" s="21">
        <v>1200</v>
      </c>
      <c r="AR1976" s="21">
        <v>1</v>
      </c>
      <c r="AS1976" s="21">
        <v>30</v>
      </c>
      <c r="AT1976" s="19">
        <v>0</v>
      </c>
      <c r="AU1976" s="21" t="s">
        <v>204</v>
      </c>
      <c r="AV1976" s="21"/>
      <c r="AW1976" s="30" t="s">
        <v>262</v>
      </c>
      <c r="AX1976" s="21" t="s">
        <v>221</v>
      </c>
      <c r="AY1976" s="32">
        <v>10000011</v>
      </c>
      <c r="AZ1976" s="32">
        <v>70404001</v>
      </c>
      <c r="BA1976" s="30" t="s">
        <v>222</v>
      </c>
      <c r="BB1976" s="21">
        <v>0</v>
      </c>
      <c r="BC1976" s="31">
        <v>0</v>
      </c>
      <c r="BD1976" s="31">
        <v>0</v>
      </c>
      <c r="BE1976" s="33" t="s">
        <v>4543</v>
      </c>
      <c r="BF1976" s="33" t="s">
        <v>4544</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19.5" customHeight="1">
      <c r="C1977" s="32">
        <v>70405001</v>
      </c>
      <c r="D1977" s="30" t="s">
        <v>606</v>
      </c>
      <c r="E1977" s="30" t="s">
        <v>607</v>
      </c>
      <c r="F1977" s="21">
        <v>1</v>
      </c>
      <c r="G1977" s="21">
        <v>60010300</v>
      </c>
      <c r="H1977" s="32">
        <v>0</v>
      </c>
      <c r="I1977" s="31">
        <v>0</v>
      </c>
      <c r="J1977" s="32">
        <v>1</v>
      </c>
      <c r="K1977" s="32">
        <v>0</v>
      </c>
      <c r="L1977" s="32">
        <v>0</v>
      </c>
      <c r="M1977" s="21">
        <v>0</v>
      </c>
      <c r="N1977" s="21">
        <v>0</v>
      </c>
      <c r="O1977" s="21">
        <v>2</v>
      </c>
      <c r="P1977" s="21">
        <v>2</v>
      </c>
      <c r="Q1977" s="21">
        <v>0.8</v>
      </c>
      <c r="R1977" s="21">
        <v>0</v>
      </c>
      <c r="S1977" s="19">
        <v>0</v>
      </c>
      <c r="T1977" s="21">
        <v>0</v>
      </c>
      <c r="U1977" s="21">
        <v>1</v>
      </c>
      <c r="V1977" s="21">
        <v>2</v>
      </c>
      <c r="W1977" s="21">
        <v>0</v>
      </c>
      <c r="X1977" s="21">
        <v>0</v>
      </c>
      <c r="Y1977" s="19">
        <v>0</v>
      </c>
      <c r="Z1977" s="21">
        <v>0</v>
      </c>
      <c r="AA1977" s="21">
        <v>0</v>
      </c>
      <c r="AB1977" s="21">
        <v>0</v>
      </c>
      <c r="AC1977" s="21">
        <v>0</v>
      </c>
      <c r="AD1977" s="21">
        <v>0</v>
      </c>
      <c r="AE1977" s="21">
        <v>0</v>
      </c>
      <c r="AF1977" s="21">
        <v>30</v>
      </c>
      <c r="AG1977" s="21">
        <v>0</v>
      </c>
      <c r="AH1977" s="21">
        <v>0</v>
      </c>
      <c r="AI1977" s="19">
        <v>2</v>
      </c>
      <c r="AJ1977" s="19">
        <v>2</v>
      </c>
      <c r="AK1977" s="19">
        <v>0</v>
      </c>
      <c r="AL1977" s="19">
        <v>1.5</v>
      </c>
      <c r="AM1977" s="21">
        <v>0</v>
      </c>
      <c r="AN1977" s="21">
        <v>0</v>
      </c>
      <c r="AO1977" s="21">
        <v>0</v>
      </c>
      <c r="AP1977" s="21">
        <v>1</v>
      </c>
      <c r="AQ1977" s="21">
        <v>3000</v>
      </c>
      <c r="AR1977" s="21">
        <v>0.5</v>
      </c>
      <c r="AS1977" s="21">
        <v>0</v>
      </c>
      <c r="AT1977" s="19">
        <v>0</v>
      </c>
      <c r="AU1977" s="21" t="s">
        <v>204</v>
      </c>
      <c r="AV1977" s="21"/>
      <c r="AW1977" s="35" t="s">
        <v>205</v>
      </c>
      <c r="AX1977" s="21" t="s">
        <v>551</v>
      </c>
      <c r="AY1977" s="32">
        <v>0</v>
      </c>
      <c r="AZ1977" s="32">
        <v>0</v>
      </c>
      <c r="BA1977" s="30" t="s">
        <v>534</v>
      </c>
      <c r="BB1977" s="21" t="s">
        <v>844</v>
      </c>
      <c r="BC1977" s="31">
        <v>0</v>
      </c>
      <c r="BD1977" s="31">
        <v>0</v>
      </c>
      <c r="BE1977" s="33" t="s">
        <v>4545</v>
      </c>
      <c r="BF1977" s="33" t="s">
        <v>4546</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19.5" customHeight="1">
      <c r="C1978" s="32">
        <v>70405002</v>
      </c>
      <c r="D1978" s="30" t="s">
        <v>1107</v>
      </c>
      <c r="E1978" s="30" t="s">
        <v>1108</v>
      </c>
      <c r="F1978" s="32">
        <v>1</v>
      </c>
      <c r="G1978" s="21">
        <v>60010100</v>
      </c>
      <c r="H1978" s="32">
        <v>0</v>
      </c>
      <c r="I1978" s="31">
        <v>0</v>
      </c>
      <c r="J1978" s="32">
        <v>1</v>
      </c>
      <c r="K1978" s="32">
        <v>0</v>
      </c>
      <c r="L1978" s="32">
        <v>0</v>
      </c>
      <c r="M1978" s="21">
        <v>0</v>
      </c>
      <c r="N1978" s="21">
        <v>0</v>
      </c>
      <c r="O1978" s="21">
        <v>2</v>
      </c>
      <c r="P1978" s="21">
        <v>1</v>
      </c>
      <c r="Q1978" s="21">
        <v>0.3</v>
      </c>
      <c r="R1978" s="21">
        <v>0</v>
      </c>
      <c r="S1978" s="19">
        <v>0</v>
      </c>
      <c r="T1978" s="21">
        <v>0</v>
      </c>
      <c r="U1978" s="21">
        <v>1</v>
      </c>
      <c r="V1978" s="21">
        <v>2</v>
      </c>
      <c r="W1978" s="21">
        <v>0</v>
      </c>
      <c r="X1978" s="21">
        <v>3</v>
      </c>
      <c r="Y1978" s="19">
        <v>0</v>
      </c>
      <c r="Z1978" s="21">
        <v>0</v>
      </c>
      <c r="AA1978" s="21">
        <v>1</v>
      </c>
      <c r="AB1978" s="21">
        <v>0</v>
      </c>
      <c r="AC1978" s="21">
        <v>0</v>
      </c>
      <c r="AD1978" s="21">
        <v>0</v>
      </c>
      <c r="AE1978" s="21">
        <v>0</v>
      </c>
      <c r="AF1978" s="21">
        <v>15</v>
      </c>
      <c r="AG1978" s="21">
        <v>1</v>
      </c>
      <c r="AH1978" s="21" t="s">
        <v>613</v>
      </c>
      <c r="AI1978" s="19">
        <v>0</v>
      </c>
      <c r="AJ1978" s="19">
        <v>1</v>
      </c>
      <c r="AK1978" s="19">
        <v>0</v>
      </c>
      <c r="AL1978" s="19">
        <v>3</v>
      </c>
      <c r="AM1978" s="21">
        <v>0</v>
      </c>
      <c r="AN1978" s="21">
        <v>0</v>
      </c>
      <c r="AO1978" s="21">
        <v>0</v>
      </c>
      <c r="AP1978" s="21">
        <v>2.5</v>
      </c>
      <c r="AQ1978" s="21">
        <v>5000</v>
      </c>
      <c r="AR1978" s="21">
        <v>2</v>
      </c>
      <c r="AS1978" s="21">
        <v>0</v>
      </c>
      <c r="AT1978" s="19">
        <v>0</v>
      </c>
      <c r="AU1978" s="21">
        <v>80001030</v>
      </c>
      <c r="AV1978" s="21"/>
      <c r="AW1978" s="35" t="s">
        <v>262</v>
      </c>
      <c r="AX1978" s="21" t="s">
        <v>540</v>
      </c>
      <c r="AY1978" s="32">
        <v>10000007</v>
      </c>
      <c r="AZ1978" s="32">
        <v>70405001</v>
      </c>
      <c r="BA1978" s="30" t="s">
        <v>206</v>
      </c>
      <c r="BB1978" s="21">
        <v>0</v>
      </c>
      <c r="BC1978" s="31">
        <v>0</v>
      </c>
      <c r="BD1978" s="31">
        <v>0</v>
      </c>
      <c r="BE1978" s="33" t="s">
        <v>1109</v>
      </c>
      <c r="BF1978" s="33" t="s">
        <v>1110</v>
      </c>
      <c r="BG1978" s="21">
        <v>0</v>
      </c>
      <c r="BH1978" s="21">
        <v>0</v>
      </c>
      <c r="BI1978" s="21">
        <v>0</v>
      </c>
      <c r="BJ1978" s="21">
        <v>0</v>
      </c>
      <c r="BK1978" s="21">
        <v>0</v>
      </c>
      <c r="BL1978" s="21">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70405003</v>
      </c>
      <c r="D1979" s="30" t="s">
        <v>4449</v>
      </c>
      <c r="E1979" s="30" t="s">
        <v>1272</v>
      </c>
      <c r="F1979" s="32">
        <v>1</v>
      </c>
      <c r="G1979" s="21">
        <v>60010100</v>
      </c>
      <c r="H1979" s="32">
        <v>0</v>
      </c>
      <c r="I1979" s="31">
        <v>0</v>
      </c>
      <c r="J1979" s="32">
        <v>1</v>
      </c>
      <c r="K1979" s="32">
        <v>0</v>
      </c>
      <c r="L1979" s="32">
        <v>0</v>
      </c>
      <c r="M1979" s="21">
        <v>0</v>
      </c>
      <c r="N1979" s="21">
        <v>0</v>
      </c>
      <c r="O1979" s="21">
        <v>2</v>
      </c>
      <c r="P1979" s="21">
        <v>1</v>
      </c>
      <c r="Q1979" s="21">
        <v>0.3</v>
      </c>
      <c r="R1979" s="21">
        <v>0</v>
      </c>
      <c r="S1979" s="19">
        <v>0</v>
      </c>
      <c r="T1979" s="21">
        <v>0</v>
      </c>
      <c r="U1979" s="21">
        <v>1</v>
      </c>
      <c r="V1979" s="21">
        <v>2</v>
      </c>
      <c r="W1979" s="21">
        <v>0</v>
      </c>
      <c r="X1979" s="21">
        <v>2.5</v>
      </c>
      <c r="Y1979" s="19">
        <v>0</v>
      </c>
      <c r="Z1979" s="21">
        <v>0</v>
      </c>
      <c r="AA1979" s="21">
        <v>1</v>
      </c>
      <c r="AB1979" s="21">
        <v>0</v>
      </c>
      <c r="AC1979" s="21">
        <v>0</v>
      </c>
      <c r="AD1979" s="21">
        <v>0</v>
      </c>
      <c r="AE1979" s="21">
        <v>0</v>
      </c>
      <c r="AF1979" s="21">
        <v>15</v>
      </c>
      <c r="AG1979" s="21">
        <v>1</v>
      </c>
      <c r="AH1979" s="21">
        <v>3</v>
      </c>
      <c r="AI1979" s="19">
        <v>4</v>
      </c>
      <c r="AJ1979" s="19">
        <v>1</v>
      </c>
      <c r="AK1979" s="19">
        <v>0</v>
      </c>
      <c r="AL1979" s="19">
        <v>1.5</v>
      </c>
      <c r="AM1979" s="21">
        <v>0</v>
      </c>
      <c r="AN1979" s="21">
        <v>0</v>
      </c>
      <c r="AO1979" s="21">
        <v>0</v>
      </c>
      <c r="AP1979" s="21">
        <v>2.5</v>
      </c>
      <c r="AQ1979" s="21">
        <v>5000</v>
      </c>
      <c r="AR1979" s="21">
        <v>2</v>
      </c>
      <c r="AS1979" s="21">
        <v>0</v>
      </c>
      <c r="AT1979" s="19">
        <v>0</v>
      </c>
      <c r="AU1979" s="21">
        <v>80001030</v>
      </c>
      <c r="AV1979" s="21"/>
      <c r="AW1979" s="35" t="s">
        <v>262</v>
      </c>
      <c r="AX1979" s="21" t="s">
        <v>540</v>
      </c>
      <c r="AY1979" s="32">
        <v>10000007</v>
      </c>
      <c r="AZ1979" s="32">
        <v>70405002</v>
      </c>
      <c r="BA1979" s="30" t="s">
        <v>206</v>
      </c>
      <c r="BB1979" s="21" t="s">
        <v>4547</v>
      </c>
      <c r="BC1979" s="31">
        <v>0</v>
      </c>
      <c r="BD1979" s="31">
        <v>0</v>
      </c>
      <c r="BE1979" s="33" t="s">
        <v>1328</v>
      </c>
      <c r="BF1979" s="33" t="s">
        <v>1329</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20.100000000000001" customHeight="1">
      <c r="C1980" s="32">
        <v>70405004</v>
      </c>
      <c r="D1980" s="30" t="s">
        <v>1122</v>
      </c>
      <c r="E1980" s="30" t="s">
        <v>397</v>
      </c>
      <c r="F1980" s="32">
        <v>1</v>
      </c>
      <c r="G1980" s="21">
        <v>60010100</v>
      </c>
      <c r="H1980" s="32">
        <v>0</v>
      </c>
      <c r="I1980" s="31">
        <v>0</v>
      </c>
      <c r="J1980" s="32">
        <v>1</v>
      </c>
      <c r="K1980" s="32">
        <v>0</v>
      </c>
      <c r="L1980" s="32">
        <v>0</v>
      </c>
      <c r="M1980" s="21">
        <v>0</v>
      </c>
      <c r="N1980" s="21">
        <v>0</v>
      </c>
      <c r="O1980" s="21">
        <v>2</v>
      </c>
      <c r="P1980" s="21">
        <v>1</v>
      </c>
      <c r="Q1980" s="21">
        <v>1</v>
      </c>
      <c r="R1980" s="21">
        <v>0</v>
      </c>
      <c r="S1980" s="19">
        <v>0</v>
      </c>
      <c r="T1980" s="21">
        <v>0</v>
      </c>
      <c r="U1980" s="21">
        <v>1</v>
      </c>
      <c r="V1980" s="21">
        <v>2</v>
      </c>
      <c r="W1980" s="21">
        <v>0</v>
      </c>
      <c r="X1980" s="21">
        <v>3</v>
      </c>
      <c r="Y1980" s="19">
        <v>0</v>
      </c>
      <c r="Z1980" s="21">
        <v>0</v>
      </c>
      <c r="AA1980" s="21">
        <v>1</v>
      </c>
      <c r="AB1980" s="21">
        <v>0</v>
      </c>
      <c r="AC1980" s="21">
        <v>0</v>
      </c>
      <c r="AD1980" s="21">
        <v>0</v>
      </c>
      <c r="AE1980" s="21">
        <v>0</v>
      </c>
      <c r="AF1980" s="21">
        <v>6</v>
      </c>
      <c r="AG1980" s="21">
        <v>1</v>
      </c>
      <c r="AH1980" s="21">
        <v>3</v>
      </c>
      <c r="AI1980" s="19">
        <v>6</v>
      </c>
      <c r="AJ1980" s="19">
        <v>1</v>
      </c>
      <c r="AK1980" s="19">
        <v>0</v>
      </c>
      <c r="AL1980" s="19">
        <v>1.5</v>
      </c>
      <c r="AM1980" s="21">
        <v>0</v>
      </c>
      <c r="AN1980" s="21">
        <v>0</v>
      </c>
      <c r="AO1980" s="21">
        <v>0</v>
      </c>
      <c r="AP1980" s="21">
        <v>2.5</v>
      </c>
      <c r="AQ1980" s="21">
        <v>5000</v>
      </c>
      <c r="AR1980" s="21">
        <v>2</v>
      </c>
      <c r="AS1980" s="21">
        <v>0</v>
      </c>
      <c r="AT1980" s="19">
        <v>0</v>
      </c>
      <c r="AU1980" s="21">
        <v>80001030</v>
      </c>
      <c r="AV1980" s="21"/>
      <c r="AW1980" s="35" t="s">
        <v>262</v>
      </c>
      <c r="AX1980" s="21" t="s">
        <v>540</v>
      </c>
      <c r="AY1980" s="32">
        <v>10000007</v>
      </c>
      <c r="AZ1980" s="32">
        <v>70405003</v>
      </c>
      <c r="BA1980" s="30" t="s">
        <v>206</v>
      </c>
      <c r="BB1980" s="21" t="s">
        <v>4548</v>
      </c>
      <c r="BC1980" s="31">
        <v>0</v>
      </c>
      <c r="BD1980" s="31">
        <v>0</v>
      </c>
      <c r="BE1980" s="33" t="s">
        <v>4479</v>
      </c>
      <c r="BF1980" s="33" t="s">
        <v>4480</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70405005</v>
      </c>
      <c r="D1981" s="35" t="s">
        <v>573</v>
      </c>
      <c r="E1981" s="35" t="s">
        <v>574</v>
      </c>
      <c r="F1981" s="32">
        <v>1</v>
      </c>
      <c r="G1981" s="32">
        <v>60010500</v>
      </c>
      <c r="H1981" s="32">
        <v>0</v>
      </c>
      <c r="I1981" s="31">
        <v>0</v>
      </c>
      <c r="J1981" s="32">
        <v>1</v>
      </c>
      <c r="K1981" s="32">
        <v>0</v>
      </c>
      <c r="L1981" s="32">
        <v>0</v>
      </c>
      <c r="M1981" s="32">
        <v>0</v>
      </c>
      <c r="N1981" s="32">
        <v>0</v>
      </c>
      <c r="O1981" s="21">
        <v>2</v>
      </c>
      <c r="P1981" s="32">
        <v>2</v>
      </c>
      <c r="Q1981" s="32">
        <v>0.3</v>
      </c>
      <c r="R1981" s="32">
        <v>0</v>
      </c>
      <c r="S1981" s="19">
        <v>0</v>
      </c>
      <c r="T1981" s="31">
        <v>0</v>
      </c>
      <c r="U1981" s="21">
        <v>1</v>
      </c>
      <c r="V1981" s="32">
        <v>2</v>
      </c>
      <c r="W1981" s="32">
        <v>0</v>
      </c>
      <c r="X1981" s="32">
        <v>0</v>
      </c>
      <c r="Y1981" s="19">
        <v>0</v>
      </c>
      <c r="Z1981" s="32">
        <v>0</v>
      </c>
      <c r="AA1981" s="32">
        <v>0</v>
      </c>
      <c r="AB1981" s="32">
        <v>0</v>
      </c>
      <c r="AC1981" s="32">
        <v>0</v>
      </c>
      <c r="AD1981" s="21">
        <v>0</v>
      </c>
      <c r="AE1981" s="32">
        <v>0</v>
      </c>
      <c r="AF1981" s="21">
        <v>15</v>
      </c>
      <c r="AG1981" s="32">
        <v>0</v>
      </c>
      <c r="AH1981" s="32">
        <v>0</v>
      </c>
      <c r="AI1981" s="19">
        <v>2</v>
      </c>
      <c r="AJ1981" s="19">
        <v>0</v>
      </c>
      <c r="AK1981" s="19">
        <v>0</v>
      </c>
      <c r="AL1981" s="19">
        <v>0</v>
      </c>
      <c r="AM1981" s="32">
        <v>0</v>
      </c>
      <c r="AN1981" s="32">
        <v>0</v>
      </c>
      <c r="AO1981" s="32">
        <v>0</v>
      </c>
      <c r="AP1981" s="32">
        <v>0</v>
      </c>
      <c r="AQ1981" s="32">
        <v>1000</v>
      </c>
      <c r="AR1981" s="32">
        <v>0</v>
      </c>
      <c r="AS1981" s="32">
        <v>0</v>
      </c>
      <c r="AT1981" s="19">
        <v>90402005</v>
      </c>
      <c r="AU1981" s="32" t="s">
        <v>204</v>
      </c>
      <c r="AV1981" s="32"/>
      <c r="AW1981" s="35" t="s">
        <v>205</v>
      </c>
      <c r="AX1981" s="32" t="s">
        <v>354</v>
      </c>
      <c r="AY1981" s="32">
        <v>0</v>
      </c>
      <c r="AZ1981" s="32">
        <v>0</v>
      </c>
      <c r="BA1981" s="35" t="s">
        <v>206</v>
      </c>
      <c r="BB1981" s="35" t="s">
        <v>204</v>
      </c>
      <c r="BC1981" s="31">
        <v>0</v>
      </c>
      <c r="BD1981" s="31">
        <v>0</v>
      </c>
      <c r="BE1981" s="60" t="s">
        <v>856</v>
      </c>
      <c r="BF1981" s="60" t="s">
        <v>857</v>
      </c>
      <c r="BG1981" s="32">
        <v>0</v>
      </c>
      <c r="BH1981" s="21">
        <v>0</v>
      </c>
      <c r="BI1981" s="32">
        <v>0</v>
      </c>
      <c r="BJ1981" s="32">
        <v>0</v>
      </c>
      <c r="BK1981" s="32">
        <v>0</v>
      </c>
      <c r="BL1981" s="32">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20.100000000000001" customHeight="1">
      <c r="C1982" s="32">
        <v>70405006</v>
      </c>
      <c r="D1982" s="30" t="s">
        <v>754</v>
      </c>
      <c r="E1982" s="30" t="s">
        <v>755</v>
      </c>
      <c r="F1982" s="32">
        <v>1</v>
      </c>
      <c r="G1982" s="21">
        <v>60010300</v>
      </c>
      <c r="H1982" s="32">
        <v>0</v>
      </c>
      <c r="I1982" s="31">
        <v>0</v>
      </c>
      <c r="J1982" s="32">
        <v>1</v>
      </c>
      <c r="K1982" s="32">
        <v>0</v>
      </c>
      <c r="L1982" s="32">
        <v>0</v>
      </c>
      <c r="M1982" s="21">
        <v>0</v>
      </c>
      <c r="N1982" s="21">
        <v>0</v>
      </c>
      <c r="O1982" s="21">
        <v>2</v>
      </c>
      <c r="P1982" s="21">
        <v>1</v>
      </c>
      <c r="Q1982" s="21">
        <v>0.3</v>
      </c>
      <c r="R1982" s="21">
        <v>0</v>
      </c>
      <c r="S1982" s="19">
        <v>0</v>
      </c>
      <c r="T1982" s="21">
        <v>0</v>
      </c>
      <c r="U1982" s="21">
        <v>1</v>
      </c>
      <c r="V1982" s="21">
        <v>2</v>
      </c>
      <c r="W1982" s="21">
        <v>0</v>
      </c>
      <c r="X1982" s="21">
        <v>3</v>
      </c>
      <c r="Y1982" s="19">
        <v>0</v>
      </c>
      <c r="Z1982" s="21">
        <v>350</v>
      </c>
      <c r="AA1982" s="21">
        <v>0</v>
      </c>
      <c r="AB1982" s="21">
        <v>0</v>
      </c>
      <c r="AC1982" s="21">
        <v>0</v>
      </c>
      <c r="AD1982" s="21">
        <v>0</v>
      </c>
      <c r="AE1982" s="21">
        <v>0</v>
      </c>
      <c r="AF1982" s="21">
        <v>9</v>
      </c>
      <c r="AG1982" s="21">
        <v>2</v>
      </c>
      <c r="AH1982" s="21" t="s">
        <v>219</v>
      </c>
      <c r="AI1982" s="19">
        <v>0</v>
      </c>
      <c r="AJ1982" s="19">
        <v>2</v>
      </c>
      <c r="AK1982" s="19">
        <v>0</v>
      </c>
      <c r="AL1982" s="19">
        <v>1.5</v>
      </c>
      <c r="AM1982" s="21">
        <v>0</v>
      </c>
      <c r="AN1982" s="21">
        <v>0</v>
      </c>
      <c r="AO1982" s="21">
        <v>0</v>
      </c>
      <c r="AP1982" s="21">
        <v>1</v>
      </c>
      <c r="AQ1982" s="21">
        <v>3000</v>
      </c>
      <c r="AR1982" s="21">
        <v>0.5</v>
      </c>
      <c r="AS1982" s="21">
        <v>0</v>
      </c>
      <c r="AT1982" s="19">
        <v>0</v>
      </c>
      <c r="AU1982" s="21" t="s">
        <v>860</v>
      </c>
      <c r="AV1982" s="21"/>
      <c r="AW1982" s="30" t="s">
        <v>623</v>
      </c>
      <c r="AX1982" s="21" t="s">
        <v>551</v>
      </c>
      <c r="AY1982" s="32">
        <v>10000007</v>
      </c>
      <c r="AZ1982" s="32">
        <v>70403002</v>
      </c>
      <c r="BA1982" s="30" t="s">
        <v>206</v>
      </c>
      <c r="BB1982" s="21">
        <v>0</v>
      </c>
      <c r="BC1982" s="31">
        <v>0</v>
      </c>
      <c r="BD1982" s="31">
        <v>0</v>
      </c>
      <c r="BE1982" s="33" t="s">
        <v>756</v>
      </c>
      <c r="BF1982" s="33" t="s">
        <v>757</v>
      </c>
      <c r="BG1982" s="21">
        <v>0</v>
      </c>
      <c r="BH1982" s="21">
        <v>0</v>
      </c>
      <c r="BI1982" s="21">
        <v>0</v>
      </c>
      <c r="BJ1982" s="21">
        <v>0</v>
      </c>
      <c r="BK1982" s="21">
        <v>0</v>
      </c>
      <c r="BL1982" s="21">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19.5" customHeight="1">
      <c r="C1983" s="32">
        <v>70405007</v>
      </c>
      <c r="D1983" s="30" t="s">
        <v>4549</v>
      </c>
      <c r="E1983" s="30" t="s">
        <v>4550</v>
      </c>
      <c r="F1983" s="32">
        <v>1</v>
      </c>
      <c r="G1983" s="21">
        <v>60010100</v>
      </c>
      <c r="H1983" s="32">
        <v>0</v>
      </c>
      <c r="I1983" s="31">
        <v>0</v>
      </c>
      <c r="J1983" s="32">
        <v>1</v>
      </c>
      <c r="K1983" s="32">
        <v>0</v>
      </c>
      <c r="L1983" s="32">
        <v>0</v>
      </c>
      <c r="M1983" s="21">
        <v>0</v>
      </c>
      <c r="N1983" s="21">
        <v>0</v>
      </c>
      <c r="O1983" s="21">
        <v>2</v>
      </c>
      <c r="P1983" s="21">
        <v>1</v>
      </c>
      <c r="Q1983" s="21">
        <v>0.3</v>
      </c>
      <c r="R1983" s="21">
        <v>0</v>
      </c>
      <c r="S1983" s="19">
        <v>0</v>
      </c>
      <c r="T1983" s="21">
        <v>0</v>
      </c>
      <c r="U1983" s="21">
        <v>1</v>
      </c>
      <c r="V1983" s="21">
        <v>2</v>
      </c>
      <c r="W1983" s="21">
        <v>0</v>
      </c>
      <c r="X1983" s="21">
        <v>2</v>
      </c>
      <c r="Y1983" s="19">
        <v>0</v>
      </c>
      <c r="Z1983" s="21">
        <v>0</v>
      </c>
      <c r="AA1983" s="21">
        <v>1</v>
      </c>
      <c r="AB1983" s="21">
        <v>0</v>
      </c>
      <c r="AC1983" s="21">
        <v>0</v>
      </c>
      <c r="AD1983" s="21">
        <v>0</v>
      </c>
      <c r="AE1983" s="21">
        <v>0</v>
      </c>
      <c r="AF1983" s="21">
        <v>20</v>
      </c>
      <c r="AG1983" s="21">
        <v>1</v>
      </c>
      <c r="AH1983" s="21" t="s">
        <v>867</v>
      </c>
      <c r="AI1983" s="19">
        <v>1</v>
      </c>
      <c r="AJ1983" s="19">
        <v>0</v>
      </c>
      <c r="AK1983" s="19">
        <v>0</v>
      </c>
      <c r="AL1983" s="19">
        <v>0</v>
      </c>
      <c r="AM1983" s="21">
        <v>0</v>
      </c>
      <c r="AN1983" s="21">
        <v>0</v>
      </c>
      <c r="AO1983" s="21">
        <v>0</v>
      </c>
      <c r="AP1983" s="21">
        <v>0.5</v>
      </c>
      <c r="AQ1983" s="21">
        <v>999999</v>
      </c>
      <c r="AR1983" s="21">
        <v>2</v>
      </c>
      <c r="AS1983" s="21">
        <v>0</v>
      </c>
      <c r="AT1983" s="19">
        <v>0</v>
      </c>
      <c r="AU1983" s="21" t="s">
        <v>860</v>
      </c>
      <c r="AV1983" s="21"/>
      <c r="AW1983" s="35" t="s">
        <v>293</v>
      </c>
      <c r="AX1983" s="21" t="s">
        <v>540</v>
      </c>
      <c r="AY1983" s="32">
        <v>10000007</v>
      </c>
      <c r="AZ1983" s="32">
        <v>70405007</v>
      </c>
      <c r="BA1983" s="35" t="s">
        <v>321</v>
      </c>
      <c r="BB1983" s="35" t="s">
        <v>377</v>
      </c>
      <c r="BC1983" s="31">
        <v>0</v>
      </c>
      <c r="BD1983" s="31">
        <v>0</v>
      </c>
      <c r="BE1983" s="33" t="s">
        <v>4551</v>
      </c>
      <c r="BF1983" s="33" t="s">
        <v>4552</v>
      </c>
      <c r="BG1983" s="21">
        <v>0</v>
      </c>
      <c r="BH1983" s="21">
        <v>0</v>
      </c>
      <c r="BI1983" s="21">
        <v>0</v>
      </c>
      <c r="BJ1983" s="21">
        <v>0</v>
      </c>
      <c r="BK1983" s="21">
        <v>0</v>
      </c>
      <c r="BL1983" s="21">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20.100000000000001" customHeight="1">
      <c r="C1984" s="32">
        <v>70405008</v>
      </c>
      <c r="D1984" s="35" t="s">
        <v>544</v>
      </c>
      <c r="E1984" s="35" t="s">
        <v>545</v>
      </c>
      <c r="F1984" s="32">
        <v>1</v>
      </c>
      <c r="G1984" s="32">
        <v>60010500</v>
      </c>
      <c r="H1984" s="32">
        <v>0</v>
      </c>
      <c r="I1984" s="31">
        <v>0</v>
      </c>
      <c r="J1984" s="32">
        <v>1</v>
      </c>
      <c r="K1984" s="32">
        <v>0</v>
      </c>
      <c r="L1984" s="32">
        <v>0</v>
      </c>
      <c r="M1984" s="32">
        <v>0</v>
      </c>
      <c r="N1984" s="32">
        <v>0</v>
      </c>
      <c r="O1984" s="21">
        <v>2</v>
      </c>
      <c r="P1984" s="32">
        <v>2</v>
      </c>
      <c r="Q1984" s="32">
        <v>0.6</v>
      </c>
      <c r="R1984" s="32">
        <v>0</v>
      </c>
      <c r="S1984" s="19">
        <v>0</v>
      </c>
      <c r="T1984" s="31">
        <v>0</v>
      </c>
      <c r="U1984" s="21">
        <v>1</v>
      </c>
      <c r="V1984" s="32">
        <v>2</v>
      </c>
      <c r="W1984" s="32">
        <v>0</v>
      </c>
      <c r="X1984" s="32">
        <v>0</v>
      </c>
      <c r="Y1984" s="19">
        <v>0</v>
      </c>
      <c r="Z1984" s="32">
        <v>0</v>
      </c>
      <c r="AA1984" s="32">
        <v>0</v>
      </c>
      <c r="AB1984" s="32">
        <v>0</v>
      </c>
      <c r="AC1984" s="32">
        <v>0</v>
      </c>
      <c r="AD1984" s="21">
        <v>0</v>
      </c>
      <c r="AE1984" s="32">
        <v>0</v>
      </c>
      <c r="AF1984" s="32">
        <v>20</v>
      </c>
      <c r="AG1984" s="32">
        <v>0</v>
      </c>
      <c r="AH1984" s="32">
        <v>0</v>
      </c>
      <c r="AI1984" s="19">
        <v>2</v>
      </c>
      <c r="AJ1984" s="19">
        <v>0</v>
      </c>
      <c r="AK1984" s="19">
        <v>0</v>
      </c>
      <c r="AL1984" s="19">
        <v>0</v>
      </c>
      <c r="AM1984" s="32">
        <v>0</v>
      </c>
      <c r="AN1984" s="32">
        <v>0</v>
      </c>
      <c r="AO1984" s="32">
        <v>0</v>
      </c>
      <c r="AP1984" s="32">
        <v>0</v>
      </c>
      <c r="AQ1984" s="32">
        <v>1000</v>
      </c>
      <c r="AR1984" s="32">
        <v>0</v>
      </c>
      <c r="AS1984" s="32">
        <v>0</v>
      </c>
      <c r="AT1984" s="19">
        <v>90401004</v>
      </c>
      <c r="AU1984" s="32" t="s">
        <v>204</v>
      </c>
      <c r="AV1984" s="32"/>
      <c r="AW1984" s="35" t="s">
        <v>205</v>
      </c>
      <c r="AX1984" s="32" t="s">
        <v>354</v>
      </c>
      <c r="AY1984" s="32">
        <v>0</v>
      </c>
      <c r="AZ1984" s="32">
        <v>40000003</v>
      </c>
      <c r="BA1984" s="35" t="s">
        <v>206</v>
      </c>
      <c r="BB1984" s="35" t="s">
        <v>204</v>
      </c>
      <c r="BC1984" s="31">
        <v>0</v>
      </c>
      <c r="BD1984" s="31">
        <v>0</v>
      </c>
      <c r="BE1984" s="60" t="s">
        <v>870</v>
      </c>
      <c r="BF1984" s="60" t="s">
        <v>871</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19.5" customHeight="1">
      <c r="C1985" s="32">
        <v>70405009</v>
      </c>
      <c r="D1985" s="35" t="s">
        <v>1330</v>
      </c>
      <c r="E1985" s="35" t="s">
        <v>1331</v>
      </c>
      <c r="F1985" s="32">
        <v>1</v>
      </c>
      <c r="G1985" s="32">
        <v>60010300</v>
      </c>
      <c r="H1985" s="32">
        <v>0</v>
      </c>
      <c r="I1985" s="31">
        <v>0</v>
      </c>
      <c r="J1985" s="32">
        <v>1</v>
      </c>
      <c r="K1985" s="32">
        <v>0</v>
      </c>
      <c r="L1985" s="32">
        <v>0</v>
      </c>
      <c r="M1985" s="32">
        <v>0</v>
      </c>
      <c r="N1985" s="32">
        <v>0</v>
      </c>
      <c r="O1985" s="21">
        <v>2</v>
      </c>
      <c r="P1985" s="32">
        <v>2</v>
      </c>
      <c r="Q1985" s="32">
        <v>0.8</v>
      </c>
      <c r="R1985" s="32">
        <v>0</v>
      </c>
      <c r="S1985" s="19">
        <v>0</v>
      </c>
      <c r="T1985" s="31">
        <v>0</v>
      </c>
      <c r="U1985" s="21">
        <v>1</v>
      </c>
      <c r="V1985" s="32">
        <v>2</v>
      </c>
      <c r="W1985" s="32">
        <v>0</v>
      </c>
      <c r="X1985" s="32">
        <v>5</v>
      </c>
      <c r="Y1985" s="19">
        <v>0</v>
      </c>
      <c r="Z1985" s="32">
        <v>0</v>
      </c>
      <c r="AA1985" s="32">
        <v>0</v>
      </c>
      <c r="AB1985" s="32">
        <v>0</v>
      </c>
      <c r="AC1985" s="32">
        <v>0</v>
      </c>
      <c r="AD1985" s="21">
        <v>0</v>
      </c>
      <c r="AE1985" s="32">
        <v>0</v>
      </c>
      <c r="AF1985" s="32">
        <v>30</v>
      </c>
      <c r="AG1985" s="32">
        <v>1</v>
      </c>
      <c r="AH1985" s="32">
        <v>1</v>
      </c>
      <c r="AI1985" s="19">
        <v>2</v>
      </c>
      <c r="AJ1985" s="19">
        <v>2</v>
      </c>
      <c r="AK1985" s="19">
        <v>0</v>
      </c>
      <c r="AL1985" s="19">
        <v>1.5</v>
      </c>
      <c r="AM1985" s="32">
        <v>0</v>
      </c>
      <c r="AN1985" s="32">
        <v>0</v>
      </c>
      <c r="AO1985" s="32">
        <v>0</v>
      </c>
      <c r="AP1985" s="32">
        <v>1</v>
      </c>
      <c r="AQ1985" s="32">
        <v>30000</v>
      </c>
      <c r="AR1985" s="32">
        <v>0</v>
      </c>
      <c r="AS1985" s="32">
        <v>4</v>
      </c>
      <c r="AT1985" s="19">
        <v>0</v>
      </c>
      <c r="AU1985" s="32" t="s">
        <v>204</v>
      </c>
      <c r="AV1985" s="32"/>
      <c r="AW1985" s="35" t="s">
        <v>205</v>
      </c>
      <c r="AX1985" s="32" t="s">
        <v>551</v>
      </c>
      <c r="AY1985" s="32">
        <v>10003002</v>
      </c>
      <c r="AZ1985" s="32">
        <v>70405007</v>
      </c>
      <c r="BA1985" s="35" t="s">
        <v>592</v>
      </c>
      <c r="BB1985" s="35">
        <v>0</v>
      </c>
      <c r="BC1985" s="31">
        <v>0</v>
      </c>
      <c r="BD1985" s="31">
        <v>0</v>
      </c>
      <c r="BE1985" s="60" t="s">
        <v>874</v>
      </c>
      <c r="BF1985" s="60" t="s">
        <v>875</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19.5" customHeight="1">
      <c r="C1986" s="32">
        <v>70501001</v>
      </c>
      <c r="D1986" s="30" t="s">
        <v>606</v>
      </c>
      <c r="E1986" s="30" t="s">
        <v>607</v>
      </c>
      <c r="F1986" s="21">
        <v>1</v>
      </c>
      <c r="G1986" s="21">
        <v>60010300</v>
      </c>
      <c r="H1986" s="32">
        <v>0</v>
      </c>
      <c r="I1986" s="31">
        <v>0</v>
      </c>
      <c r="J1986" s="32">
        <v>1</v>
      </c>
      <c r="K1986" s="32">
        <v>0</v>
      </c>
      <c r="L1986" s="32">
        <v>0</v>
      </c>
      <c r="M1986" s="21">
        <v>0</v>
      </c>
      <c r="N1986" s="21">
        <v>0</v>
      </c>
      <c r="O1986" s="21">
        <v>2</v>
      </c>
      <c r="P1986" s="21">
        <v>2</v>
      </c>
      <c r="Q1986" s="21">
        <v>0.8</v>
      </c>
      <c r="R1986" s="21">
        <v>0</v>
      </c>
      <c r="S1986" s="19">
        <v>0</v>
      </c>
      <c r="T1986" s="21">
        <v>0</v>
      </c>
      <c r="U1986" s="21">
        <v>1</v>
      </c>
      <c r="V1986" s="21">
        <v>2</v>
      </c>
      <c r="W1986" s="21">
        <v>0</v>
      </c>
      <c r="X1986" s="21">
        <v>0</v>
      </c>
      <c r="Y1986" s="19">
        <v>0</v>
      </c>
      <c r="Z1986" s="21">
        <v>0</v>
      </c>
      <c r="AA1986" s="21">
        <v>0</v>
      </c>
      <c r="AB1986" s="21">
        <v>0</v>
      </c>
      <c r="AC1986" s="21">
        <v>0</v>
      </c>
      <c r="AD1986" s="21">
        <v>0</v>
      </c>
      <c r="AE1986" s="21">
        <v>0</v>
      </c>
      <c r="AF1986" s="21">
        <v>15</v>
      </c>
      <c r="AG1986" s="21">
        <v>0</v>
      </c>
      <c r="AH1986" s="21">
        <v>0</v>
      </c>
      <c r="AI1986" s="19">
        <v>2</v>
      </c>
      <c r="AJ1986" s="19">
        <v>2</v>
      </c>
      <c r="AK1986" s="19">
        <v>0</v>
      </c>
      <c r="AL1986" s="19">
        <v>1.5</v>
      </c>
      <c r="AM1986" s="21">
        <v>0</v>
      </c>
      <c r="AN1986" s="21">
        <v>0</v>
      </c>
      <c r="AO1986" s="21">
        <v>0</v>
      </c>
      <c r="AP1986" s="21">
        <v>1</v>
      </c>
      <c r="AQ1986" s="21">
        <v>3000</v>
      </c>
      <c r="AR1986" s="21">
        <v>0.5</v>
      </c>
      <c r="AS1986" s="21">
        <v>0</v>
      </c>
      <c r="AT1986" s="19">
        <v>0</v>
      </c>
      <c r="AU1986" s="21" t="s">
        <v>204</v>
      </c>
      <c r="AV1986" s="21"/>
      <c r="AW1986" s="35" t="s">
        <v>205</v>
      </c>
      <c r="AX1986" s="21" t="s">
        <v>551</v>
      </c>
      <c r="AY1986" s="32">
        <v>0</v>
      </c>
      <c r="AZ1986" s="32">
        <v>0</v>
      </c>
      <c r="BA1986" s="30" t="s">
        <v>534</v>
      </c>
      <c r="BB1986" s="21" t="s">
        <v>4553</v>
      </c>
      <c r="BC1986" s="31">
        <v>0</v>
      </c>
      <c r="BD1986" s="31">
        <v>0</v>
      </c>
      <c r="BE1986" s="33" t="s">
        <v>4545</v>
      </c>
      <c r="BF1986" s="33" t="s">
        <v>4546</v>
      </c>
      <c r="BG1986" s="21">
        <v>0</v>
      </c>
      <c r="BH1986" s="21">
        <v>0</v>
      </c>
      <c r="BI1986" s="21">
        <v>0</v>
      </c>
      <c r="BJ1986" s="21">
        <v>0</v>
      </c>
      <c r="BK1986" s="21">
        <v>0</v>
      </c>
      <c r="BL1986" s="21">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70501002</v>
      </c>
      <c r="D1987" s="35" t="s">
        <v>750</v>
      </c>
      <c r="E1987" s="35" t="s">
        <v>751</v>
      </c>
      <c r="F1987" s="32">
        <v>1</v>
      </c>
      <c r="G1987" s="32">
        <v>60010500</v>
      </c>
      <c r="H1987" s="32">
        <v>0</v>
      </c>
      <c r="I1987" s="31">
        <v>0</v>
      </c>
      <c r="J1987" s="32">
        <v>1</v>
      </c>
      <c r="K1987" s="32">
        <v>0</v>
      </c>
      <c r="L1987" s="32">
        <v>0</v>
      </c>
      <c r="M1987" s="32">
        <v>0</v>
      </c>
      <c r="N1987" s="32">
        <v>0</v>
      </c>
      <c r="O1987" s="21">
        <v>2</v>
      </c>
      <c r="P1987" s="32">
        <v>1</v>
      </c>
      <c r="Q1987" s="32">
        <v>0.05</v>
      </c>
      <c r="R1987" s="32">
        <v>0</v>
      </c>
      <c r="S1987" s="19">
        <v>0</v>
      </c>
      <c r="T1987" s="31">
        <v>0</v>
      </c>
      <c r="U1987" s="21">
        <v>1</v>
      </c>
      <c r="V1987" s="32">
        <v>1</v>
      </c>
      <c r="W1987" s="32">
        <v>0</v>
      </c>
      <c r="X1987" s="32">
        <v>2</v>
      </c>
      <c r="Y1987" s="19">
        <v>0</v>
      </c>
      <c r="Z1987" s="32">
        <v>0</v>
      </c>
      <c r="AA1987" s="32">
        <v>0</v>
      </c>
      <c r="AB1987" s="32">
        <v>0</v>
      </c>
      <c r="AC1987" s="32">
        <v>0</v>
      </c>
      <c r="AD1987" s="21">
        <v>0</v>
      </c>
      <c r="AE1987" s="32">
        <v>0</v>
      </c>
      <c r="AF1987" s="32">
        <v>10</v>
      </c>
      <c r="AG1987" s="32">
        <v>0</v>
      </c>
      <c r="AH1987" s="32">
        <v>0</v>
      </c>
      <c r="AI1987" s="19">
        <v>7</v>
      </c>
      <c r="AJ1987" s="19">
        <v>0</v>
      </c>
      <c r="AK1987" s="19">
        <v>0</v>
      </c>
      <c r="AL1987" s="19">
        <v>0</v>
      </c>
      <c r="AM1987" s="32">
        <v>0</v>
      </c>
      <c r="AN1987" s="32">
        <v>0</v>
      </c>
      <c r="AO1987" s="32">
        <v>0</v>
      </c>
      <c r="AP1987" s="32">
        <v>0</v>
      </c>
      <c r="AQ1987" s="32">
        <v>1000</v>
      </c>
      <c r="AR1987" s="32">
        <v>0.5</v>
      </c>
      <c r="AS1987" s="32">
        <v>0</v>
      </c>
      <c r="AT1987" s="19">
        <v>0</v>
      </c>
      <c r="AU1987" s="32" t="s">
        <v>665</v>
      </c>
      <c r="AV1987" s="32"/>
      <c r="AW1987" s="35" t="s">
        <v>747</v>
      </c>
      <c r="AX1987" s="32">
        <v>0</v>
      </c>
      <c r="AY1987" s="32">
        <v>10007001</v>
      </c>
      <c r="AZ1987" s="32">
        <v>0</v>
      </c>
      <c r="BA1987" s="35" t="s">
        <v>206</v>
      </c>
      <c r="BB1987" s="35" t="s">
        <v>204</v>
      </c>
      <c r="BC1987" s="31">
        <v>0</v>
      </c>
      <c r="BD1987" s="31">
        <v>0</v>
      </c>
      <c r="BE1987" s="60" t="s">
        <v>752</v>
      </c>
      <c r="BF1987" s="60" t="s">
        <v>753</v>
      </c>
      <c r="BG1987" s="32">
        <v>0</v>
      </c>
      <c r="BH1987" s="21">
        <v>0</v>
      </c>
      <c r="BI1987" s="32">
        <v>0</v>
      </c>
      <c r="BJ1987" s="32">
        <v>0</v>
      </c>
      <c r="BK1987" s="32">
        <v>0</v>
      </c>
      <c r="BL1987" s="32">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20.100000000000001" customHeight="1">
      <c r="C1988" s="32">
        <v>70501003</v>
      </c>
      <c r="D1988" s="35" t="s">
        <v>544</v>
      </c>
      <c r="E1988" s="35" t="s">
        <v>545</v>
      </c>
      <c r="F1988" s="32">
        <v>1</v>
      </c>
      <c r="G1988" s="32">
        <v>60010500</v>
      </c>
      <c r="H1988" s="32">
        <v>0</v>
      </c>
      <c r="I1988" s="31">
        <v>0</v>
      </c>
      <c r="J1988" s="32">
        <v>1</v>
      </c>
      <c r="K1988" s="32">
        <v>0</v>
      </c>
      <c r="L1988" s="32">
        <v>0</v>
      </c>
      <c r="M1988" s="32">
        <v>0</v>
      </c>
      <c r="N1988" s="32">
        <v>0</v>
      </c>
      <c r="O1988" s="21">
        <v>2</v>
      </c>
      <c r="P1988" s="32">
        <v>2</v>
      </c>
      <c r="Q1988" s="32">
        <v>0.6</v>
      </c>
      <c r="R1988" s="32">
        <v>0</v>
      </c>
      <c r="S1988" s="19">
        <v>0</v>
      </c>
      <c r="T1988" s="31">
        <v>0</v>
      </c>
      <c r="U1988" s="21">
        <v>1</v>
      </c>
      <c r="V1988" s="32">
        <v>2</v>
      </c>
      <c r="W1988" s="32">
        <v>0</v>
      </c>
      <c r="X1988" s="32">
        <v>0</v>
      </c>
      <c r="Y1988" s="19">
        <v>0</v>
      </c>
      <c r="Z1988" s="32">
        <v>0</v>
      </c>
      <c r="AA1988" s="32">
        <v>0</v>
      </c>
      <c r="AB1988" s="32">
        <v>0</v>
      </c>
      <c r="AC1988" s="32">
        <v>0</v>
      </c>
      <c r="AD1988" s="21">
        <v>0</v>
      </c>
      <c r="AE1988" s="32">
        <v>0</v>
      </c>
      <c r="AF1988" s="32">
        <v>20</v>
      </c>
      <c r="AG1988" s="32">
        <v>0</v>
      </c>
      <c r="AH1988" s="32">
        <v>0</v>
      </c>
      <c r="AI1988" s="19">
        <v>2</v>
      </c>
      <c r="AJ1988" s="19">
        <v>0</v>
      </c>
      <c r="AK1988" s="19">
        <v>0</v>
      </c>
      <c r="AL1988" s="19">
        <v>0</v>
      </c>
      <c r="AM1988" s="32">
        <v>0</v>
      </c>
      <c r="AN1988" s="32">
        <v>0</v>
      </c>
      <c r="AO1988" s="32">
        <v>0</v>
      </c>
      <c r="AP1988" s="32">
        <v>0</v>
      </c>
      <c r="AQ1988" s="32">
        <v>1000</v>
      </c>
      <c r="AR1988" s="32">
        <v>0</v>
      </c>
      <c r="AS1988" s="32">
        <v>0</v>
      </c>
      <c r="AT1988" s="19">
        <v>90401004</v>
      </c>
      <c r="AU1988" s="32" t="s">
        <v>204</v>
      </c>
      <c r="AV1988" s="32"/>
      <c r="AW1988" s="35" t="s">
        <v>204</v>
      </c>
      <c r="AX1988" s="32" t="s">
        <v>354</v>
      </c>
      <c r="AY1988" s="32">
        <v>0</v>
      </c>
      <c r="AZ1988" s="32">
        <v>40000003</v>
      </c>
      <c r="BA1988" s="35" t="s">
        <v>206</v>
      </c>
      <c r="BB1988" s="35" t="s">
        <v>204</v>
      </c>
      <c r="BC1988" s="31">
        <v>0</v>
      </c>
      <c r="BD1988" s="31">
        <v>0</v>
      </c>
      <c r="BE1988" s="60" t="s">
        <v>870</v>
      </c>
      <c r="BF1988" s="60" t="s">
        <v>871</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20.100000000000001" customHeight="1">
      <c r="C1989" s="32">
        <v>70501004</v>
      </c>
      <c r="D1989" s="35" t="s">
        <v>763</v>
      </c>
      <c r="E1989" s="35" t="s">
        <v>405</v>
      </c>
      <c r="F1989" s="32">
        <v>1</v>
      </c>
      <c r="G1989" s="32">
        <v>60010500</v>
      </c>
      <c r="H1989" s="32">
        <v>0</v>
      </c>
      <c r="I1989" s="31">
        <v>0</v>
      </c>
      <c r="J1989" s="32">
        <v>1</v>
      </c>
      <c r="K1989" s="32">
        <v>0</v>
      </c>
      <c r="L1989" s="32">
        <v>0</v>
      </c>
      <c r="M1989" s="32">
        <v>0</v>
      </c>
      <c r="N1989" s="32">
        <v>0</v>
      </c>
      <c r="O1989" s="21">
        <v>2</v>
      </c>
      <c r="P1989" s="32">
        <v>2</v>
      </c>
      <c r="Q1989" s="32">
        <v>0.3</v>
      </c>
      <c r="R1989" s="32">
        <v>0</v>
      </c>
      <c r="S1989" s="19">
        <v>0</v>
      </c>
      <c r="T1989" s="31">
        <v>0</v>
      </c>
      <c r="U1989" s="21">
        <v>1</v>
      </c>
      <c r="V1989" s="32">
        <v>2</v>
      </c>
      <c r="W1989" s="32">
        <v>0</v>
      </c>
      <c r="X1989" s="32">
        <v>0</v>
      </c>
      <c r="Y1989" s="19">
        <v>0</v>
      </c>
      <c r="Z1989" s="32">
        <v>0</v>
      </c>
      <c r="AA1989" s="32">
        <v>0</v>
      </c>
      <c r="AB1989" s="32">
        <v>0</v>
      </c>
      <c r="AC1989" s="32">
        <v>0</v>
      </c>
      <c r="AD1989" s="21">
        <v>0</v>
      </c>
      <c r="AE1989" s="32">
        <v>0</v>
      </c>
      <c r="AF1989" s="21">
        <v>15</v>
      </c>
      <c r="AG1989" s="32">
        <v>0</v>
      </c>
      <c r="AH1989" s="32">
        <v>0</v>
      </c>
      <c r="AI1989" s="19">
        <v>2</v>
      </c>
      <c r="AJ1989" s="19">
        <v>0</v>
      </c>
      <c r="AK1989" s="19">
        <v>0</v>
      </c>
      <c r="AL1989" s="19">
        <v>0</v>
      </c>
      <c r="AM1989" s="32">
        <v>0</v>
      </c>
      <c r="AN1989" s="32">
        <v>0</v>
      </c>
      <c r="AO1989" s="32">
        <v>0</v>
      </c>
      <c r="AP1989" s="32">
        <v>0</v>
      </c>
      <c r="AQ1989" s="32">
        <v>1000</v>
      </c>
      <c r="AR1989" s="32">
        <v>0</v>
      </c>
      <c r="AS1989" s="32">
        <v>0</v>
      </c>
      <c r="AT1989" s="19">
        <v>90304001</v>
      </c>
      <c r="AU1989" s="32" t="s">
        <v>204</v>
      </c>
      <c r="AV1989" s="32"/>
      <c r="AW1989" s="35" t="s">
        <v>293</v>
      </c>
      <c r="AX1989" s="32" t="s">
        <v>354</v>
      </c>
      <c r="AY1989" s="32">
        <v>0</v>
      </c>
      <c r="AZ1989" s="32">
        <v>0</v>
      </c>
      <c r="BA1989" s="35" t="s">
        <v>206</v>
      </c>
      <c r="BB1989" s="35" t="s">
        <v>204</v>
      </c>
      <c r="BC1989" s="31">
        <v>0</v>
      </c>
      <c r="BD1989" s="31">
        <v>0</v>
      </c>
      <c r="BE1989" s="60" t="s">
        <v>4554</v>
      </c>
      <c r="BF1989" s="60" t="s">
        <v>4555</v>
      </c>
      <c r="BG1989" s="32">
        <v>0</v>
      </c>
      <c r="BH1989" s="21">
        <v>0</v>
      </c>
      <c r="BI1989" s="32">
        <v>0</v>
      </c>
      <c r="BJ1989" s="32">
        <v>0</v>
      </c>
      <c r="BK1989" s="32">
        <v>0</v>
      </c>
      <c r="BL1989" s="32">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20.100000000000001" customHeight="1">
      <c r="C1990" s="32">
        <v>70501005</v>
      </c>
      <c r="D1990" s="30" t="s">
        <v>4517</v>
      </c>
      <c r="E1990" s="30" t="s">
        <v>4518</v>
      </c>
      <c r="F1990" s="32">
        <v>1</v>
      </c>
      <c r="G1990" s="21">
        <v>60010300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350</v>
      </c>
      <c r="AA1990" s="21">
        <v>0</v>
      </c>
      <c r="AB1990" s="21">
        <v>0</v>
      </c>
      <c r="AC1990" s="21">
        <v>0</v>
      </c>
      <c r="AD1990" s="21">
        <v>0</v>
      </c>
      <c r="AE1990" s="21">
        <v>0</v>
      </c>
      <c r="AF1990" s="21">
        <v>9</v>
      </c>
      <c r="AG1990" s="21">
        <v>2</v>
      </c>
      <c r="AH1990" s="21" t="s">
        <v>219</v>
      </c>
      <c r="AI1990" s="19">
        <v>0</v>
      </c>
      <c r="AJ1990" s="19">
        <v>2</v>
      </c>
      <c r="AK1990" s="19">
        <v>0</v>
      </c>
      <c r="AL1990" s="19">
        <v>1.5</v>
      </c>
      <c r="AM1990" s="21">
        <v>0</v>
      </c>
      <c r="AN1990" s="21">
        <v>0</v>
      </c>
      <c r="AO1990" s="21">
        <v>0</v>
      </c>
      <c r="AP1990" s="21">
        <v>1.5</v>
      </c>
      <c r="AQ1990" s="21">
        <v>3000</v>
      </c>
      <c r="AR1990" s="21">
        <v>1</v>
      </c>
      <c r="AS1990" s="21">
        <v>0</v>
      </c>
      <c r="AT1990" s="19">
        <v>0</v>
      </c>
      <c r="AU1990" s="21" t="s">
        <v>4519</v>
      </c>
      <c r="AV1990" s="21"/>
      <c r="AW1990" s="35" t="s">
        <v>623</v>
      </c>
      <c r="AX1990" s="21" t="s">
        <v>551</v>
      </c>
      <c r="AY1990" s="32">
        <v>10000007</v>
      </c>
      <c r="AZ1990" s="32">
        <v>70401006</v>
      </c>
      <c r="BA1990" s="30" t="s">
        <v>206</v>
      </c>
      <c r="BB1990" s="21">
        <v>0</v>
      </c>
      <c r="BC1990" s="31">
        <v>0</v>
      </c>
      <c r="BD1990" s="31">
        <v>0</v>
      </c>
      <c r="BE1990" s="33" t="s">
        <v>4520</v>
      </c>
      <c r="BF1990" s="33" t="s">
        <v>4521</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19.5" customHeight="1">
      <c r="C1991" s="32">
        <v>70501006</v>
      </c>
      <c r="D1991" s="35" t="s">
        <v>1330</v>
      </c>
      <c r="E1991" s="35" t="s">
        <v>1331</v>
      </c>
      <c r="F1991" s="32">
        <v>1</v>
      </c>
      <c r="G1991" s="32">
        <v>60010300</v>
      </c>
      <c r="H1991" s="32">
        <v>0</v>
      </c>
      <c r="I1991" s="31">
        <v>0</v>
      </c>
      <c r="J1991" s="32">
        <v>1</v>
      </c>
      <c r="K1991" s="32">
        <v>0</v>
      </c>
      <c r="L1991" s="32">
        <v>0</v>
      </c>
      <c r="M1991" s="32">
        <v>0</v>
      </c>
      <c r="N1991" s="32">
        <v>0</v>
      </c>
      <c r="O1991" s="21">
        <v>2</v>
      </c>
      <c r="P1991" s="32">
        <v>2</v>
      </c>
      <c r="Q1991" s="32">
        <v>0.8</v>
      </c>
      <c r="R1991" s="32">
        <v>0</v>
      </c>
      <c r="S1991" s="19">
        <v>0</v>
      </c>
      <c r="T1991" s="31">
        <v>0</v>
      </c>
      <c r="U1991" s="21">
        <v>1</v>
      </c>
      <c r="V1991" s="32">
        <v>2</v>
      </c>
      <c r="W1991" s="32">
        <v>0</v>
      </c>
      <c r="X1991" s="32">
        <v>5</v>
      </c>
      <c r="Y1991" s="19">
        <v>0</v>
      </c>
      <c r="Z1991" s="32">
        <v>0</v>
      </c>
      <c r="AA1991" s="32">
        <v>0</v>
      </c>
      <c r="AB1991" s="32">
        <v>0</v>
      </c>
      <c r="AC1991" s="32">
        <v>0</v>
      </c>
      <c r="AD1991" s="21">
        <v>0</v>
      </c>
      <c r="AE1991" s="32">
        <v>0</v>
      </c>
      <c r="AF1991" s="32">
        <v>30</v>
      </c>
      <c r="AG1991" s="32">
        <v>1</v>
      </c>
      <c r="AH1991" s="32">
        <v>1</v>
      </c>
      <c r="AI1991" s="19">
        <v>2</v>
      </c>
      <c r="AJ1991" s="19">
        <v>2</v>
      </c>
      <c r="AK1991" s="19">
        <v>0</v>
      </c>
      <c r="AL1991" s="19">
        <v>1.5</v>
      </c>
      <c r="AM1991" s="32">
        <v>0</v>
      </c>
      <c r="AN1991" s="32">
        <v>0</v>
      </c>
      <c r="AO1991" s="32">
        <v>0</v>
      </c>
      <c r="AP1991" s="32">
        <v>1</v>
      </c>
      <c r="AQ1991" s="32">
        <v>30000</v>
      </c>
      <c r="AR1991" s="32">
        <v>0</v>
      </c>
      <c r="AS1991" s="32">
        <v>4</v>
      </c>
      <c r="AT1991" s="19">
        <v>0</v>
      </c>
      <c r="AU1991" s="32" t="s">
        <v>204</v>
      </c>
      <c r="AV1991" s="32"/>
      <c r="AW1991" s="35" t="s">
        <v>205</v>
      </c>
      <c r="AX1991" s="32" t="s">
        <v>551</v>
      </c>
      <c r="AY1991" s="32">
        <v>10003002</v>
      </c>
      <c r="AZ1991" s="32">
        <v>70405007</v>
      </c>
      <c r="BA1991" s="35" t="s">
        <v>592</v>
      </c>
      <c r="BB1991" s="35">
        <v>0</v>
      </c>
      <c r="BC1991" s="31">
        <v>0</v>
      </c>
      <c r="BD1991" s="31">
        <v>0</v>
      </c>
      <c r="BE1991" s="60" t="s">
        <v>874</v>
      </c>
      <c r="BF1991" s="60" t="s">
        <v>875</v>
      </c>
      <c r="BG1991" s="32">
        <v>0</v>
      </c>
      <c r="BH1991" s="21">
        <v>0</v>
      </c>
      <c r="BI1991" s="32">
        <v>0</v>
      </c>
      <c r="BJ1991" s="32">
        <v>0</v>
      </c>
      <c r="BK1991" s="32">
        <v>0</v>
      </c>
      <c r="BL1991" s="32">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19.5" customHeight="1">
      <c r="C1992" s="32">
        <v>70502001</v>
      </c>
      <c r="D1992" s="30" t="s">
        <v>611</v>
      </c>
      <c r="E1992" s="30" t="s">
        <v>612</v>
      </c>
      <c r="F1992" s="32">
        <v>1</v>
      </c>
      <c r="G1992" s="21">
        <v>60010100</v>
      </c>
      <c r="H1992" s="32">
        <v>0</v>
      </c>
      <c r="I1992" s="31">
        <v>0</v>
      </c>
      <c r="J1992" s="32">
        <v>1</v>
      </c>
      <c r="K1992" s="32">
        <v>0</v>
      </c>
      <c r="L1992" s="32">
        <v>0</v>
      </c>
      <c r="M1992" s="21">
        <v>0</v>
      </c>
      <c r="N1992" s="21">
        <v>0</v>
      </c>
      <c r="O1992" s="21">
        <v>2</v>
      </c>
      <c r="P1992" s="21">
        <v>1</v>
      </c>
      <c r="Q1992" s="21">
        <v>0.3</v>
      </c>
      <c r="R1992" s="21">
        <v>0</v>
      </c>
      <c r="S1992" s="19">
        <v>0</v>
      </c>
      <c r="T1992" s="21">
        <v>0</v>
      </c>
      <c r="U1992" s="21">
        <v>1</v>
      </c>
      <c r="V1992" s="21">
        <v>2</v>
      </c>
      <c r="W1992" s="21">
        <v>0</v>
      </c>
      <c r="X1992" s="21">
        <v>3</v>
      </c>
      <c r="Y1992" s="19">
        <v>0</v>
      </c>
      <c r="Z1992" s="21">
        <v>0</v>
      </c>
      <c r="AA1992" s="21">
        <v>1</v>
      </c>
      <c r="AB1992" s="21">
        <v>0</v>
      </c>
      <c r="AC1992" s="21">
        <v>0</v>
      </c>
      <c r="AD1992" s="21">
        <v>0</v>
      </c>
      <c r="AE1992" s="21">
        <v>0</v>
      </c>
      <c r="AF1992" s="21">
        <v>12</v>
      </c>
      <c r="AG1992" s="21">
        <v>1</v>
      </c>
      <c r="AH1992" s="21" t="s">
        <v>613</v>
      </c>
      <c r="AI1992" s="19">
        <v>1</v>
      </c>
      <c r="AJ1992" s="19">
        <v>1</v>
      </c>
      <c r="AK1992" s="19">
        <v>0</v>
      </c>
      <c r="AL1992" s="19">
        <v>3</v>
      </c>
      <c r="AM1992" s="21">
        <v>0</v>
      </c>
      <c r="AN1992" s="21">
        <v>0</v>
      </c>
      <c r="AO1992" s="21">
        <v>0</v>
      </c>
      <c r="AP1992" s="21">
        <v>3</v>
      </c>
      <c r="AQ1992" s="21">
        <v>5000</v>
      </c>
      <c r="AR1992" s="21">
        <v>2.5</v>
      </c>
      <c r="AS1992" s="21">
        <v>0</v>
      </c>
      <c r="AT1992" s="19">
        <v>0</v>
      </c>
      <c r="AU1992" s="21" t="s">
        <v>204</v>
      </c>
      <c r="AV1992" s="21"/>
      <c r="AW1992" s="35" t="s">
        <v>293</v>
      </c>
      <c r="AX1992" s="21" t="s">
        <v>540</v>
      </c>
      <c r="AY1992" s="32">
        <v>10000007</v>
      </c>
      <c r="AZ1992" s="32">
        <v>70107001</v>
      </c>
      <c r="BA1992" s="30" t="s">
        <v>206</v>
      </c>
      <c r="BB1992" s="21">
        <v>0</v>
      </c>
      <c r="BC1992" s="31">
        <v>0</v>
      </c>
      <c r="BD1992" s="31">
        <v>0</v>
      </c>
      <c r="BE1992" s="33" t="s">
        <v>614</v>
      </c>
      <c r="BF1992" s="33" t="s">
        <v>615</v>
      </c>
      <c r="BG1992" s="21">
        <v>0</v>
      </c>
      <c r="BH1992" s="21">
        <v>0</v>
      </c>
      <c r="BI1992" s="21">
        <v>0</v>
      </c>
      <c r="BJ1992" s="21">
        <v>0</v>
      </c>
      <c r="BK1992" s="21">
        <v>0</v>
      </c>
      <c r="BL1992" s="21">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70502002</v>
      </c>
      <c r="D1993" s="30" t="s">
        <v>666</v>
      </c>
      <c r="E1993" s="30" t="s">
        <v>667</v>
      </c>
      <c r="F1993" s="32">
        <v>1</v>
      </c>
      <c r="G1993" s="21">
        <v>60010100</v>
      </c>
      <c r="H1993" s="32">
        <v>0</v>
      </c>
      <c r="I1993" s="31">
        <v>0</v>
      </c>
      <c r="J1993" s="32">
        <v>1</v>
      </c>
      <c r="K1993" s="32">
        <v>0</v>
      </c>
      <c r="L1993" s="32">
        <v>0</v>
      </c>
      <c r="M1993" s="21">
        <v>0</v>
      </c>
      <c r="N1993" s="21">
        <v>0</v>
      </c>
      <c r="O1993" s="21">
        <v>2</v>
      </c>
      <c r="P1993" s="21">
        <v>1</v>
      </c>
      <c r="Q1993" s="21">
        <v>0.3</v>
      </c>
      <c r="R1993" s="21">
        <v>0</v>
      </c>
      <c r="S1993" s="19">
        <v>0</v>
      </c>
      <c r="T1993" s="21">
        <v>0</v>
      </c>
      <c r="U1993" s="21">
        <v>1</v>
      </c>
      <c r="V1993" s="21">
        <v>2</v>
      </c>
      <c r="W1993" s="21">
        <v>0</v>
      </c>
      <c r="X1993" s="21">
        <v>3</v>
      </c>
      <c r="Y1993" s="19">
        <v>0</v>
      </c>
      <c r="Z1993" s="21">
        <v>0</v>
      </c>
      <c r="AA1993" s="21">
        <v>1</v>
      </c>
      <c r="AB1993" s="21">
        <v>0</v>
      </c>
      <c r="AC1993" s="21">
        <v>0</v>
      </c>
      <c r="AD1993" s="21">
        <v>0</v>
      </c>
      <c r="AE1993" s="21">
        <v>0</v>
      </c>
      <c r="AF1993" s="21">
        <v>12</v>
      </c>
      <c r="AG1993" s="21">
        <v>1</v>
      </c>
      <c r="AH1993" s="21">
        <v>3</v>
      </c>
      <c r="AI1993" s="19">
        <v>4</v>
      </c>
      <c r="AJ1993" s="19">
        <v>1</v>
      </c>
      <c r="AK1993" s="19">
        <v>0</v>
      </c>
      <c r="AL1993" s="19">
        <v>1.5</v>
      </c>
      <c r="AM1993" s="21">
        <v>0</v>
      </c>
      <c r="AN1993" s="21">
        <v>0</v>
      </c>
      <c r="AO1993" s="21">
        <v>0</v>
      </c>
      <c r="AP1993" s="21">
        <v>3</v>
      </c>
      <c r="AQ1993" s="21">
        <v>5000</v>
      </c>
      <c r="AR1993" s="21">
        <v>3</v>
      </c>
      <c r="AS1993" s="21">
        <v>0</v>
      </c>
      <c r="AT1993" s="19">
        <v>0</v>
      </c>
      <c r="AU1993" s="21" t="s">
        <v>204</v>
      </c>
      <c r="AV1993" s="21"/>
      <c r="AW1993" s="35" t="s">
        <v>205</v>
      </c>
      <c r="AX1993" s="21" t="s">
        <v>540</v>
      </c>
      <c r="AY1993" s="32">
        <v>10000007</v>
      </c>
      <c r="AZ1993" s="32">
        <v>70103003</v>
      </c>
      <c r="BA1993" s="30" t="s">
        <v>206</v>
      </c>
      <c r="BB1993" s="21" t="s">
        <v>4556</v>
      </c>
      <c r="BC1993" s="31">
        <v>0</v>
      </c>
      <c r="BD1993" s="31">
        <v>0</v>
      </c>
      <c r="BE1993" s="33" t="s">
        <v>669</v>
      </c>
      <c r="BF1993" s="33" t="s">
        <v>670</v>
      </c>
      <c r="BG1993" s="21">
        <v>0</v>
      </c>
      <c r="BH1993" s="21">
        <v>0</v>
      </c>
      <c r="BI1993" s="21">
        <v>0</v>
      </c>
      <c r="BJ1993" s="21">
        <v>0</v>
      </c>
      <c r="BK1993" s="21">
        <v>0</v>
      </c>
      <c r="BL1993" s="21">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20.100000000000001" customHeight="1">
      <c r="C1994" s="32">
        <v>70502003</v>
      </c>
      <c r="D1994" s="30" t="s">
        <v>671</v>
      </c>
      <c r="E1994" s="30" t="s">
        <v>612</v>
      </c>
      <c r="F1994" s="21">
        <v>1</v>
      </c>
      <c r="G1994" s="21">
        <v>60010100</v>
      </c>
      <c r="H1994" s="32">
        <v>0</v>
      </c>
      <c r="I1994" s="31">
        <v>0</v>
      </c>
      <c r="J1994" s="32">
        <v>1</v>
      </c>
      <c r="K1994" s="32">
        <v>0</v>
      </c>
      <c r="L1994" s="32">
        <v>0</v>
      </c>
      <c r="M1994" s="21">
        <v>0</v>
      </c>
      <c r="N1994" s="21">
        <v>0</v>
      </c>
      <c r="O1994" s="21">
        <v>2</v>
      </c>
      <c r="P1994" s="21">
        <v>1</v>
      </c>
      <c r="Q1994" s="21">
        <v>0.3</v>
      </c>
      <c r="R1994" s="21">
        <v>0</v>
      </c>
      <c r="S1994" s="19">
        <v>0</v>
      </c>
      <c r="T1994" s="21">
        <v>0</v>
      </c>
      <c r="U1994" s="21">
        <v>1</v>
      </c>
      <c r="V1994" s="21">
        <v>2</v>
      </c>
      <c r="W1994" s="21">
        <v>0</v>
      </c>
      <c r="X1994" s="21">
        <v>3</v>
      </c>
      <c r="Y1994" s="19">
        <v>0</v>
      </c>
      <c r="Z1994" s="21">
        <v>0</v>
      </c>
      <c r="AA1994" s="21">
        <v>0</v>
      </c>
      <c r="AB1994" s="21">
        <v>0</v>
      </c>
      <c r="AC1994" s="21">
        <v>0</v>
      </c>
      <c r="AD1994" s="21">
        <v>0</v>
      </c>
      <c r="AE1994" s="21">
        <v>0</v>
      </c>
      <c r="AF1994" s="21">
        <v>12</v>
      </c>
      <c r="AG1994" s="21">
        <v>1</v>
      </c>
      <c r="AH1994" s="21">
        <v>3</v>
      </c>
      <c r="AI1994" s="19">
        <v>6</v>
      </c>
      <c r="AJ1994" s="19">
        <v>1</v>
      </c>
      <c r="AK1994" s="19">
        <v>0</v>
      </c>
      <c r="AL1994" s="19">
        <v>1.5</v>
      </c>
      <c r="AM1994" s="21">
        <v>0</v>
      </c>
      <c r="AN1994" s="21">
        <v>0</v>
      </c>
      <c r="AO1994" s="21">
        <v>0</v>
      </c>
      <c r="AP1994" s="21">
        <v>3</v>
      </c>
      <c r="AQ1994" s="21">
        <v>5000</v>
      </c>
      <c r="AR1994" s="21">
        <v>3</v>
      </c>
      <c r="AS1994" s="21">
        <v>0</v>
      </c>
      <c r="AT1994" s="19">
        <v>0</v>
      </c>
      <c r="AU1994" s="21" t="s">
        <v>204</v>
      </c>
      <c r="AV1994" s="21"/>
      <c r="AW1994" s="35" t="s">
        <v>262</v>
      </c>
      <c r="AX1994" s="21" t="s">
        <v>540</v>
      </c>
      <c r="AY1994" s="32">
        <v>10000007</v>
      </c>
      <c r="AZ1994" s="32">
        <v>70103003</v>
      </c>
      <c r="BA1994" s="30" t="s">
        <v>206</v>
      </c>
      <c r="BB1994" s="21" t="s">
        <v>4557</v>
      </c>
      <c r="BC1994" s="31">
        <v>0</v>
      </c>
      <c r="BD1994" s="31">
        <v>0</v>
      </c>
      <c r="BE1994" s="33" t="s">
        <v>673</v>
      </c>
      <c r="BF1994" s="33" t="s">
        <v>674</v>
      </c>
      <c r="BG1994" s="21">
        <v>0</v>
      </c>
      <c r="BH1994" s="21">
        <v>0</v>
      </c>
      <c r="BI1994" s="21">
        <v>0</v>
      </c>
      <c r="BJ1994" s="21">
        <v>0</v>
      </c>
      <c r="BK1994" s="21">
        <v>0</v>
      </c>
      <c r="BL1994" s="21">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70502004</v>
      </c>
      <c r="D1995" s="35" t="s">
        <v>675</v>
      </c>
      <c r="E1995" s="35" t="s">
        <v>676</v>
      </c>
      <c r="F1995" s="32">
        <v>1</v>
      </c>
      <c r="G1995" s="32">
        <v>60010500</v>
      </c>
      <c r="H1995" s="32">
        <v>0</v>
      </c>
      <c r="I1995" s="31">
        <v>0</v>
      </c>
      <c r="J1995" s="32">
        <v>1</v>
      </c>
      <c r="K1995" s="32">
        <v>0</v>
      </c>
      <c r="L1995" s="32">
        <v>0</v>
      </c>
      <c r="M1995" s="32">
        <v>0</v>
      </c>
      <c r="N1995" s="32">
        <v>0</v>
      </c>
      <c r="O1995" s="21">
        <v>2</v>
      </c>
      <c r="P1995" s="32">
        <v>2</v>
      </c>
      <c r="Q1995" s="32">
        <v>0.6</v>
      </c>
      <c r="R1995" s="32">
        <v>0</v>
      </c>
      <c r="S1995" s="19">
        <v>0</v>
      </c>
      <c r="T1995" s="31">
        <v>0</v>
      </c>
      <c r="U1995" s="21">
        <v>1</v>
      </c>
      <c r="V1995" s="32">
        <v>2</v>
      </c>
      <c r="W1995" s="32">
        <v>0</v>
      </c>
      <c r="X1995" s="32">
        <v>0</v>
      </c>
      <c r="Y1995" s="19">
        <v>0</v>
      </c>
      <c r="Z1995" s="32">
        <v>0</v>
      </c>
      <c r="AA1995" s="32">
        <v>0</v>
      </c>
      <c r="AB1995" s="32">
        <v>0</v>
      </c>
      <c r="AC1995" s="32">
        <v>0</v>
      </c>
      <c r="AD1995" s="32">
        <v>0</v>
      </c>
      <c r="AE1995" s="32">
        <v>0</v>
      </c>
      <c r="AF1995" s="32">
        <v>20</v>
      </c>
      <c r="AG1995" s="32">
        <v>0</v>
      </c>
      <c r="AH1995" s="32">
        <v>0</v>
      </c>
      <c r="AI1995" s="19">
        <v>2</v>
      </c>
      <c r="AJ1995" s="19">
        <v>0</v>
      </c>
      <c r="AK1995" s="19">
        <v>0</v>
      </c>
      <c r="AL1995" s="19">
        <v>0</v>
      </c>
      <c r="AM1995" s="32">
        <v>0</v>
      </c>
      <c r="AN1995" s="32">
        <v>0</v>
      </c>
      <c r="AO1995" s="32">
        <v>0</v>
      </c>
      <c r="AP1995" s="32">
        <v>0</v>
      </c>
      <c r="AQ1995" s="32">
        <v>1000</v>
      </c>
      <c r="AR1995" s="32">
        <v>0</v>
      </c>
      <c r="AS1995" s="32">
        <v>0</v>
      </c>
      <c r="AT1995" s="19">
        <v>90102001</v>
      </c>
      <c r="AU1995" s="32" t="s">
        <v>204</v>
      </c>
      <c r="AV1995" s="32"/>
      <c r="AW1995" s="35" t="s">
        <v>205</v>
      </c>
      <c r="AX1995" s="32" t="s">
        <v>354</v>
      </c>
      <c r="AY1995" s="32">
        <v>0</v>
      </c>
      <c r="AZ1995" s="32">
        <v>40000003</v>
      </c>
      <c r="BA1995" s="35" t="s">
        <v>206</v>
      </c>
      <c r="BB1995" s="35" t="s">
        <v>204</v>
      </c>
      <c r="BC1995" s="31">
        <v>0</v>
      </c>
      <c r="BD1995" s="31">
        <v>0</v>
      </c>
      <c r="BE1995" s="60" t="s">
        <v>677</v>
      </c>
      <c r="BF1995" s="60" t="s">
        <v>678</v>
      </c>
      <c r="BG1995" s="32">
        <v>0</v>
      </c>
      <c r="BH1995" s="21">
        <v>0</v>
      </c>
      <c r="BI1995" s="32">
        <v>0</v>
      </c>
      <c r="BJ1995" s="32">
        <v>0</v>
      </c>
      <c r="BK1995" s="32">
        <v>0</v>
      </c>
      <c r="BL1995" s="32">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20.100000000000001" customHeight="1">
      <c r="C1996" s="32">
        <v>70502005</v>
      </c>
      <c r="D1996" s="35" t="s">
        <v>679</v>
      </c>
      <c r="E1996" s="35" t="s">
        <v>680</v>
      </c>
      <c r="F1996" s="32">
        <v>1</v>
      </c>
      <c r="G1996" s="32">
        <v>60010500</v>
      </c>
      <c r="H1996" s="32">
        <v>0</v>
      </c>
      <c r="I1996" s="31">
        <v>0</v>
      </c>
      <c r="J1996" s="32">
        <v>1</v>
      </c>
      <c r="K1996" s="32">
        <v>0</v>
      </c>
      <c r="L1996" s="32">
        <v>0</v>
      </c>
      <c r="M1996" s="32">
        <v>0</v>
      </c>
      <c r="N1996" s="32">
        <v>0</v>
      </c>
      <c r="O1996" s="21">
        <v>2</v>
      </c>
      <c r="P1996" s="32">
        <v>2</v>
      </c>
      <c r="Q1996" s="32">
        <v>0.6</v>
      </c>
      <c r="R1996" s="32">
        <v>0</v>
      </c>
      <c r="S1996" s="19">
        <v>0</v>
      </c>
      <c r="T1996" s="31">
        <v>0</v>
      </c>
      <c r="U1996" s="21">
        <v>1</v>
      </c>
      <c r="V1996" s="32">
        <v>2</v>
      </c>
      <c r="W1996" s="32">
        <v>0</v>
      </c>
      <c r="X1996" s="32">
        <v>0</v>
      </c>
      <c r="Y1996" s="19">
        <v>0</v>
      </c>
      <c r="Z1996" s="32">
        <v>0</v>
      </c>
      <c r="AA1996" s="32">
        <v>0</v>
      </c>
      <c r="AB1996" s="32">
        <v>0</v>
      </c>
      <c r="AC1996" s="32">
        <v>0</v>
      </c>
      <c r="AD1996" s="32">
        <v>0</v>
      </c>
      <c r="AE1996" s="32">
        <v>0</v>
      </c>
      <c r="AF1996" s="21">
        <v>99999</v>
      </c>
      <c r="AG1996" s="32">
        <v>0</v>
      </c>
      <c r="AH1996" s="32">
        <v>0</v>
      </c>
      <c r="AI1996" s="19">
        <v>2</v>
      </c>
      <c r="AJ1996" s="19">
        <v>0</v>
      </c>
      <c r="AK1996" s="19">
        <v>0</v>
      </c>
      <c r="AL1996" s="19">
        <v>0</v>
      </c>
      <c r="AM1996" s="32">
        <v>0</v>
      </c>
      <c r="AN1996" s="32">
        <v>0</v>
      </c>
      <c r="AO1996" s="32">
        <v>0</v>
      </c>
      <c r="AP1996" s="32">
        <v>0</v>
      </c>
      <c r="AQ1996" s="32">
        <v>1000</v>
      </c>
      <c r="AR1996" s="32">
        <v>0</v>
      </c>
      <c r="AS1996" s="32">
        <v>0</v>
      </c>
      <c r="AT1996" s="19">
        <v>90104002</v>
      </c>
      <c r="AU1996" s="32" t="s">
        <v>204</v>
      </c>
      <c r="AV1996" s="32"/>
      <c r="AW1996" s="35" t="s">
        <v>205</v>
      </c>
      <c r="AX1996" s="32" t="s">
        <v>354</v>
      </c>
      <c r="AY1996" s="32">
        <v>0</v>
      </c>
      <c r="AZ1996" s="32">
        <v>0</v>
      </c>
      <c r="BA1996" s="35" t="s">
        <v>206</v>
      </c>
      <c r="BB1996" s="35" t="s">
        <v>204</v>
      </c>
      <c r="BC1996" s="31">
        <v>0</v>
      </c>
      <c r="BD1996" s="31">
        <v>0</v>
      </c>
      <c r="BE1996" s="60" t="s">
        <v>681</v>
      </c>
      <c r="BF1996" s="60" t="s">
        <v>682</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19.5" customHeight="1">
      <c r="C1997" s="32">
        <v>70503001</v>
      </c>
      <c r="D1997" s="35" t="s">
        <v>766</v>
      </c>
      <c r="E1997" s="35" t="s">
        <v>767</v>
      </c>
      <c r="F1997" s="32">
        <v>1</v>
      </c>
      <c r="G1997" s="32">
        <v>60010300</v>
      </c>
      <c r="H1997" s="32">
        <v>0</v>
      </c>
      <c r="I1997" s="31">
        <v>0</v>
      </c>
      <c r="J1997" s="32">
        <v>1</v>
      </c>
      <c r="K1997" s="32">
        <v>0</v>
      </c>
      <c r="L1997" s="32">
        <v>0</v>
      </c>
      <c r="M1997" s="32">
        <v>0</v>
      </c>
      <c r="N1997" s="32">
        <v>0</v>
      </c>
      <c r="O1997" s="21">
        <v>2</v>
      </c>
      <c r="P1997" s="32">
        <v>0</v>
      </c>
      <c r="Q1997" s="32">
        <v>0</v>
      </c>
      <c r="R1997" s="32">
        <v>0</v>
      </c>
      <c r="S1997" s="19">
        <v>0</v>
      </c>
      <c r="T1997" s="31">
        <v>0</v>
      </c>
      <c r="U1997" s="21">
        <v>1</v>
      </c>
      <c r="V1997" s="32">
        <v>2</v>
      </c>
      <c r="W1997" s="32">
        <v>0</v>
      </c>
      <c r="X1997" s="32">
        <v>3</v>
      </c>
      <c r="Y1997" s="19">
        <v>0</v>
      </c>
      <c r="Z1997" s="32">
        <v>0</v>
      </c>
      <c r="AA1997" s="32">
        <v>0</v>
      </c>
      <c r="AB1997" s="32">
        <v>0</v>
      </c>
      <c r="AC1997" s="32">
        <v>0</v>
      </c>
      <c r="AD1997" s="21">
        <v>0</v>
      </c>
      <c r="AE1997" s="32">
        <v>0</v>
      </c>
      <c r="AF1997" s="32">
        <v>20</v>
      </c>
      <c r="AG1997" s="32">
        <v>1</v>
      </c>
      <c r="AH1997" s="32">
        <v>1</v>
      </c>
      <c r="AI1997" s="19">
        <v>2</v>
      </c>
      <c r="AJ1997" s="19">
        <v>2</v>
      </c>
      <c r="AK1997" s="19">
        <v>0</v>
      </c>
      <c r="AL1997" s="19">
        <v>1.5</v>
      </c>
      <c r="AM1997" s="32">
        <v>0</v>
      </c>
      <c r="AN1997" s="32">
        <v>0</v>
      </c>
      <c r="AO1997" s="32">
        <v>0</v>
      </c>
      <c r="AP1997" s="32">
        <v>1</v>
      </c>
      <c r="AQ1997" s="32">
        <v>30000</v>
      </c>
      <c r="AR1997" s="32">
        <v>0</v>
      </c>
      <c r="AS1997" s="32">
        <v>4</v>
      </c>
      <c r="AT1997" s="19">
        <v>0</v>
      </c>
      <c r="AU1997" s="21" t="s">
        <v>665</v>
      </c>
      <c r="AV1997" s="21"/>
      <c r="AW1997" s="35" t="s">
        <v>205</v>
      </c>
      <c r="AX1997" s="32" t="s">
        <v>551</v>
      </c>
      <c r="AY1997" s="32">
        <v>10003002</v>
      </c>
      <c r="AZ1997" s="32">
        <v>70106005</v>
      </c>
      <c r="BA1997" s="35" t="s">
        <v>592</v>
      </c>
      <c r="BB1997" s="35">
        <v>0</v>
      </c>
      <c r="BC1997" s="31">
        <v>0</v>
      </c>
      <c r="BD1997" s="31">
        <v>0</v>
      </c>
      <c r="BE1997" s="60" t="s">
        <v>1071</v>
      </c>
      <c r="BF1997" s="60" t="s">
        <v>1072</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70503002</v>
      </c>
      <c r="D1998" s="30" t="s">
        <v>1073</v>
      </c>
      <c r="E1998" s="30" t="s">
        <v>1074</v>
      </c>
      <c r="F1998" s="32">
        <v>1</v>
      </c>
      <c r="G1998" s="21">
        <v>60010100</v>
      </c>
      <c r="H1998" s="32">
        <v>0</v>
      </c>
      <c r="I1998" s="31">
        <v>0</v>
      </c>
      <c r="J1998" s="32">
        <v>1</v>
      </c>
      <c r="K1998" s="32">
        <v>0</v>
      </c>
      <c r="L1998" s="32">
        <v>0</v>
      </c>
      <c r="M1998" s="21">
        <v>0</v>
      </c>
      <c r="N1998" s="21">
        <v>0</v>
      </c>
      <c r="O1998" s="21">
        <v>2</v>
      </c>
      <c r="P1998" s="21">
        <v>1</v>
      </c>
      <c r="Q1998" s="21">
        <v>0.3</v>
      </c>
      <c r="R1998" s="21">
        <v>0</v>
      </c>
      <c r="S1998" s="19">
        <v>0</v>
      </c>
      <c r="T1998" s="21">
        <v>0</v>
      </c>
      <c r="U1998" s="21">
        <v>1</v>
      </c>
      <c r="V1998" s="21">
        <v>2</v>
      </c>
      <c r="W1998" s="21">
        <v>0</v>
      </c>
      <c r="X1998" s="21">
        <v>2.5</v>
      </c>
      <c r="Y1998" s="19">
        <v>0</v>
      </c>
      <c r="Z1998" s="21">
        <v>0</v>
      </c>
      <c r="AA1998" s="21">
        <v>1</v>
      </c>
      <c r="AB1998" s="21">
        <v>0</v>
      </c>
      <c r="AC1998" s="21">
        <v>0</v>
      </c>
      <c r="AD1998" s="21">
        <v>0</v>
      </c>
      <c r="AE1998" s="21">
        <v>0</v>
      </c>
      <c r="AF1998" s="21">
        <v>12</v>
      </c>
      <c r="AG1998" s="21">
        <v>1</v>
      </c>
      <c r="AH1998" s="21">
        <v>3</v>
      </c>
      <c r="AI1998" s="19">
        <v>4</v>
      </c>
      <c r="AJ1998" s="19">
        <v>1</v>
      </c>
      <c r="AK1998" s="19">
        <v>0</v>
      </c>
      <c r="AL1998" s="19">
        <v>1.5</v>
      </c>
      <c r="AM1998" s="21">
        <v>0</v>
      </c>
      <c r="AN1998" s="21">
        <v>0</v>
      </c>
      <c r="AO1998" s="21">
        <v>0</v>
      </c>
      <c r="AP1998" s="21">
        <v>2.5</v>
      </c>
      <c r="AQ1998" s="21">
        <v>5000</v>
      </c>
      <c r="AR1998" s="21">
        <v>2</v>
      </c>
      <c r="AS1998" s="21">
        <v>0</v>
      </c>
      <c r="AT1998" s="19">
        <v>0</v>
      </c>
      <c r="AU1998" s="21">
        <v>0</v>
      </c>
      <c r="AV1998" s="21"/>
      <c r="AW1998" s="35" t="s">
        <v>623</v>
      </c>
      <c r="AX1998" s="21" t="s">
        <v>540</v>
      </c>
      <c r="AY1998" s="32">
        <v>10000007</v>
      </c>
      <c r="AZ1998" s="32">
        <v>70404002</v>
      </c>
      <c r="BA1998" s="30" t="s">
        <v>206</v>
      </c>
      <c r="BB1998" s="21" t="s">
        <v>4558</v>
      </c>
      <c r="BC1998" s="31">
        <v>0</v>
      </c>
      <c r="BD1998" s="31">
        <v>0</v>
      </c>
      <c r="BE1998" s="33" t="s">
        <v>4540</v>
      </c>
      <c r="BF1998" s="33" t="s">
        <v>4541</v>
      </c>
      <c r="BG1998" s="21">
        <v>0</v>
      </c>
      <c r="BH1998" s="21">
        <v>0</v>
      </c>
      <c r="BI1998" s="21">
        <v>0</v>
      </c>
      <c r="BJ1998" s="21">
        <v>0</v>
      </c>
      <c r="BK1998" s="21">
        <v>0</v>
      </c>
      <c r="BL1998" s="21">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70503003</v>
      </c>
      <c r="D1999" s="35" t="s">
        <v>544</v>
      </c>
      <c r="E1999" s="35" t="s">
        <v>545</v>
      </c>
      <c r="F1999" s="32">
        <v>1</v>
      </c>
      <c r="G1999" s="32">
        <v>60010500</v>
      </c>
      <c r="H1999" s="32">
        <v>0</v>
      </c>
      <c r="I1999" s="31">
        <v>0</v>
      </c>
      <c r="J1999" s="32">
        <v>1</v>
      </c>
      <c r="K1999" s="32">
        <v>0</v>
      </c>
      <c r="L1999" s="32">
        <v>0</v>
      </c>
      <c r="M1999" s="32">
        <v>0</v>
      </c>
      <c r="N1999" s="32">
        <v>0</v>
      </c>
      <c r="O1999" s="21">
        <v>2</v>
      </c>
      <c r="P1999" s="32">
        <v>2</v>
      </c>
      <c r="Q1999" s="32">
        <v>0.6</v>
      </c>
      <c r="R1999" s="32">
        <v>0</v>
      </c>
      <c r="S1999" s="19">
        <v>0</v>
      </c>
      <c r="T1999" s="31">
        <v>0</v>
      </c>
      <c r="U1999" s="21">
        <v>1</v>
      </c>
      <c r="V1999" s="32">
        <v>2</v>
      </c>
      <c r="W1999" s="32">
        <v>0</v>
      </c>
      <c r="X1999" s="32">
        <v>0</v>
      </c>
      <c r="Y1999" s="19">
        <v>0</v>
      </c>
      <c r="Z1999" s="32">
        <v>0</v>
      </c>
      <c r="AA1999" s="32">
        <v>0</v>
      </c>
      <c r="AB1999" s="32">
        <v>0</v>
      </c>
      <c r="AC1999" s="32">
        <v>0</v>
      </c>
      <c r="AD1999" s="21">
        <v>0</v>
      </c>
      <c r="AE1999" s="32">
        <v>0</v>
      </c>
      <c r="AF1999" s="32">
        <v>20</v>
      </c>
      <c r="AG1999" s="32">
        <v>0</v>
      </c>
      <c r="AH1999" s="32">
        <v>0</v>
      </c>
      <c r="AI1999" s="19">
        <v>2</v>
      </c>
      <c r="AJ1999" s="19">
        <v>0</v>
      </c>
      <c r="AK1999" s="19">
        <v>0</v>
      </c>
      <c r="AL1999" s="19">
        <v>0</v>
      </c>
      <c r="AM1999" s="32">
        <v>0</v>
      </c>
      <c r="AN1999" s="32">
        <v>0</v>
      </c>
      <c r="AO1999" s="32">
        <v>0</v>
      </c>
      <c r="AP1999" s="32">
        <v>0</v>
      </c>
      <c r="AQ1999" s="32">
        <v>1000</v>
      </c>
      <c r="AR1999" s="32">
        <v>0</v>
      </c>
      <c r="AS1999" s="32">
        <v>0</v>
      </c>
      <c r="AT1999" s="19">
        <v>90401004</v>
      </c>
      <c r="AU1999" s="32" t="s">
        <v>204</v>
      </c>
      <c r="AV1999" s="32"/>
      <c r="AW1999" s="35" t="s">
        <v>204</v>
      </c>
      <c r="AX1999" s="32" t="s">
        <v>354</v>
      </c>
      <c r="AY1999" s="32">
        <v>0</v>
      </c>
      <c r="AZ1999" s="32">
        <v>40000003</v>
      </c>
      <c r="BA1999" s="35" t="s">
        <v>206</v>
      </c>
      <c r="BB1999" s="35" t="s">
        <v>204</v>
      </c>
      <c r="BC1999" s="31">
        <v>0</v>
      </c>
      <c r="BD1999" s="31">
        <v>0</v>
      </c>
      <c r="BE1999" s="60" t="s">
        <v>856</v>
      </c>
      <c r="BF1999" s="60" t="s">
        <v>857</v>
      </c>
      <c r="BG1999" s="32">
        <v>0</v>
      </c>
      <c r="BH1999" s="21">
        <v>0</v>
      </c>
      <c r="BI1999" s="32">
        <v>0</v>
      </c>
      <c r="BJ1999" s="32">
        <v>0</v>
      </c>
      <c r="BK1999" s="32">
        <v>0</v>
      </c>
      <c r="BL1999" s="32">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70503004</v>
      </c>
      <c r="D2000" s="35" t="s">
        <v>573</v>
      </c>
      <c r="E2000" s="35" t="s">
        <v>574</v>
      </c>
      <c r="F2000" s="32">
        <v>1</v>
      </c>
      <c r="G2000" s="32">
        <v>60010500</v>
      </c>
      <c r="H2000" s="32">
        <v>0</v>
      </c>
      <c r="I2000" s="31">
        <v>0</v>
      </c>
      <c r="J2000" s="32">
        <v>1</v>
      </c>
      <c r="K2000" s="32">
        <v>0</v>
      </c>
      <c r="L2000" s="32">
        <v>0</v>
      </c>
      <c r="M2000" s="32">
        <v>0</v>
      </c>
      <c r="N2000" s="32">
        <v>0</v>
      </c>
      <c r="O2000" s="21">
        <v>2</v>
      </c>
      <c r="P2000" s="32">
        <v>2</v>
      </c>
      <c r="Q2000" s="32">
        <v>0.3</v>
      </c>
      <c r="R2000" s="32">
        <v>0</v>
      </c>
      <c r="S2000" s="19">
        <v>0</v>
      </c>
      <c r="T2000" s="31">
        <v>0</v>
      </c>
      <c r="U2000" s="21">
        <v>1</v>
      </c>
      <c r="V2000" s="32">
        <v>2</v>
      </c>
      <c r="W2000" s="32">
        <v>0</v>
      </c>
      <c r="X2000" s="32">
        <v>0</v>
      </c>
      <c r="Y2000" s="19">
        <v>0</v>
      </c>
      <c r="Z2000" s="32">
        <v>0</v>
      </c>
      <c r="AA2000" s="32">
        <v>0</v>
      </c>
      <c r="AB2000" s="32">
        <v>0</v>
      </c>
      <c r="AC2000" s="32">
        <v>0</v>
      </c>
      <c r="AD2000" s="21">
        <v>0</v>
      </c>
      <c r="AE2000" s="32">
        <v>0</v>
      </c>
      <c r="AF2000" s="21">
        <v>15</v>
      </c>
      <c r="AG2000" s="32">
        <v>0</v>
      </c>
      <c r="AH2000" s="32">
        <v>0</v>
      </c>
      <c r="AI2000" s="19">
        <v>2</v>
      </c>
      <c r="AJ2000" s="19">
        <v>0</v>
      </c>
      <c r="AK2000" s="19">
        <v>0</v>
      </c>
      <c r="AL2000" s="19">
        <v>0</v>
      </c>
      <c r="AM2000" s="32">
        <v>0</v>
      </c>
      <c r="AN2000" s="32">
        <v>0</v>
      </c>
      <c r="AO2000" s="32">
        <v>0</v>
      </c>
      <c r="AP2000" s="32">
        <v>0</v>
      </c>
      <c r="AQ2000" s="32">
        <v>1000</v>
      </c>
      <c r="AR2000" s="32">
        <v>0</v>
      </c>
      <c r="AS2000" s="32">
        <v>0</v>
      </c>
      <c r="AT2000" s="19">
        <v>90402005</v>
      </c>
      <c r="AU2000" s="32" t="s">
        <v>204</v>
      </c>
      <c r="AV2000" s="32"/>
      <c r="AW2000" s="35" t="s">
        <v>205</v>
      </c>
      <c r="AX2000" s="32" t="s">
        <v>354</v>
      </c>
      <c r="AY2000" s="32">
        <v>0</v>
      </c>
      <c r="AZ2000" s="32">
        <v>0</v>
      </c>
      <c r="BA2000" s="35" t="s">
        <v>206</v>
      </c>
      <c r="BB2000" s="35" t="s">
        <v>204</v>
      </c>
      <c r="BC2000" s="31">
        <v>0</v>
      </c>
      <c r="BD2000" s="31">
        <v>0</v>
      </c>
      <c r="BE2000" s="60" t="s">
        <v>761</v>
      </c>
      <c r="BF2000" s="60" t="s">
        <v>762</v>
      </c>
      <c r="BG2000" s="32">
        <v>0</v>
      </c>
      <c r="BH2000" s="21">
        <v>0</v>
      </c>
      <c r="BI2000" s="32">
        <v>0</v>
      </c>
      <c r="BJ2000" s="32">
        <v>0</v>
      </c>
      <c r="BK2000" s="32">
        <v>0</v>
      </c>
      <c r="BL2000" s="32">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20.100000000000001" customHeight="1">
      <c r="C2001" s="32">
        <v>70503005</v>
      </c>
      <c r="D2001" s="30" t="s">
        <v>1664</v>
      </c>
      <c r="E2001" s="30" t="s">
        <v>1665</v>
      </c>
      <c r="F2001" s="21">
        <v>2</v>
      </c>
      <c r="G2001" s="21">
        <v>61012301</v>
      </c>
      <c r="H2001" s="21">
        <v>0</v>
      </c>
      <c r="I2001" s="31">
        <v>0</v>
      </c>
      <c r="J2001" s="32">
        <v>1</v>
      </c>
      <c r="K2001" s="32">
        <v>0</v>
      </c>
      <c r="L2001" s="32">
        <v>0</v>
      </c>
      <c r="M2001" s="21">
        <v>0</v>
      </c>
      <c r="N2001" s="21">
        <v>0</v>
      </c>
      <c r="O2001" s="21">
        <v>2</v>
      </c>
      <c r="P2001" s="21">
        <v>1</v>
      </c>
      <c r="Q2001" s="21">
        <v>0.5</v>
      </c>
      <c r="R2001" s="21">
        <v>0</v>
      </c>
      <c r="S2001" s="19">
        <v>0</v>
      </c>
      <c r="T2001" s="21">
        <v>0</v>
      </c>
      <c r="U2001" s="21">
        <v>1</v>
      </c>
      <c r="V2001" s="21">
        <v>2</v>
      </c>
      <c r="W2001" s="21">
        <v>0</v>
      </c>
      <c r="X2001" s="21">
        <v>3</v>
      </c>
      <c r="Y2001" s="19">
        <v>0</v>
      </c>
      <c r="Z2001" s="21">
        <v>0</v>
      </c>
      <c r="AA2001" s="21">
        <v>1</v>
      </c>
      <c r="AB2001" s="21">
        <v>0</v>
      </c>
      <c r="AC2001" s="21">
        <v>0</v>
      </c>
      <c r="AD2001" s="21">
        <v>0</v>
      </c>
      <c r="AE2001" s="21">
        <v>0</v>
      </c>
      <c r="AF2001" s="21">
        <v>12</v>
      </c>
      <c r="AG2001" s="21">
        <v>2</v>
      </c>
      <c r="AH2001" s="21" t="s">
        <v>219</v>
      </c>
      <c r="AI2001" s="19">
        <v>0</v>
      </c>
      <c r="AJ2001" s="19">
        <v>2</v>
      </c>
      <c r="AK2001" s="19">
        <v>0</v>
      </c>
      <c r="AL2001" s="19">
        <v>1.5</v>
      </c>
      <c r="AM2001" s="21">
        <v>0</v>
      </c>
      <c r="AN2001" s="21">
        <v>0</v>
      </c>
      <c r="AO2001" s="21">
        <v>0</v>
      </c>
      <c r="AP2001" s="21">
        <v>0.2</v>
      </c>
      <c r="AQ2001" s="21">
        <v>200</v>
      </c>
      <c r="AR2001" s="21">
        <v>1</v>
      </c>
      <c r="AS2001" s="21">
        <v>30</v>
      </c>
      <c r="AT2001" s="19">
        <v>0</v>
      </c>
      <c r="AU2001" s="21" t="s">
        <v>204</v>
      </c>
      <c r="AV2001" s="21"/>
      <c r="AW2001" s="30" t="s">
        <v>262</v>
      </c>
      <c r="AX2001" s="21" t="s">
        <v>221</v>
      </c>
      <c r="AY2001" s="32">
        <v>10000011</v>
      </c>
      <c r="AZ2001" s="32">
        <v>70404001</v>
      </c>
      <c r="BA2001" s="30" t="s">
        <v>222</v>
      </c>
      <c r="BB2001" s="21">
        <v>0</v>
      </c>
      <c r="BC2001" s="31">
        <v>0</v>
      </c>
      <c r="BD2001" s="31">
        <v>0</v>
      </c>
      <c r="BE2001" s="33" t="s">
        <v>4543</v>
      </c>
      <c r="BF2001" s="33" t="s">
        <v>4544</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70503006</v>
      </c>
      <c r="D2002" s="30" t="s">
        <v>1035</v>
      </c>
      <c r="E2002" s="30" t="s">
        <v>1036</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v>
      </c>
      <c r="Y2002" s="19">
        <v>0</v>
      </c>
      <c r="Z2002" s="21">
        <v>0</v>
      </c>
      <c r="AA2002" s="21">
        <v>1</v>
      </c>
      <c r="AB2002" s="21">
        <v>0</v>
      </c>
      <c r="AC2002" s="21">
        <v>0</v>
      </c>
      <c r="AD2002" s="21">
        <v>0</v>
      </c>
      <c r="AE2002" s="21">
        <v>0</v>
      </c>
      <c r="AF2002" s="21">
        <v>12</v>
      </c>
      <c r="AG2002" s="21">
        <v>1</v>
      </c>
      <c r="AH2002" s="21">
        <v>3</v>
      </c>
      <c r="AI2002" s="19">
        <v>4</v>
      </c>
      <c r="AJ2002" s="19">
        <v>1</v>
      </c>
      <c r="AK2002" s="19">
        <v>0</v>
      </c>
      <c r="AL2002" s="19">
        <v>1.5</v>
      </c>
      <c r="AM2002" s="21">
        <v>0</v>
      </c>
      <c r="AN2002" s="21">
        <v>0</v>
      </c>
      <c r="AO2002" s="21">
        <v>0</v>
      </c>
      <c r="AP2002" s="21">
        <v>3</v>
      </c>
      <c r="AQ2002" s="21">
        <v>999999</v>
      </c>
      <c r="AR2002" s="21">
        <v>3</v>
      </c>
      <c r="AS2002" s="21">
        <v>0</v>
      </c>
      <c r="AT2002" s="19">
        <v>0</v>
      </c>
      <c r="AU2002" s="21" t="s">
        <v>204</v>
      </c>
      <c r="AV2002" s="21"/>
      <c r="AW2002" s="35" t="s">
        <v>293</v>
      </c>
      <c r="AX2002" s="21" t="s">
        <v>540</v>
      </c>
      <c r="AY2002" s="32">
        <v>10000007</v>
      </c>
      <c r="AZ2002" s="32">
        <v>70302004</v>
      </c>
      <c r="BA2002" s="30" t="s">
        <v>206</v>
      </c>
      <c r="BB2002" s="21" t="s">
        <v>4559</v>
      </c>
      <c r="BC2002" s="31">
        <v>0</v>
      </c>
      <c r="BD2002" s="31">
        <v>0</v>
      </c>
      <c r="BE2002" s="33" t="s">
        <v>4443</v>
      </c>
      <c r="BF2002" s="33" t="s">
        <v>4444</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20.100000000000001" customHeight="1">
      <c r="C2003" s="32">
        <v>70504001</v>
      </c>
      <c r="D2003" s="30" t="s">
        <v>1092</v>
      </c>
      <c r="E2003" s="30" t="s">
        <v>1093</v>
      </c>
      <c r="F2003" s="21">
        <v>1</v>
      </c>
      <c r="G2003" s="21">
        <v>60010300</v>
      </c>
      <c r="H2003" s="32">
        <v>0</v>
      </c>
      <c r="I2003" s="31">
        <v>0</v>
      </c>
      <c r="J2003" s="32">
        <v>1</v>
      </c>
      <c r="K2003" s="32">
        <v>0</v>
      </c>
      <c r="L2003" s="32">
        <v>0</v>
      </c>
      <c r="M2003" s="21">
        <v>0</v>
      </c>
      <c r="N2003" s="21">
        <v>0</v>
      </c>
      <c r="O2003" s="21">
        <v>2</v>
      </c>
      <c r="P2003" s="21">
        <v>2</v>
      </c>
      <c r="Q2003" s="21">
        <v>0.8</v>
      </c>
      <c r="R2003" s="21">
        <v>1</v>
      </c>
      <c r="S2003" s="19">
        <v>0</v>
      </c>
      <c r="T2003" s="21">
        <v>0</v>
      </c>
      <c r="U2003" s="21">
        <v>1</v>
      </c>
      <c r="V2003" s="21">
        <v>2</v>
      </c>
      <c r="W2003" s="21">
        <v>0</v>
      </c>
      <c r="X2003" s="21">
        <v>0</v>
      </c>
      <c r="Y2003" s="19">
        <v>0</v>
      </c>
      <c r="Z2003" s="21">
        <v>0</v>
      </c>
      <c r="AA2003" s="21">
        <v>0</v>
      </c>
      <c r="AB2003" s="21">
        <v>0</v>
      </c>
      <c r="AC2003" s="21">
        <v>0</v>
      </c>
      <c r="AD2003" s="21">
        <v>0</v>
      </c>
      <c r="AE2003" s="21">
        <v>0</v>
      </c>
      <c r="AF2003" s="21">
        <v>99999</v>
      </c>
      <c r="AG2003" s="21">
        <v>0</v>
      </c>
      <c r="AH2003" s="21">
        <v>0</v>
      </c>
      <c r="AI2003" s="19">
        <v>2</v>
      </c>
      <c r="AJ2003" s="19">
        <v>2</v>
      </c>
      <c r="AK2003" s="19">
        <v>0</v>
      </c>
      <c r="AL2003" s="19">
        <v>1.5</v>
      </c>
      <c r="AM2003" s="21">
        <v>0</v>
      </c>
      <c r="AN2003" s="21">
        <v>0</v>
      </c>
      <c r="AO2003" s="21">
        <v>0</v>
      </c>
      <c r="AP2003" s="21">
        <v>1</v>
      </c>
      <c r="AQ2003" s="21">
        <v>3000</v>
      </c>
      <c r="AR2003" s="21">
        <v>0.5</v>
      </c>
      <c r="AS2003" s="21">
        <v>0</v>
      </c>
      <c r="AT2003" s="19">
        <v>0</v>
      </c>
      <c r="AU2003" s="21" t="s">
        <v>204</v>
      </c>
      <c r="AV2003" s="21"/>
      <c r="AW2003" s="35" t="s">
        <v>205</v>
      </c>
      <c r="AX2003" s="21" t="s">
        <v>551</v>
      </c>
      <c r="AY2003" s="32">
        <v>0</v>
      </c>
      <c r="AZ2003" s="32">
        <v>0</v>
      </c>
      <c r="BA2003" s="30" t="s">
        <v>534</v>
      </c>
      <c r="BB2003" s="21" t="s">
        <v>1094</v>
      </c>
      <c r="BC2003" s="31">
        <v>0</v>
      </c>
      <c r="BD2003" s="31">
        <v>0</v>
      </c>
      <c r="BE2003" s="33" t="s">
        <v>1095</v>
      </c>
      <c r="BF2003" s="33" t="s">
        <v>1096</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19.5" customHeight="1">
      <c r="C2004" s="32">
        <v>70504002</v>
      </c>
      <c r="D2004" s="30" t="s">
        <v>1097</v>
      </c>
      <c r="E2004" s="30" t="s">
        <v>1098</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t="s">
        <v>613</v>
      </c>
      <c r="AI2004" s="19">
        <v>0</v>
      </c>
      <c r="AJ2004" s="19">
        <v>1</v>
      </c>
      <c r="AK2004" s="19">
        <v>0</v>
      </c>
      <c r="AL2004" s="19">
        <v>3</v>
      </c>
      <c r="AM2004" s="21">
        <v>0</v>
      </c>
      <c r="AN2004" s="21">
        <v>0</v>
      </c>
      <c r="AO2004" s="21">
        <v>0</v>
      </c>
      <c r="AP2004" s="21">
        <v>3</v>
      </c>
      <c r="AQ2004" s="21">
        <v>5000</v>
      </c>
      <c r="AR2004" s="21">
        <v>2.5</v>
      </c>
      <c r="AS2004" s="21">
        <v>0</v>
      </c>
      <c r="AT2004" s="19">
        <v>0</v>
      </c>
      <c r="AU2004" s="21">
        <v>80001030</v>
      </c>
      <c r="AV2004" s="21"/>
      <c r="AW2004" s="35" t="s">
        <v>293</v>
      </c>
      <c r="AX2004" s="21" t="s">
        <v>540</v>
      </c>
      <c r="AY2004" s="32">
        <v>10000007</v>
      </c>
      <c r="AZ2004" s="32">
        <v>70204001</v>
      </c>
      <c r="BA2004" s="30" t="s">
        <v>206</v>
      </c>
      <c r="BB2004" s="21">
        <v>0</v>
      </c>
      <c r="BC2004" s="31">
        <v>0</v>
      </c>
      <c r="BD2004" s="31">
        <v>0</v>
      </c>
      <c r="BE2004" s="33" t="s">
        <v>1099</v>
      </c>
      <c r="BF2004" s="33" t="s">
        <v>1100</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70504003</v>
      </c>
      <c r="D2005" s="30" t="s">
        <v>952</v>
      </c>
      <c r="E2005" s="30" t="s">
        <v>953</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v>
      </c>
      <c r="Y2005" s="19">
        <v>0</v>
      </c>
      <c r="Z2005" s="21">
        <v>0</v>
      </c>
      <c r="AA2005" s="21">
        <v>1</v>
      </c>
      <c r="AB2005" s="21">
        <v>0</v>
      </c>
      <c r="AC2005" s="21">
        <v>0</v>
      </c>
      <c r="AD2005" s="21">
        <v>0</v>
      </c>
      <c r="AE2005" s="21">
        <v>0</v>
      </c>
      <c r="AF2005" s="21">
        <v>16</v>
      </c>
      <c r="AG2005" s="21">
        <v>1</v>
      </c>
      <c r="AH2005" s="21">
        <v>3</v>
      </c>
      <c r="AI2005" s="19">
        <v>4</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262</v>
      </c>
      <c r="AX2005" s="21" t="s">
        <v>540</v>
      </c>
      <c r="AY2005" s="32">
        <v>10000007</v>
      </c>
      <c r="AZ2005" s="32">
        <v>70204002</v>
      </c>
      <c r="BA2005" s="30" t="s">
        <v>206</v>
      </c>
      <c r="BB2005" s="21" t="s">
        <v>4560</v>
      </c>
      <c r="BC2005" s="31">
        <v>0</v>
      </c>
      <c r="BD2005" s="31">
        <v>0</v>
      </c>
      <c r="BE2005" s="33" t="s">
        <v>1102</v>
      </c>
      <c r="BF2005" s="33" t="s">
        <v>1103</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20.100000000000001" customHeight="1">
      <c r="C2006" s="32">
        <v>70504004</v>
      </c>
      <c r="D2006" s="30" t="s">
        <v>957</v>
      </c>
      <c r="E2006" s="30" t="s">
        <v>958</v>
      </c>
      <c r="F2006" s="32">
        <v>1</v>
      </c>
      <c r="G2006" s="21">
        <v>60010100</v>
      </c>
      <c r="H2006" s="32">
        <v>0</v>
      </c>
      <c r="I2006" s="31">
        <v>0</v>
      </c>
      <c r="J2006" s="32">
        <v>1</v>
      </c>
      <c r="K2006" s="32">
        <v>0</v>
      </c>
      <c r="L2006" s="32">
        <v>0</v>
      </c>
      <c r="M2006" s="21">
        <v>0</v>
      </c>
      <c r="N2006" s="21">
        <v>0</v>
      </c>
      <c r="O2006" s="21">
        <v>2</v>
      </c>
      <c r="P2006" s="21">
        <v>1</v>
      </c>
      <c r="Q2006" s="21">
        <v>0.3</v>
      </c>
      <c r="R2006" s="21">
        <v>0</v>
      </c>
      <c r="S2006" s="19">
        <v>0</v>
      </c>
      <c r="T2006" s="21">
        <v>0</v>
      </c>
      <c r="U2006" s="21">
        <v>1</v>
      </c>
      <c r="V2006" s="21">
        <v>2</v>
      </c>
      <c r="W2006" s="21">
        <v>0</v>
      </c>
      <c r="X2006" s="21">
        <v>2.5</v>
      </c>
      <c r="Y2006" s="19">
        <v>0</v>
      </c>
      <c r="Z2006" s="21">
        <v>0</v>
      </c>
      <c r="AA2006" s="21">
        <v>1</v>
      </c>
      <c r="AB2006" s="21">
        <v>0</v>
      </c>
      <c r="AC2006" s="21">
        <v>0</v>
      </c>
      <c r="AD2006" s="21">
        <v>0</v>
      </c>
      <c r="AE2006" s="21">
        <v>0</v>
      </c>
      <c r="AF2006" s="21">
        <v>16</v>
      </c>
      <c r="AG2006" s="21">
        <v>1</v>
      </c>
      <c r="AH2006" s="21">
        <v>3</v>
      </c>
      <c r="AI2006" s="19">
        <v>6</v>
      </c>
      <c r="AJ2006" s="19">
        <v>1</v>
      </c>
      <c r="AK2006" s="19">
        <v>0</v>
      </c>
      <c r="AL2006" s="19">
        <v>1.5</v>
      </c>
      <c r="AM2006" s="21">
        <v>0</v>
      </c>
      <c r="AN2006" s="21">
        <v>0</v>
      </c>
      <c r="AO2006" s="21">
        <v>0</v>
      </c>
      <c r="AP2006" s="21">
        <v>3</v>
      </c>
      <c r="AQ2006" s="21">
        <v>5000</v>
      </c>
      <c r="AR2006" s="21">
        <v>3</v>
      </c>
      <c r="AS2006" s="21">
        <v>0</v>
      </c>
      <c r="AT2006" s="19">
        <v>0</v>
      </c>
      <c r="AU2006" s="21">
        <v>80001030</v>
      </c>
      <c r="AV2006" s="21"/>
      <c r="AW2006" s="35" t="s">
        <v>623</v>
      </c>
      <c r="AX2006" s="21" t="s">
        <v>540</v>
      </c>
      <c r="AY2006" s="32">
        <v>10000007</v>
      </c>
      <c r="AZ2006" s="32">
        <v>70204003</v>
      </c>
      <c r="BA2006" s="30" t="s">
        <v>206</v>
      </c>
      <c r="BB2006" s="21" t="s">
        <v>4561</v>
      </c>
      <c r="BC2006" s="31">
        <v>0</v>
      </c>
      <c r="BD2006" s="31">
        <v>0</v>
      </c>
      <c r="BE2006" s="33" t="s">
        <v>1105</v>
      </c>
      <c r="BF2006" s="33" t="s">
        <v>1106</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19.5" customHeight="1">
      <c r="C2007" s="32">
        <v>70504005</v>
      </c>
      <c r="D2007" s="30" t="s">
        <v>1107</v>
      </c>
      <c r="E2007" s="30" t="s">
        <v>1108</v>
      </c>
      <c r="F2007" s="32">
        <v>1</v>
      </c>
      <c r="G2007" s="21">
        <v>60010100</v>
      </c>
      <c r="H2007" s="32">
        <v>0</v>
      </c>
      <c r="I2007" s="31">
        <v>0</v>
      </c>
      <c r="J2007" s="32">
        <v>1</v>
      </c>
      <c r="K2007" s="32">
        <v>0</v>
      </c>
      <c r="L2007" s="32">
        <v>0</v>
      </c>
      <c r="M2007" s="21">
        <v>0</v>
      </c>
      <c r="N2007" s="21">
        <v>0</v>
      </c>
      <c r="O2007" s="21">
        <v>2</v>
      </c>
      <c r="P2007" s="21">
        <v>1</v>
      </c>
      <c r="Q2007" s="21">
        <v>0.3</v>
      </c>
      <c r="R2007" s="21">
        <v>0</v>
      </c>
      <c r="S2007" s="19">
        <v>0</v>
      </c>
      <c r="T2007" s="21">
        <v>0</v>
      </c>
      <c r="U2007" s="21">
        <v>1</v>
      </c>
      <c r="V2007" s="21">
        <v>2</v>
      </c>
      <c r="W2007" s="21">
        <v>0</v>
      </c>
      <c r="X2007" s="21">
        <v>2.5</v>
      </c>
      <c r="Y2007" s="19">
        <v>0</v>
      </c>
      <c r="Z2007" s="21">
        <v>0</v>
      </c>
      <c r="AA2007" s="21">
        <v>1</v>
      </c>
      <c r="AB2007" s="21">
        <v>0</v>
      </c>
      <c r="AC2007" s="21">
        <v>0</v>
      </c>
      <c r="AD2007" s="21">
        <v>0</v>
      </c>
      <c r="AE2007" s="21">
        <v>0</v>
      </c>
      <c r="AF2007" s="21">
        <v>16</v>
      </c>
      <c r="AG2007" s="21">
        <v>1</v>
      </c>
      <c r="AH2007" s="21" t="s">
        <v>613</v>
      </c>
      <c r="AI2007" s="19">
        <v>0</v>
      </c>
      <c r="AJ2007" s="19">
        <v>1</v>
      </c>
      <c r="AK2007" s="19">
        <v>0</v>
      </c>
      <c r="AL2007" s="19">
        <v>3</v>
      </c>
      <c r="AM2007" s="21">
        <v>0</v>
      </c>
      <c r="AN2007" s="21">
        <v>0</v>
      </c>
      <c r="AO2007" s="21">
        <v>0</v>
      </c>
      <c r="AP2007" s="21">
        <v>2.5</v>
      </c>
      <c r="AQ2007" s="21">
        <v>5000</v>
      </c>
      <c r="AR2007" s="21">
        <v>2</v>
      </c>
      <c r="AS2007" s="21">
        <v>0</v>
      </c>
      <c r="AT2007" s="19">
        <v>0</v>
      </c>
      <c r="AU2007" s="21">
        <v>80001030</v>
      </c>
      <c r="AV2007" s="21"/>
      <c r="AW2007" s="35" t="s">
        <v>262</v>
      </c>
      <c r="AX2007" s="21" t="s">
        <v>540</v>
      </c>
      <c r="AY2007" s="32">
        <v>10000007</v>
      </c>
      <c r="AZ2007" s="32">
        <v>70405001</v>
      </c>
      <c r="BA2007" s="30" t="s">
        <v>206</v>
      </c>
      <c r="BB2007" s="21">
        <v>0</v>
      </c>
      <c r="BC2007" s="31">
        <v>0</v>
      </c>
      <c r="BD2007" s="31">
        <v>0</v>
      </c>
      <c r="BE2007" s="33" t="s">
        <v>1109</v>
      </c>
      <c r="BF2007" s="33" t="s">
        <v>1110</v>
      </c>
      <c r="BG2007" s="21">
        <v>0</v>
      </c>
      <c r="BH2007" s="21">
        <v>0</v>
      </c>
      <c r="BI2007" s="21">
        <v>0</v>
      </c>
      <c r="BJ2007" s="21">
        <v>0</v>
      </c>
      <c r="BK2007" s="21">
        <v>0</v>
      </c>
      <c r="BL2007" s="21">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20.100000000000001" customHeight="1">
      <c r="C2008" s="32">
        <v>70505001</v>
      </c>
      <c r="D2008" s="30" t="s">
        <v>1122</v>
      </c>
      <c r="E2008" s="30" t="s">
        <v>397</v>
      </c>
      <c r="F2008" s="32">
        <v>1</v>
      </c>
      <c r="G2008" s="21">
        <v>60010100</v>
      </c>
      <c r="H2008" s="32">
        <v>0</v>
      </c>
      <c r="I2008" s="31">
        <v>0</v>
      </c>
      <c r="J2008" s="32">
        <v>1</v>
      </c>
      <c r="K2008" s="32">
        <v>0</v>
      </c>
      <c r="L2008" s="32">
        <v>0</v>
      </c>
      <c r="M2008" s="21">
        <v>0</v>
      </c>
      <c r="N2008" s="21">
        <v>0</v>
      </c>
      <c r="O2008" s="21">
        <v>2</v>
      </c>
      <c r="P2008" s="21">
        <v>1</v>
      </c>
      <c r="Q2008" s="21">
        <v>0.3</v>
      </c>
      <c r="R2008" s="21">
        <v>0</v>
      </c>
      <c r="S2008" s="19">
        <v>0</v>
      </c>
      <c r="T2008" s="21">
        <v>0</v>
      </c>
      <c r="U2008" s="21">
        <v>1</v>
      </c>
      <c r="V2008" s="21">
        <v>2</v>
      </c>
      <c r="W2008" s="21">
        <v>0</v>
      </c>
      <c r="X2008" s="21">
        <v>2</v>
      </c>
      <c r="Y2008" s="19">
        <v>0</v>
      </c>
      <c r="Z2008" s="21">
        <v>0</v>
      </c>
      <c r="AA2008" s="21">
        <v>1</v>
      </c>
      <c r="AB2008" s="21">
        <v>0</v>
      </c>
      <c r="AC2008" s="21">
        <v>0</v>
      </c>
      <c r="AD2008" s="21">
        <v>0</v>
      </c>
      <c r="AE2008" s="21">
        <v>0</v>
      </c>
      <c r="AF2008" s="21">
        <v>12</v>
      </c>
      <c r="AG2008" s="21">
        <v>1</v>
      </c>
      <c r="AH2008" s="21">
        <v>3</v>
      </c>
      <c r="AI2008" s="19">
        <v>4</v>
      </c>
      <c r="AJ2008" s="19">
        <v>1</v>
      </c>
      <c r="AK2008" s="19">
        <v>0</v>
      </c>
      <c r="AL2008" s="19">
        <v>1.5</v>
      </c>
      <c r="AM2008" s="21">
        <v>0</v>
      </c>
      <c r="AN2008" s="21">
        <v>0</v>
      </c>
      <c r="AO2008" s="21">
        <v>0</v>
      </c>
      <c r="AP2008" s="21">
        <v>3</v>
      </c>
      <c r="AQ2008" s="21">
        <v>5000</v>
      </c>
      <c r="AR2008" s="21">
        <v>3</v>
      </c>
      <c r="AS2008" s="21">
        <v>0</v>
      </c>
      <c r="AT2008" s="19">
        <v>0</v>
      </c>
      <c r="AU2008" s="21">
        <v>80001030</v>
      </c>
      <c r="AV2008" s="21"/>
      <c r="AW2008" s="35" t="s">
        <v>262</v>
      </c>
      <c r="AX2008" s="21" t="s">
        <v>540</v>
      </c>
      <c r="AY2008" s="32">
        <v>10000007</v>
      </c>
      <c r="AZ2008" s="32">
        <v>70204002</v>
      </c>
      <c r="BA2008" s="30" t="s">
        <v>206</v>
      </c>
      <c r="BB2008" s="21" t="s">
        <v>4562</v>
      </c>
      <c r="BC2008" s="31">
        <v>0</v>
      </c>
      <c r="BD2008" s="31">
        <v>0</v>
      </c>
      <c r="BE2008" s="33" t="s">
        <v>1328</v>
      </c>
      <c r="BF2008" s="33" t="s">
        <v>1329</v>
      </c>
      <c r="BG2008" s="21">
        <v>0</v>
      </c>
      <c r="BH2008" s="21">
        <v>0</v>
      </c>
      <c r="BI2008" s="21">
        <v>0</v>
      </c>
      <c r="BJ2008" s="21">
        <v>0</v>
      </c>
      <c r="BK2008" s="21">
        <v>0</v>
      </c>
      <c r="BL2008" s="21">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20.100000000000001" customHeight="1">
      <c r="C2009" s="32">
        <v>70505002</v>
      </c>
      <c r="D2009" s="30" t="s">
        <v>1330</v>
      </c>
      <c r="E2009" s="30" t="s">
        <v>1331</v>
      </c>
      <c r="F2009" s="32">
        <v>1</v>
      </c>
      <c r="G2009" s="21">
        <v>60010100</v>
      </c>
      <c r="H2009" s="32">
        <v>0</v>
      </c>
      <c r="I2009" s="31">
        <v>0</v>
      </c>
      <c r="J2009" s="32">
        <v>1</v>
      </c>
      <c r="K2009" s="32">
        <v>0</v>
      </c>
      <c r="L2009" s="32">
        <v>0</v>
      </c>
      <c r="M2009" s="21">
        <v>0</v>
      </c>
      <c r="N2009" s="21">
        <v>0</v>
      </c>
      <c r="O2009" s="21">
        <v>2</v>
      </c>
      <c r="P2009" s="21">
        <v>1</v>
      </c>
      <c r="Q2009" s="21">
        <v>1</v>
      </c>
      <c r="R2009" s="21">
        <v>0</v>
      </c>
      <c r="S2009" s="19">
        <v>0</v>
      </c>
      <c r="T2009" s="21">
        <v>0</v>
      </c>
      <c r="U2009" s="21">
        <v>1</v>
      </c>
      <c r="V2009" s="21">
        <v>2</v>
      </c>
      <c r="W2009" s="21">
        <v>0</v>
      </c>
      <c r="X2009" s="21">
        <v>2</v>
      </c>
      <c r="Y2009" s="19">
        <v>0</v>
      </c>
      <c r="Z2009" s="21">
        <v>0</v>
      </c>
      <c r="AA2009" s="21">
        <v>1</v>
      </c>
      <c r="AB2009" s="21">
        <v>0</v>
      </c>
      <c r="AC2009" s="21">
        <v>0</v>
      </c>
      <c r="AD2009" s="21">
        <v>0</v>
      </c>
      <c r="AE2009" s="21">
        <v>0</v>
      </c>
      <c r="AF2009" s="21">
        <v>12</v>
      </c>
      <c r="AG2009" s="21">
        <v>2</v>
      </c>
      <c r="AH2009" s="21" t="s">
        <v>219</v>
      </c>
      <c r="AI2009" s="19">
        <v>0</v>
      </c>
      <c r="AJ2009" s="19">
        <v>2</v>
      </c>
      <c r="AK2009" s="19">
        <v>0</v>
      </c>
      <c r="AL2009" s="19">
        <v>1.5</v>
      </c>
      <c r="AM2009" s="21">
        <v>0</v>
      </c>
      <c r="AN2009" s="21">
        <v>0</v>
      </c>
      <c r="AO2009" s="21">
        <v>0</v>
      </c>
      <c r="AP2009" s="21">
        <v>1.5</v>
      </c>
      <c r="AQ2009" s="21">
        <v>10000</v>
      </c>
      <c r="AR2009" s="21">
        <v>1</v>
      </c>
      <c r="AS2009" s="21">
        <v>5</v>
      </c>
      <c r="AT2009" s="19">
        <v>0</v>
      </c>
      <c r="AU2009" s="21" t="s">
        <v>204</v>
      </c>
      <c r="AV2009" s="21"/>
      <c r="AW2009" s="35" t="s">
        <v>623</v>
      </c>
      <c r="AX2009" s="21" t="s">
        <v>540</v>
      </c>
      <c r="AY2009" s="32">
        <v>10000007</v>
      </c>
      <c r="AZ2009" s="32">
        <v>70302003</v>
      </c>
      <c r="BA2009" s="35" t="s">
        <v>592</v>
      </c>
      <c r="BB2009" s="21">
        <v>0</v>
      </c>
      <c r="BC2009" s="31">
        <v>0</v>
      </c>
      <c r="BD2009" s="31">
        <v>0</v>
      </c>
      <c r="BE2009" s="33" t="s">
        <v>1114</v>
      </c>
      <c r="BF2009" s="33" t="s">
        <v>1115</v>
      </c>
      <c r="BG2009" s="21">
        <v>0</v>
      </c>
      <c r="BH2009" s="21">
        <v>0</v>
      </c>
      <c r="BI2009" s="21">
        <v>0</v>
      </c>
      <c r="BJ2009" s="21">
        <v>0</v>
      </c>
      <c r="BK2009" s="21">
        <v>0</v>
      </c>
      <c r="BL2009" s="21">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20.100000000000001" customHeight="1">
      <c r="C2010" s="32">
        <v>70505003</v>
      </c>
      <c r="D2010" s="35" t="s">
        <v>627</v>
      </c>
      <c r="E2010" s="35" t="s">
        <v>628</v>
      </c>
      <c r="F2010" s="32">
        <v>1</v>
      </c>
      <c r="G2010" s="32">
        <v>60010500</v>
      </c>
      <c r="H2010" s="32">
        <v>0</v>
      </c>
      <c r="I2010" s="31">
        <v>0</v>
      </c>
      <c r="J2010" s="32">
        <v>1</v>
      </c>
      <c r="K2010" s="32">
        <v>0</v>
      </c>
      <c r="L2010" s="32">
        <v>0</v>
      </c>
      <c r="M2010" s="32">
        <v>0</v>
      </c>
      <c r="N2010" s="32">
        <v>0</v>
      </c>
      <c r="O2010" s="21">
        <v>2</v>
      </c>
      <c r="P2010" s="32">
        <v>2</v>
      </c>
      <c r="Q2010" s="32">
        <v>0.3</v>
      </c>
      <c r="R2010" s="32">
        <v>0</v>
      </c>
      <c r="S2010" s="19">
        <v>0</v>
      </c>
      <c r="T2010" s="31">
        <v>0</v>
      </c>
      <c r="U2010" s="21">
        <v>1</v>
      </c>
      <c r="V2010" s="32">
        <v>2</v>
      </c>
      <c r="W2010" s="32">
        <v>0</v>
      </c>
      <c r="X2010" s="32">
        <v>0</v>
      </c>
      <c r="Y2010" s="19">
        <v>0</v>
      </c>
      <c r="Z2010" s="32">
        <v>0</v>
      </c>
      <c r="AA2010" s="32">
        <v>0</v>
      </c>
      <c r="AB2010" s="32">
        <v>0</v>
      </c>
      <c r="AC2010" s="32">
        <v>0</v>
      </c>
      <c r="AD2010" s="21">
        <v>0</v>
      </c>
      <c r="AE2010" s="32">
        <v>0</v>
      </c>
      <c r="AF2010" s="21">
        <v>12</v>
      </c>
      <c r="AG2010" s="32">
        <v>0</v>
      </c>
      <c r="AH2010" s="32">
        <v>0</v>
      </c>
      <c r="AI2010" s="19">
        <v>7</v>
      </c>
      <c r="AJ2010" s="19">
        <v>0</v>
      </c>
      <c r="AK2010" s="19">
        <v>0</v>
      </c>
      <c r="AL2010" s="19">
        <v>0</v>
      </c>
      <c r="AM2010" s="32">
        <v>0</v>
      </c>
      <c r="AN2010" s="32">
        <v>0</v>
      </c>
      <c r="AO2010" s="32">
        <v>0</v>
      </c>
      <c r="AP2010" s="32">
        <v>0</v>
      </c>
      <c r="AQ2010" s="32">
        <v>1000</v>
      </c>
      <c r="AR2010" s="32">
        <v>0</v>
      </c>
      <c r="AS2010" s="32">
        <v>0</v>
      </c>
      <c r="AT2010" s="19">
        <v>0</v>
      </c>
      <c r="AU2010" s="32">
        <v>90204004</v>
      </c>
      <c r="AV2010" s="32"/>
      <c r="AW2010" s="35" t="s">
        <v>205</v>
      </c>
      <c r="AX2010" s="32" t="s">
        <v>354</v>
      </c>
      <c r="AY2010" s="32">
        <v>0</v>
      </c>
      <c r="AZ2010" s="32">
        <v>0</v>
      </c>
      <c r="BA2010" s="35" t="s">
        <v>206</v>
      </c>
      <c r="BB2010" s="35" t="s">
        <v>204</v>
      </c>
      <c r="BC2010" s="31">
        <v>0</v>
      </c>
      <c r="BD2010" s="31">
        <v>0</v>
      </c>
      <c r="BE2010" s="60" t="s">
        <v>629</v>
      </c>
      <c r="BF2010" s="60" t="s">
        <v>630</v>
      </c>
      <c r="BG2010" s="32">
        <v>0</v>
      </c>
      <c r="BH2010" s="21">
        <v>0</v>
      </c>
      <c r="BI2010" s="32">
        <v>0</v>
      </c>
      <c r="BJ2010" s="32">
        <v>0</v>
      </c>
      <c r="BK2010" s="32">
        <v>0</v>
      </c>
      <c r="BL2010" s="32">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70505004</v>
      </c>
      <c r="D2011" s="35" t="s">
        <v>763</v>
      </c>
      <c r="E2011" s="35" t="s">
        <v>405</v>
      </c>
      <c r="F2011" s="32">
        <v>1</v>
      </c>
      <c r="G2011" s="32">
        <v>60010500</v>
      </c>
      <c r="H2011" s="32">
        <v>0</v>
      </c>
      <c r="I2011" s="31">
        <v>0</v>
      </c>
      <c r="J2011" s="32">
        <v>1</v>
      </c>
      <c r="K2011" s="32">
        <v>0</v>
      </c>
      <c r="L2011" s="32">
        <v>0</v>
      </c>
      <c r="M2011" s="32">
        <v>0</v>
      </c>
      <c r="N2011" s="32">
        <v>0</v>
      </c>
      <c r="O2011" s="21">
        <v>2</v>
      </c>
      <c r="P2011" s="32">
        <v>2</v>
      </c>
      <c r="Q2011" s="32">
        <v>0.3</v>
      </c>
      <c r="R2011" s="32">
        <v>0</v>
      </c>
      <c r="S2011" s="19">
        <v>0</v>
      </c>
      <c r="T2011" s="31">
        <v>0</v>
      </c>
      <c r="U2011" s="21">
        <v>1</v>
      </c>
      <c r="V2011" s="32">
        <v>2</v>
      </c>
      <c r="W2011" s="32">
        <v>0</v>
      </c>
      <c r="X2011" s="32">
        <v>0</v>
      </c>
      <c r="Y2011" s="19">
        <v>0</v>
      </c>
      <c r="Z2011" s="32">
        <v>0</v>
      </c>
      <c r="AA2011" s="32">
        <v>0</v>
      </c>
      <c r="AB2011" s="32">
        <v>0</v>
      </c>
      <c r="AC2011" s="32">
        <v>0</v>
      </c>
      <c r="AD2011" s="21">
        <v>0</v>
      </c>
      <c r="AE2011" s="32">
        <v>0</v>
      </c>
      <c r="AF2011" s="21">
        <v>15</v>
      </c>
      <c r="AG2011" s="32">
        <v>0</v>
      </c>
      <c r="AH2011" s="32">
        <v>0</v>
      </c>
      <c r="AI2011" s="19">
        <v>2</v>
      </c>
      <c r="AJ2011" s="19">
        <v>0</v>
      </c>
      <c r="AK2011" s="19">
        <v>0</v>
      </c>
      <c r="AL2011" s="19">
        <v>0</v>
      </c>
      <c r="AM2011" s="32">
        <v>0</v>
      </c>
      <c r="AN2011" s="32">
        <v>0</v>
      </c>
      <c r="AO2011" s="32">
        <v>0</v>
      </c>
      <c r="AP2011" s="32">
        <v>0</v>
      </c>
      <c r="AQ2011" s="32">
        <v>1000</v>
      </c>
      <c r="AR2011" s="32">
        <v>0</v>
      </c>
      <c r="AS2011" s="32">
        <v>0</v>
      </c>
      <c r="AT2011" s="19" t="s">
        <v>760</v>
      </c>
      <c r="AU2011" s="32" t="s">
        <v>204</v>
      </c>
      <c r="AV2011" s="32"/>
      <c r="AW2011" s="35" t="s">
        <v>205</v>
      </c>
      <c r="AX2011" s="32" t="s">
        <v>354</v>
      </c>
      <c r="AY2011" s="32">
        <v>0</v>
      </c>
      <c r="AZ2011" s="32">
        <v>0</v>
      </c>
      <c r="BA2011" s="35" t="s">
        <v>206</v>
      </c>
      <c r="BB2011" s="35" t="s">
        <v>204</v>
      </c>
      <c r="BC2011" s="31">
        <v>0</v>
      </c>
      <c r="BD2011" s="31">
        <v>0</v>
      </c>
      <c r="BE2011" s="60" t="s">
        <v>1124</v>
      </c>
      <c r="BF2011" s="60" t="s">
        <v>1125</v>
      </c>
      <c r="BG2011" s="32">
        <v>0</v>
      </c>
      <c r="BH2011" s="21">
        <v>0</v>
      </c>
      <c r="BI2011" s="32">
        <v>0</v>
      </c>
      <c r="BJ2011" s="32">
        <v>0</v>
      </c>
      <c r="BK2011" s="32">
        <v>0</v>
      </c>
      <c r="BL2011" s="32">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70505005</v>
      </c>
      <c r="D2012" s="30" t="s">
        <v>1332</v>
      </c>
      <c r="E2012" s="30" t="s">
        <v>1333</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15</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665</v>
      </c>
      <c r="AV2012" s="21"/>
      <c r="AW2012" s="35" t="s">
        <v>293</v>
      </c>
      <c r="AX2012" s="21" t="s">
        <v>540</v>
      </c>
      <c r="AY2012" s="32">
        <v>10000007</v>
      </c>
      <c r="AZ2012" s="32">
        <v>70305005</v>
      </c>
      <c r="BA2012" s="30" t="s">
        <v>206</v>
      </c>
      <c r="BB2012" s="21">
        <v>0</v>
      </c>
      <c r="BC2012" s="31">
        <v>0</v>
      </c>
      <c r="BD2012" s="31">
        <v>0</v>
      </c>
      <c r="BE2012" s="33" t="s">
        <v>1128</v>
      </c>
      <c r="BF2012" s="33" t="s">
        <v>1129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70505006</v>
      </c>
      <c r="D2013" s="30" t="s">
        <v>4507</v>
      </c>
      <c r="E2013" s="30" t="s">
        <v>4508</v>
      </c>
      <c r="F2013" s="32">
        <v>1</v>
      </c>
      <c r="G2013" s="21">
        <v>60010100</v>
      </c>
      <c r="H2013" s="32">
        <v>0</v>
      </c>
      <c r="I2013" s="31">
        <v>0</v>
      </c>
      <c r="J2013" s="32">
        <v>1</v>
      </c>
      <c r="K2013" s="32">
        <v>0</v>
      </c>
      <c r="L2013" s="32">
        <v>0</v>
      </c>
      <c r="M2013" s="21">
        <v>0</v>
      </c>
      <c r="N2013" s="21">
        <v>0</v>
      </c>
      <c r="O2013" s="21">
        <v>2</v>
      </c>
      <c r="P2013" s="21">
        <v>1</v>
      </c>
      <c r="Q2013" s="21">
        <v>1</v>
      </c>
      <c r="R2013" s="21">
        <v>0</v>
      </c>
      <c r="S2013" s="19">
        <v>0</v>
      </c>
      <c r="T2013" s="21">
        <v>0</v>
      </c>
      <c r="U2013" s="21">
        <v>1</v>
      </c>
      <c r="V2013" s="21">
        <v>2</v>
      </c>
      <c r="W2013" s="21">
        <v>0</v>
      </c>
      <c r="X2013" s="21">
        <v>3</v>
      </c>
      <c r="Y2013" s="19">
        <v>0</v>
      </c>
      <c r="Z2013" s="21">
        <v>0</v>
      </c>
      <c r="AA2013" s="21">
        <v>1</v>
      </c>
      <c r="AB2013" s="21">
        <v>0</v>
      </c>
      <c r="AC2013" s="21">
        <v>0</v>
      </c>
      <c r="AD2013" s="21">
        <v>0</v>
      </c>
      <c r="AE2013" s="21">
        <v>0</v>
      </c>
      <c r="AF2013" s="21">
        <v>7</v>
      </c>
      <c r="AG2013" s="21">
        <v>1</v>
      </c>
      <c r="AH2013" s="21" t="s">
        <v>613</v>
      </c>
      <c r="AI2013" s="19">
        <v>0</v>
      </c>
      <c r="AJ2013" s="19">
        <v>1</v>
      </c>
      <c r="AK2013" s="19">
        <v>0</v>
      </c>
      <c r="AL2013" s="19">
        <v>3</v>
      </c>
      <c r="AM2013" s="21">
        <v>0</v>
      </c>
      <c r="AN2013" s="21">
        <v>0</v>
      </c>
      <c r="AO2013" s="21">
        <v>0</v>
      </c>
      <c r="AP2013" s="21">
        <v>3</v>
      </c>
      <c r="AQ2013" s="21">
        <v>5000</v>
      </c>
      <c r="AR2013" s="21">
        <v>2.5</v>
      </c>
      <c r="AS2013" s="21">
        <v>0</v>
      </c>
      <c r="AT2013" s="19">
        <v>0</v>
      </c>
      <c r="AU2013" s="21" t="s">
        <v>204</v>
      </c>
      <c r="AV2013" s="21"/>
      <c r="AW2013" s="35" t="s">
        <v>205</v>
      </c>
      <c r="AX2013" s="21" t="s">
        <v>540</v>
      </c>
      <c r="AY2013" s="32">
        <v>10000007</v>
      </c>
      <c r="AZ2013" s="32">
        <v>70305007</v>
      </c>
      <c r="BA2013" s="30" t="s">
        <v>206</v>
      </c>
      <c r="BB2013" s="21">
        <v>0</v>
      </c>
      <c r="BC2013" s="31">
        <v>0</v>
      </c>
      <c r="BD2013" s="31">
        <v>0</v>
      </c>
      <c r="BE2013" s="33" t="s">
        <v>588</v>
      </c>
      <c r="BF2013" s="33" t="s">
        <v>589</v>
      </c>
      <c r="BG2013" s="21">
        <v>0</v>
      </c>
      <c r="BH2013" s="21">
        <v>0</v>
      </c>
      <c r="BI2013" s="21">
        <v>0</v>
      </c>
      <c r="BJ2013" s="21">
        <v>0</v>
      </c>
      <c r="BK2013" s="21">
        <v>0</v>
      </c>
      <c r="BL2013" s="21">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70505007</v>
      </c>
      <c r="D2014" s="30" t="s">
        <v>1130</v>
      </c>
      <c r="E2014" s="30" t="s">
        <v>1131</v>
      </c>
      <c r="F2014" s="32">
        <v>1</v>
      </c>
      <c r="G2014" s="21">
        <v>60010100</v>
      </c>
      <c r="H2014" s="32">
        <v>0</v>
      </c>
      <c r="I2014" s="31">
        <v>0</v>
      </c>
      <c r="J2014" s="32">
        <v>1</v>
      </c>
      <c r="K2014" s="32">
        <v>0</v>
      </c>
      <c r="L2014" s="32">
        <v>0</v>
      </c>
      <c r="M2014" s="21">
        <v>0</v>
      </c>
      <c r="N2014" s="21">
        <v>0</v>
      </c>
      <c r="O2014" s="21">
        <v>2</v>
      </c>
      <c r="P2014" s="21">
        <v>1</v>
      </c>
      <c r="Q2014" s="21">
        <v>0.3</v>
      </c>
      <c r="R2014" s="21">
        <v>0</v>
      </c>
      <c r="S2014" s="19">
        <v>0</v>
      </c>
      <c r="T2014" s="21">
        <v>0</v>
      </c>
      <c r="U2014" s="21">
        <v>1</v>
      </c>
      <c r="V2014" s="21">
        <v>2</v>
      </c>
      <c r="W2014" s="21">
        <v>0</v>
      </c>
      <c r="X2014" s="21">
        <v>1</v>
      </c>
      <c r="Y2014" s="19">
        <v>0</v>
      </c>
      <c r="Z2014" s="21">
        <v>0</v>
      </c>
      <c r="AA2014" s="21">
        <v>1</v>
      </c>
      <c r="AB2014" s="21">
        <v>0</v>
      </c>
      <c r="AC2014" s="21">
        <v>0</v>
      </c>
      <c r="AD2014" s="21">
        <v>0</v>
      </c>
      <c r="AE2014" s="21">
        <v>0</v>
      </c>
      <c r="AF2014" s="21">
        <v>30</v>
      </c>
      <c r="AG2014" s="21">
        <v>1</v>
      </c>
      <c r="AH2014" s="21" t="s">
        <v>867</v>
      </c>
      <c r="AI2014" s="19">
        <v>0</v>
      </c>
      <c r="AJ2014" s="19">
        <v>0</v>
      </c>
      <c r="AK2014" s="19">
        <v>0</v>
      </c>
      <c r="AL2014" s="19">
        <v>0</v>
      </c>
      <c r="AM2014" s="21">
        <v>0</v>
      </c>
      <c r="AN2014" s="21">
        <v>0</v>
      </c>
      <c r="AO2014" s="21">
        <v>0</v>
      </c>
      <c r="AP2014" s="21">
        <v>0.5</v>
      </c>
      <c r="AQ2014" s="21">
        <v>999999</v>
      </c>
      <c r="AR2014" s="21">
        <v>0.5</v>
      </c>
      <c r="AS2014" s="21">
        <v>0</v>
      </c>
      <c r="AT2014" s="19">
        <v>0</v>
      </c>
      <c r="AU2014" s="329" t="s">
        <v>1025</v>
      </c>
      <c r="AV2014" s="19"/>
      <c r="AW2014" s="35" t="s">
        <v>293</v>
      </c>
      <c r="AX2014" s="21" t="s">
        <v>540</v>
      </c>
      <c r="AY2014" s="32">
        <v>10000007</v>
      </c>
      <c r="AZ2014" s="32">
        <v>70202004</v>
      </c>
      <c r="BA2014" s="35" t="s">
        <v>321</v>
      </c>
      <c r="BB2014" s="35" t="s">
        <v>377</v>
      </c>
      <c r="BC2014" s="31">
        <v>0</v>
      </c>
      <c r="BD2014" s="31">
        <v>0</v>
      </c>
      <c r="BE2014" s="33" t="s">
        <v>1007</v>
      </c>
      <c r="BF2014" s="33" t="s">
        <v>1008</v>
      </c>
      <c r="BG2014" s="21">
        <v>0</v>
      </c>
      <c r="BH2014" s="21">
        <v>0</v>
      </c>
      <c r="BI2014" s="21">
        <v>0</v>
      </c>
      <c r="BJ2014" s="21">
        <v>0</v>
      </c>
      <c r="BK2014" s="21">
        <v>0</v>
      </c>
      <c r="BL2014" s="21">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19.5" customHeight="1">
      <c r="C2015" s="32">
        <v>70505008</v>
      </c>
      <c r="D2015" s="30" t="s">
        <v>1097</v>
      </c>
      <c r="E2015" s="30" t="s">
        <v>1098</v>
      </c>
      <c r="F2015" s="32">
        <v>1</v>
      </c>
      <c r="G2015" s="21">
        <v>60010100</v>
      </c>
      <c r="H2015" s="32">
        <v>0</v>
      </c>
      <c r="I2015" s="31">
        <v>0</v>
      </c>
      <c r="J2015" s="32">
        <v>1</v>
      </c>
      <c r="K2015" s="32">
        <v>0</v>
      </c>
      <c r="L2015" s="32">
        <v>0</v>
      </c>
      <c r="M2015" s="21">
        <v>0</v>
      </c>
      <c r="N2015" s="21">
        <v>0</v>
      </c>
      <c r="O2015" s="21">
        <v>2</v>
      </c>
      <c r="P2015" s="21">
        <v>1</v>
      </c>
      <c r="Q2015" s="21">
        <v>0.3</v>
      </c>
      <c r="R2015" s="21">
        <v>0</v>
      </c>
      <c r="S2015" s="19">
        <v>0</v>
      </c>
      <c r="T2015" s="21">
        <v>0</v>
      </c>
      <c r="U2015" s="21">
        <v>1</v>
      </c>
      <c r="V2015" s="21">
        <v>2</v>
      </c>
      <c r="W2015" s="21">
        <v>0</v>
      </c>
      <c r="X2015" s="21">
        <v>3</v>
      </c>
      <c r="Y2015" s="19">
        <v>0</v>
      </c>
      <c r="Z2015" s="21">
        <v>0</v>
      </c>
      <c r="AA2015" s="21">
        <v>1</v>
      </c>
      <c r="AB2015" s="21">
        <v>0</v>
      </c>
      <c r="AC2015" s="21">
        <v>0</v>
      </c>
      <c r="AD2015" s="21">
        <v>0</v>
      </c>
      <c r="AE2015" s="21">
        <v>0</v>
      </c>
      <c r="AF2015" s="21">
        <v>15</v>
      </c>
      <c r="AG2015" s="21">
        <v>1</v>
      </c>
      <c r="AH2015" s="21" t="s">
        <v>613</v>
      </c>
      <c r="AI2015" s="19">
        <v>0</v>
      </c>
      <c r="AJ2015" s="19">
        <v>1</v>
      </c>
      <c r="AK2015" s="19">
        <v>0</v>
      </c>
      <c r="AL2015" s="19">
        <v>3</v>
      </c>
      <c r="AM2015" s="21">
        <v>0</v>
      </c>
      <c r="AN2015" s="21">
        <v>0</v>
      </c>
      <c r="AO2015" s="21">
        <v>0</v>
      </c>
      <c r="AP2015" s="21">
        <v>3</v>
      </c>
      <c r="AQ2015" s="21">
        <v>5000</v>
      </c>
      <c r="AR2015" s="21">
        <v>2.5</v>
      </c>
      <c r="AS2015" s="21">
        <v>0</v>
      </c>
      <c r="AT2015" s="19">
        <v>0</v>
      </c>
      <c r="AU2015" s="21" t="s">
        <v>665</v>
      </c>
      <c r="AV2015" s="21"/>
      <c r="AW2015" s="35" t="s">
        <v>262</v>
      </c>
      <c r="AX2015" s="21" t="s">
        <v>540</v>
      </c>
      <c r="AY2015" s="32">
        <v>10000007</v>
      </c>
      <c r="AZ2015" s="32">
        <v>70403003</v>
      </c>
      <c r="BA2015" s="30" t="s">
        <v>206</v>
      </c>
      <c r="BB2015" s="21">
        <v>0</v>
      </c>
      <c r="BC2015" s="31">
        <v>0</v>
      </c>
      <c r="BD2015" s="31">
        <v>0</v>
      </c>
      <c r="BE2015" s="33" t="s">
        <v>1128</v>
      </c>
      <c r="BF2015" s="33" t="s">
        <v>1129</v>
      </c>
      <c r="BG2015" s="21">
        <v>0</v>
      </c>
      <c r="BH2015" s="21">
        <v>0</v>
      </c>
      <c r="BI2015" s="21">
        <v>0</v>
      </c>
      <c r="BJ2015" s="21">
        <v>0</v>
      </c>
      <c r="BK2015" s="21">
        <v>0</v>
      </c>
      <c r="BL2015" s="21">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19.5" customHeight="1">
      <c r="C2016" s="32">
        <v>71000001</v>
      </c>
      <c r="D2016" s="35" t="s">
        <v>4563</v>
      </c>
      <c r="E2016" s="35" t="s">
        <v>4564</v>
      </c>
      <c r="F2016" s="32">
        <v>1</v>
      </c>
      <c r="G2016" s="32">
        <v>60010100</v>
      </c>
      <c r="H2016" s="32">
        <v>0</v>
      </c>
      <c r="I2016" s="31">
        <v>0</v>
      </c>
      <c r="J2016" s="32">
        <v>1</v>
      </c>
      <c r="K2016" s="32">
        <v>0</v>
      </c>
      <c r="L2016" s="32">
        <v>0</v>
      </c>
      <c r="M2016" s="32">
        <v>0</v>
      </c>
      <c r="N2016" s="32">
        <v>0</v>
      </c>
      <c r="O2016" s="21">
        <v>2</v>
      </c>
      <c r="P2016" s="32">
        <v>0</v>
      </c>
      <c r="Q2016" s="32">
        <v>0</v>
      </c>
      <c r="R2016" s="32">
        <v>0</v>
      </c>
      <c r="S2016" s="19">
        <v>0</v>
      </c>
      <c r="T2016" s="31">
        <v>0</v>
      </c>
      <c r="U2016" s="21">
        <v>1</v>
      </c>
      <c r="V2016" s="32">
        <v>2</v>
      </c>
      <c r="W2016" s="32">
        <v>0</v>
      </c>
      <c r="X2016" s="32">
        <v>0</v>
      </c>
      <c r="Y2016" s="19">
        <v>0</v>
      </c>
      <c r="Z2016" s="32">
        <v>0</v>
      </c>
      <c r="AA2016" s="32">
        <v>1</v>
      </c>
      <c r="AB2016" s="32">
        <v>0</v>
      </c>
      <c r="AC2016" s="32">
        <v>0</v>
      </c>
      <c r="AD2016" s="21">
        <v>0</v>
      </c>
      <c r="AE2016" s="32">
        <v>0</v>
      </c>
      <c r="AF2016" s="32">
        <v>5</v>
      </c>
      <c r="AG2016" s="32">
        <v>1</v>
      </c>
      <c r="AH2016" s="32">
        <v>3</v>
      </c>
      <c r="AI2016" s="19">
        <v>2</v>
      </c>
      <c r="AJ2016" s="19">
        <v>0</v>
      </c>
      <c r="AK2016" s="19">
        <v>0</v>
      </c>
      <c r="AL2016" s="19">
        <v>1.6</v>
      </c>
      <c r="AM2016" s="32">
        <v>0</v>
      </c>
      <c r="AN2016" s="32">
        <v>0</v>
      </c>
      <c r="AO2016" s="32">
        <v>0</v>
      </c>
      <c r="AP2016" s="32">
        <v>0.5</v>
      </c>
      <c r="AQ2016" s="32">
        <v>3000</v>
      </c>
      <c r="AR2016" s="32">
        <v>0</v>
      </c>
      <c r="AS2016" s="32">
        <v>0</v>
      </c>
      <c r="AT2016" s="19">
        <v>0</v>
      </c>
      <c r="AU2016" s="32" t="s">
        <v>4565</v>
      </c>
      <c r="AV2016" s="32"/>
      <c r="AW2016" s="35" t="s">
        <v>262</v>
      </c>
      <c r="AX2016" s="32" t="s">
        <v>540</v>
      </c>
      <c r="AY2016" s="32" t="s">
        <v>204</v>
      </c>
      <c r="AZ2016" s="32" t="s">
        <v>204</v>
      </c>
      <c r="BA2016" s="35" t="s">
        <v>206</v>
      </c>
      <c r="BB2016" s="35">
        <v>0</v>
      </c>
      <c r="BC2016" s="31">
        <v>0</v>
      </c>
      <c r="BD2016" s="31">
        <v>0</v>
      </c>
      <c r="BE2016" s="60" t="s">
        <v>4566</v>
      </c>
      <c r="BF2016" s="60" t="s">
        <v>4567</v>
      </c>
      <c r="BG2016" s="32">
        <v>0</v>
      </c>
      <c r="BH2016" s="21">
        <v>0</v>
      </c>
      <c r="BI2016" s="32">
        <v>0</v>
      </c>
      <c r="BJ2016" s="32">
        <v>0</v>
      </c>
      <c r="BK2016" s="32">
        <v>0</v>
      </c>
      <c r="BL2016" s="32">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19.5" customHeight="1">
      <c r="C2017" s="32">
        <v>71000002</v>
      </c>
      <c r="D2017" s="35" t="s">
        <v>4568</v>
      </c>
      <c r="E2017" s="35" t="s">
        <v>4569</v>
      </c>
      <c r="F2017" s="32">
        <v>1</v>
      </c>
      <c r="G2017" s="32">
        <v>60010100</v>
      </c>
      <c r="H2017" s="32">
        <v>0</v>
      </c>
      <c r="I2017" s="31">
        <v>0</v>
      </c>
      <c r="J2017" s="32">
        <v>1</v>
      </c>
      <c r="K2017" s="32">
        <v>0</v>
      </c>
      <c r="L2017" s="32">
        <v>0</v>
      </c>
      <c r="M2017" s="32">
        <v>0</v>
      </c>
      <c r="N2017" s="32">
        <v>0</v>
      </c>
      <c r="O2017" s="21">
        <v>2</v>
      </c>
      <c r="P2017" s="32">
        <v>0</v>
      </c>
      <c r="Q2017" s="32">
        <v>0</v>
      </c>
      <c r="R2017" s="32">
        <v>0</v>
      </c>
      <c r="S2017" s="19">
        <v>0</v>
      </c>
      <c r="T2017" s="31">
        <v>0</v>
      </c>
      <c r="U2017" s="21">
        <v>1</v>
      </c>
      <c r="V2017" s="32">
        <v>2</v>
      </c>
      <c r="W2017" s="32">
        <v>0</v>
      </c>
      <c r="X2017" s="32">
        <v>0</v>
      </c>
      <c r="Y2017" s="19">
        <v>0</v>
      </c>
      <c r="Z2017" s="32">
        <v>0</v>
      </c>
      <c r="AA2017" s="32">
        <v>1</v>
      </c>
      <c r="AB2017" s="32">
        <v>0</v>
      </c>
      <c r="AC2017" s="32">
        <v>0</v>
      </c>
      <c r="AD2017" s="21">
        <v>0</v>
      </c>
      <c r="AE2017" s="32">
        <v>0</v>
      </c>
      <c r="AF2017" s="32">
        <v>5</v>
      </c>
      <c r="AG2017" s="32">
        <v>1</v>
      </c>
      <c r="AH2017" s="32">
        <v>3</v>
      </c>
      <c r="AI2017" s="19">
        <v>2</v>
      </c>
      <c r="AJ2017" s="19">
        <v>0</v>
      </c>
      <c r="AK2017" s="19">
        <v>0</v>
      </c>
      <c r="AL2017" s="19">
        <v>1.6</v>
      </c>
      <c r="AM2017" s="32">
        <v>0</v>
      </c>
      <c r="AN2017" s="32">
        <v>0</v>
      </c>
      <c r="AO2017" s="32">
        <v>0</v>
      </c>
      <c r="AP2017" s="32">
        <v>0.5</v>
      </c>
      <c r="AQ2017" s="32">
        <v>3000</v>
      </c>
      <c r="AR2017" s="32">
        <v>0</v>
      </c>
      <c r="AS2017" s="32">
        <v>0</v>
      </c>
      <c r="AT2017" s="19">
        <v>0</v>
      </c>
      <c r="AU2017" s="32">
        <v>99004005</v>
      </c>
      <c r="AV2017" s="32"/>
      <c r="AW2017" s="35" t="s">
        <v>262</v>
      </c>
      <c r="AX2017" s="32" t="s">
        <v>540</v>
      </c>
      <c r="AY2017" s="32" t="s">
        <v>204</v>
      </c>
      <c r="AZ2017" s="32" t="s">
        <v>204</v>
      </c>
      <c r="BA2017" s="35" t="s">
        <v>206</v>
      </c>
      <c r="BB2017" s="35">
        <v>0</v>
      </c>
      <c r="BC2017" s="31">
        <v>0</v>
      </c>
      <c r="BD2017" s="31">
        <v>0</v>
      </c>
      <c r="BE2017" s="60" t="s">
        <v>4566</v>
      </c>
      <c r="BF2017" s="60" t="s">
        <v>4567</v>
      </c>
      <c r="BG2017" s="32">
        <v>0</v>
      </c>
      <c r="BH2017" s="21">
        <v>0</v>
      </c>
      <c r="BI2017" s="32">
        <v>0</v>
      </c>
      <c r="BJ2017" s="32">
        <v>0</v>
      </c>
      <c r="BK2017" s="32">
        <v>0</v>
      </c>
      <c r="BL2017" s="32">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20.100000000000001" customHeight="1">
      <c r="C2018" s="32">
        <v>73001101</v>
      </c>
      <c r="D2018" s="35" t="s">
        <v>1733</v>
      </c>
      <c r="E2018" s="35" t="s">
        <v>1734</v>
      </c>
      <c r="F2018" s="32">
        <v>1</v>
      </c>
      <c r="G2018" s="25">
        <v>0</v>
      </c>
      <c r="H2018" s="32">
        <v>0</v>
      </c>
      <c r="I2018" s="31">
        <v>0</v>
      </c>
      <c r="J2018" s="32">
        <v>1</v>
      </c>
      <c r="K2018" s="32">
        <v>0</v>
      </c>
      <c r="L2018" s="32">
        <v>0</v>
      </c>
      <c r="M2018" s="32">
        <v>0</v>
      </c>
      <c r="N2018" s="32">
        <v>0</v>
      </c>
      <c r="O2018" s="32">
        <v>2</v>
      </c>
      <c r="P2018" s="32">
        <v>1</v>
      </c>
      <c r="Q2018" s="32">
        <v>0.1</v>
      </c>
      <c r="R2018" s="32">
        <v>0</v>
      </c>
      <c r="S2018" s="19">
        <v>0</v>
      </c>
      <c r="T2018" s="31">
        <v>0</v>
      </c>
      <c r="U2018" s="21">
        <v>1</v>
      </c>
      <c r="V2018" s="32">
        <v>1</v>
      </c>
      <c r="W2018" s="32">
        <v>0</v>
      </c>
      <c r="X2018" s="32">
        <v>1.5</v>
      </c>
      <c r="Y2018" s="19">
        <v>0</v>
      </c>
      <c r="Z2018" s="32">
        <v>0</v>
      </c>
      <c r="AA2018" s="32">
        <v>0</v>
      </c>
      <c r="AB2018" s="32">
        <v>0</v>
      </c>
      <c r="AC2018" s="32">
        <v>0</v>
      </c>
      <c r="AD2018" s="32">
        <v>1</v>
      </c>
      <c r="AE2018" s="32">
        <v>0</v>
      </c>
      <c r="AF2018" s="32">
        <v>5</v>
      </c>
      <c r="AG2018" s="32">
        <v>1</v>
      </c>
      <c r="AH2018" s="32">
        <v>3</v>
      </c>
      <c r="AI2018" s="19">
        <v>2</v>
      </c>
      <c r="AJ2018" s="19">
        <v>1</v>
      </c>
      <c r="AK2018" s="19">
        <v>0</v>
      </c>
      <c r="AL2018" s="19">
        <v>6</v>
      </c>
      <c r="AM2018" s="32">
        <v>0</v>
      </c>
      <c r="AN2018" s="32">
        <v>0</v>
      </c>
      <c r="AO2018" s="32">
        <v>0</v>
      </c>
      <c r="AP2018" s="32">
        <v>0.5</v>
      </c>
      <c r="AQ2018" s="32">
        <v>5000</v>
      </c>
      <c r="AR2018" s="32">
        <v>0.2</v>
      </c>
      <c r="AS2018" s="32">
        <v>0</v>
      </c>
      <c r="AT2018" s="19">
        <v>0</v>
      </c>
      <c r="AU2018" s="32" t="s">
        <v>204</v>
      </c>
      <c r="AV2018" s="32"/>
      <c r="AW2018" s="35" t="s">
        <v>205</v>
      </c>
      <c r="AX2018" s="32">
        <v>0</v>
      </c>
      <c r="AY2018" s="32">
        <v>10000006</v>
      </c>
      <c r="AZ2018" s="26">
        <v>60000004</v>
      </c>
      <c r="BA2018" s="35" t="s">
        <v>1736</v>
      </c>
      <c r="BB2018" s="35" t="s">
        <v>204</v>
      </c>
      <c r="BC2018" s="31">
        <v>0</v>
      </c>
      <c r="BD2018" s="31">
        <v>0</v>
      </c>
      <c r="BE2018" s="60"/>
      <c r="BF2018" s="60"/>
      <c r="BG2018" s="32">
        <v>0</v>
      </c>
      <c r="BH2018" s="21">
        <v>0</v>
      </c>
      <c r="BI2018" s="32">
        <v>0</v>
      </c>
      <c r="BJ2018" s="32">
        <v>0</v>
      </c>
      <c r="BK2018" s="32">
        <v>0</v>
      </c>
      <c r="BL2018" s="32">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0.100000000000001" customHeight="1">
      <c r="C2019" s="32">
        <v>73001102</v>
      </c>
      <c r="D2019" s="30" t="s">
        <v>538</v>
      </c>
      <c r="E2019" s="30" t="s">
        <v>261</v>
      </c>
      <c r="F2019" s="32">
        <v>1</v>
      </c>
      <c r="G2019" s="21">
        <v>0</v>
      </c>
      <c r="H2019" s="32">
        <v>0</v>
      </c>
      <c r="I2019" s="31">
        <v>0</v>
      </c>
      <c r="J2019" s="32">
        <v>1</v>
      </c>
      <c r="K2019" s="32">
        <v>0</v>
      </c>
      <c r="L2019" s="32">
        <v>0</v>
      </c>
      <c r="M2019" s="21">
        <v>0</v>
      </c>
      <c r="N2019" s="21">
        <v>0</v>
      </c>
      <c r="O2019" s="21">
        <v>2</v>
      </c>
      <c r="P2019" s="21">
        <v>1</v>
      </c>
      <c r="Q2019" s="21">
        <v>1</v>
      </c>
      <c r="R2019" s="21">
        <v>0</v>
      </c>
      <c r="S2019" s="19">
        <v>0</v>
      </c>
      <c r="T2019" s="21">
        <v>0</v>
      </c>
      <c r="U2019" s="21">
        <v>1</v>
      </c>
      <c r="V2019" s="21">
        <v>2</v>
      </c>
      <c r="W2019" s="21">
        <v>0</v>
      </c>
      <c r="X2019" s="21">
        <v>2</v>
      </c>
      <c r="Y2019" s="19">
        <v>0</v>
      </c>
      <c r="Z2019" s="21">
        <v>0</v>
      </c>
      <c r="AA2019" s="21">
        <v>1</v>
      </c>
      <c r="AB2019" s="21">
        <v>0</v>
      </c>
      <c r="AC2019" s="21">
        <v>0</v>
      </c>
      <c r="AD2019" s="21">
        <v>0</v>
      </c>
      <c r="AE2019" s="21">
        <v>0</v>
      </c>
      <c r="AF2019" s="21">
        <v>6</v>
      </c>
      <c r="AG2019" s="21">
        <v>1</v>
      </c>
      <c r="AH2019" s="21">
        <v>3</v>
      </c>
      <c r="AI2019" s="19">
        <v>0</v>
      </c>
      <c r="AJ2019" s="19">
        <v>0</v>
      </c>
      <c r="AK2019" s="19">
        <v>0</v>
      </c>
      <c r="AL2019" s="19">
        <v>1.5</v>
      </c>
      <c r="AM2019" s="21">
        <v>0</v>
      </c>
      <c r="AN2019" s="21">
        <v>0</v>
      </c>
      <c r="AO2019" s="21">
        <v>0</v>
      </c>
      <c r="AP2019" s="21">
        <v>1</v>
      </c>
      <c r="AQ2019" s="21">
        <v>5000</v>
      </c>
      <c r="AR2019" s="21">
        <v>0.5</v>
      </c>
      <c r="AS2019" s="21">
        <v>0</v>
      </c>
      <c r="AT2019" s="19">
        <v>0</v>
      </c>
      <c r="AU2019" s="21" t="s">
        <v>204</v>
      </c>
      <c r="AV2019" s="21"/>
      <c r="AW2019" s="35" t="s">
        <v>205</v>
      </c>
      <c r="AX2019" s="21" t="s">
        <v>540</v>
      </c>
      <c r="AY2019" s="32">
        <v>10000007</v>
      </c>
      <c r="AZ2019" s="32">
        <v>70105001</v>
      </c>
      <c r="BA2019" s="30" t="s">
        <v>206</v>
      </c>
      <c r="BB2019" s="21" t="s">
        <v>4418</v>
      </c>
      <c r="BC2019" s="31">
        <v>0</v>
      </c>
      <c r="BD2019" s="31">
        <v>0</v>
      </c>
      <c r="BE2019" s="33" t="s">
        <v>4419</v>
      </c>
      <c r="BF2019" s="33" t="s">
        <v>4420</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21.75" customHeight="1">
      <c r="C2020" s="32">
        <v>73001103</v>
      </c>
      <c r="D2020" s="30" t="s">
        <v>538</v>
      </c>
      <c r="E2020" s="30" t="s">
        <v>261</v>
      </c>
      <c r="F2020" s="32">
        <v>1</v>
      </c>
      <c r="G2020" s="21">
        <v>0</v>
      </c>
      <c r="H2020" s="32">
        <v>0</v>
      </c>
      <c r="I2020" s="31">
        <v>0</v>
      </c>
      <c r="J2020" s="32">
        <v>1</v>
      </c>
      <c r="K2020" s="32">
        <v>0</v>
      </c>
      <c r="L2020" s="32">
        <v>0</v>
      </c>
      <c r="M2020" s="21">
        <v>0</v>
      </c>
      <c r="N2020" s="21">
        <v>0</v>
      </c>
      <c r="O2020" s="21">
        <v>2</v>
      </c>
      <c r="P2020" s="21">
        <v>3</v>
      </c>
      <c r="Q2020" s="21">
        <v>1</v>
      </c>
      <c r="R2020" s="21">
        <v>0</v>
      </c>
      <c r="S2020" s="19">
        <v>0</v>
      </c>
      <c r="T2020" s="21">
        <v>0</v>
      </c>
      <c r="U2020" s="21">
        <v>1</v>
      </c>
      <c r="V2020" s="21">
        <v>2</v>
      </c>
      <c r="W2020" s="21">
        <v>0</v>
      </c>
      <c r="X2020" s="21">
        <v>3</v>
      </c>
      <c r="Y2020" s="19">
        <v>0</v>
      </c>
      <c r="Z2020" s="21">
        <v>0</v>
      </c>
      <c r="AA2020" s="21">
        <v>1</v>
      </c>
      <c r="AB2020" s="21">
        <v>0</v>
      </c>
      <c r="AC2020" s="21">
        <v>0</v>
      </c>
      <c r="AD2020" s="21">
        <v>0</v>
      </c>
      <c r="AE2020" s="21">
        <v>0</v>
      </c>
      <c r="AF2020" s="21">
        <v>9</v>
      </c>
      <c r="AG2020" s="21">
        <v>1</v>
      </c>
      <c r="AH2020" s="21">
        <v>4</v>
      </c>
      <c r="AI2020" s="19">
        <v>0</v>
      </c>
      <c r="AJ2020" s="19">
        <v>1</v>
      </c>
      <c r="AK2020" s="19">
        <v>0</v>
      </c>
      <c r="AL2020" s="19">
        <v>2</v>
      </c>
      <c r="AM2020" s="21">
        <v>0</v>
      </c>
      <c r="AN2020" s="21">
        <v>0</v>
      </c>
      <c r="AO2020" s="21">
        <v>0</v>
      </c>
      <c r="AP2020" s="21">
        <v>3</v>
      </c>
      <c r="AQ2020" s="21">
        <v>5000</v>
      </c>
      <c r="AR2020" s="21">
        <v>2.5</v>
      </c>
      <c r="AS2020" s="21">
        <v>0</v>
      </c>
      <c r="AT2020" s="19">
        <v>0</v>
      </c>
      <c r="AU2020" s="21" t="s">
        <v>539</v>
      </c>
      <c r="AV2020" s="21"/>
      <c r="AW2020" s="30" t="s">
        <v>293</v>
      </c>
      <c r="AX2020" s="21" t="s">
        <v>540</v>
      </c>
      <c r="AY2020" s="32">
        <v>10000007</v>
      </c>
      <c r="AZ2020" s="32">
        <v>70102001</v>
      </c>
      <c r="BA2020" s="30" t="s">
        <v>206</v>
      </c>
      <c r="BB2020" s="21" t="s">
        <v>4413</v>
      </c>
      <c r="BC2020" s="31">
        <v>0</v>
      </c>
      <c r="BD2020" s="31">
        <v>0</v>
      </c>
      <c r="BE2020" s="33" t="s">
        <v>542</v>
      </c>
      <c r="BF2020" s="33" t="s">
        <v>543</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19.5" customHeight="1">
      <c r="C2021" s="32">
        <v>73001201</v>
      </c>
      <c r="D2021" s="30" t="s">
        <v>4549</v>
      </c>
      <c r="E2021" s="30" t="s">
        <v>4550</v>
      </c>
      <c r="F2021" s="32">
        <v>1</v>
      </c>
      <c r="G2021" s="21">
        <v>60010100</v>
      </c>
      <c r="H2021" s="32">
        <v>0</v>
      </c>
      <c r="I2021" s="31">
        <v>0</v>
      </c>
      <c r="J2021" s="32">
        <v>1</v>
      </c>
      <c r="K2021" s="32">
        <v>0</v>
      </c>
      <c r="L2021" s="32">
        <v>0</v>
      </c>
      <c r="M2021" s="21">
        <v>0</v>
      </c>
      <c r="N2021" s="21">
        <v>0</v>
      </c>
      <c r="O2021" s="21">
        <v>2</v>
      </c>
      <c r="P2021" s="21">
        <v>1</v>
      </c>
      <c r="Q2021" s="21">
        <v>0.3</v>
      </c>
      <c r="R2021" s="21">
        <v>0</v>
      </c>
      <c r="S2021" s="19">
        <v>0</v>
      </c>
      <c r="T2021" s="21">
        <v>0</v>
      </c>
      <c r="U2021" s="21">
        <v>1</v>
      </c>
      <c r="V2021" s="21">
        <v>2</v>
      </c>
      <c r="W2021" s="21">
        <v>0</v>
      </c>
      <c r="X2021" s="21">
        <v>2</v>
      </c>
      <c r="Y2021" s="19">
        <v>0</v>
      </c>
      <c r="Z2021" s="21">
        <v>0</v>
      </c>
      <c r="AA2021" s="21">
        <v>1</v>
      </c>
      <c r="AB2021" s="21">
        <v>0</v>
      </c>
      <c r="AC2021" s="21">
        <v>0</v>
      </c>
      <c r="AD2021" s="21">
        <v>0</v>
      </c>
      <c r="AE2021" s="21">
        <v>0</v>
      </c>
      <c r="AF2021" s="21">
        <v>20</v>
      </c>
      <c r="AG2021" s="21">
        <v>1</v>
      </c>
      <c r="AH2021" s="21" t="s">
        <v>867</v>
      </c>
      <c r="AI2021" s="19">
        <v>1</v>
      </c>
      <c r="AJ2021" s="19">
        <v>0</v>
      </c>
      <c r="AK2021" s="19">
        <v>0</v>
      </c>
      <c r="AL2021" s="19">
        <v>0</v>
      </c>
      <c r="AM2021" s="21">
        <v>0</v>
      </c>
      <c r="AN2021" s="21">
        <v>0</v>
      </c>
      <c r="AO2021" s="21">
        <v>0</v>
      </c>
      <c r="AP2021" s="21">
        <v>0.5</v>
      </c>
      <c r="AQ2021" s="21">
        <v>999999</v>
      </c>
      <c r="AR2021" s="21">
        <v>2</v>
      </c>
      <c r="AS2021" s="21">
        <v>0</v>
      </c>
      <c r="AT2021" s="19">
        <v>0</v>
      </c>
      <c r="AU2021" s="21" t="s">
        <v>860</v>
      </c>
      <c r="AV2021" s="21"/>
      <c r="AW2021" s="35" t="s">
        <v>293</v>
      </c>
      <c r="AX2021" s="21" t="s">
        <v>540</v>
      </c>
      <c r="AY2021" s="32">
        <v>10000007</v>
      </c>
      <c r="AZ2021" s="32">
        <v>70405007</v>
      </c>
      <c r="BA2021" s="35" t="s">
        <v>321</v>
      </c>
      <c r="BB2021" s="35" t="s">
        <v>377</v>
      </c>
      <c r="BC2021" s="31">
        <v>0</v>
      </c>
      <c r="BD2021" s="31">
        <v>0</v>
      </c>
      <c r="BE2021" s="33" t="s">
        <v>4551</v>
      </c>
      <c r="BF2021" s="33" t="s">
        <v>4552</v>
      </c>
      <c r="BG2021" s="21">
        <v>0</v>
      </c>
      <c r="BH2021" s="21">
        <v>0</v>
      </c>
      <c r="BI2021" s="21">
        <v>0</v>
      </c>
      <c r="BJ2021" s="21">
        <v>0</v>
      </c>
      <c r="BK2021" s="21">
        <v>0</v>
      </c>
      <c r="BL2021" s="21">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73001203</v>
      </c>
      <c r="D2022" s="30" t="s">
        <v>4421</v>
      </c>
      <c r="E2022" s="30" t="s">
        <v>4422</v>
      </c>
      <c r="F2022" s="32">
        <v>1</v>
      </c>
      <c r="G2022" s="21">
        <v>60010300</v>
      </c>
      <c r="H2022" s="32">
        <v>0</v>
      </c>
      <c r="I2022" s="31">
        <v>0</v>
      </c>
      <c r="J2022" s="32">
        <v>1</v>
      </c>
      <c r="K2022" s="32">
        <v>0</v>
      </c>
      <c r="L2022" s="32">
        <v>0</v>
      </c>
      <c r="M2022" s="21">
        <v>0</v>
      </c>
      <c r="N2022" s="21">
        <v>0</v>
      </c>
      <c r="O2022" s="21">
        <v>2</v>
      </c>
      <c r="P2022" s="21">
        <v>2</v>
      </c>
      <c r="Q2022" s="21">
        <v>0.8</v>
      </c>
      <c r="R2022" s="21">
        <v>0</v>
      </c>
      <c r="S2022" s="19">
        <v>0</v>
      </c>
      <c r="T2022" s="21">
        <v>0</v>
      </c>
      <c r="U2022" s="21">
        <v>1</v>
      </c>
      <c r="V2022" s="21">
        <v>2</v>
      </c>
      <c r="W2022" s="21">
        <v>0</v>
      </c>
      <c r="X2022" s="21">
        <v>0</v>
      </c>
      <c r="Y2022" s="19">
        <v>0</v>
      </c>
      <c r="Z2022" s="21">
        <v>0</v>
      </c>
      <c r="AA2022" s="21">
        <v>0</v>
      </c>
      <c r="AB2022" s="21">
        <v>0</v>
      </c>
      <c r="AC2022" s="21">
        <v>0</v>
      </c>
      <c r="AD2022" s="21">
        <v>0</v>
      </c>
      <c r="AE2022" s="21">
        <v>0</v>
      </c>
      <c r="AF2022" s="21">
        <v>30</v>
      </c>
      <c r="AG2022" s="21">
        <v>0</v>
      </c>
      <c r="AH2022" s="21">
        <v>0</v>
      </c>
      <c r="AI2022" s="19">
        <v>2</v>
      </c>
      <c r="AJ2022" s="19">
        <v>2</v>
      </c>
      <c r="AK2022" s="19">
        <v>0</v>
      </c>
      <c r="AL2022" s="19">
        <v>1.5</v>
      </c>
      <c r="AM2022" s="21">
        <v>0</v>
      </c>
      <c r="AN2022" s="21">
        <v>0</v>
      </c>
      <c r="AO2022" s="21">
        <v>0</v>
      </c>
      <c r="AP2022" s="21">
        <v>1</v>
      </c>
      <c r="AQ2022" s="21">
        <v>3000</v>
      </c>
      <c r="AR2022" s="21">
        <v>0.5</v>
      </c>
      <c r="AS2022" s="21">
        <v>0</v>
      </c>
      <c r="AT2022" s="19">
        <v>0</v>
      </c>
      <c r="AU2022" s="21" t="s">
        <v>204</v>
      </c>
      <c r="AV2022" s="21"/>
      <c r="AW2022" s="35" t="s">
        <v>205</v>
      </c>
      <c r="AX2022" s="21" t="s">
        <v>551</v>
      </c>
      <c r="AY2022" s="32">
        <v>0</v>
      </c>
      <c r="AZ2022" s="32">
        <v>0</v>
      </c>
      <c r="BA2022" s="30" t="s">
        <v>534</v>
      </c>
      <c r="BB2022" s="21" t="s">
        <v>4570</v>
      </c>
      <c r="BC2022" s="31">
        <v>0</v>
      </c>
      <c r="BD2022" s="31">
        <v>0</v>
      </c>
      <c r="BE2022" s="33" t="s">
        <v>4424</v>
      </c>
      <c r="BF2022" s="33" t="s">
        <v>4425</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20.100000000000001" customHeight="1">
      <c r="C2023" s="32">
        <v>73001204</v>
      </c>
      <c r="D2023" s="30" t="s">
        <v>3160</v>
      </c>
      <c r="E2023" s="30" t="s">
        <v>3161</v>
      </c>
      <c r="F2023" s="32">
        <v>1</v>
      </c>
      <c r="G2023" s="21">
        <v>60010100</v>
      </c>
      <c r="H2023" s="32">
        <v>0</v>
      </c>
      <c r="I2023" s="31">
        <v>0</v>
      </c>
      <c r="J2023" s="32">
        <v>1</v>
      </c>
      <c r="K2023" s="32">
        <v>0</v>
      </c>
      <c r="L2023" s="32">
        <v>0</v>
      </c>
      <c r="M2023" s="21">
        <v>0</v>
      </c>
      <c r="N2023" s="21">
        <v>0</v>
      </c>
      <c r="O2023" s="21">
        <v>2</v>
      </c>
      <c r="P2023" s="21">
        <v>1</v>
      </c>
      <c r="Q2023" s="21">
        <v>0.5</v>
      </c>
      <c r="R2023" s="21">
        <v>0</v>
      </c>
      <c r="S2023" s="19">
        <v>0</v>
      </c>
      <c r="T2023" s="21">
        <v>0</v>
      </c>
      <c r="U2023" s="21">
        <v>1</v>
      </c>
      <c r="V2023" s="21">
        <v>2</v>
      </c>
      <c r="W2023" s="21">
        <v>0</v>
      </c>
      <c r="X2023" s="21">
        <v>3</v>
      </c>
      <c r="Y2023" s="19">
        <v>0</v>
      </c>
      <c r="Z2023" s="21">
        <v>0</v>
      </c>
      <c r="AA2023" s="21">
        <v>1</v>
      </c>
      <c r="AB2023" s="21">
        <v>0</v>
      </c>
      <c r="AC2023" s="21">
        <v>0</v>
      </c>
      <c r="AD2023" s="21">
        <v>0</v>
      </c>
      <c r="AE2023" s="21">
        <v>0</v>
      </c>
      <c r="AF2023" s="21">
        <v>10</v>
      </c>
      <c r="AG2023" s="21">
        <v>1</v>
      </c>
      <c r="AH2023" s="21">
        <v>3</v>
      </c>
      <c r="AI2023" s="19">
        <v>1</v>
      </c>
      <c r="AJ2023" s="19">
        <v>1</v>
      </c>
      <c r="AK2023" s="19">
        <v>0</v>
      </c>
      <c r="AL2023" s="19">
        <v>1.5</v>
      </c>
      <c r="AM2023" s="21">
        <v>0</v>
      </c>
      <c r="AN2023" s="21">
        <v>0</v>
      </c>
      <c r="AO2023" s="21">
        <v>0</v>
      </c>
      <c r="AP2023" s="21">
        <v>0.5</v>
      </c>
      <c r="AQ2023" s="21">
        <v>5000</v>
      </c>
      <c r="AR2023" s="21">
        <v>3</v>
      </c>
      <c r="AS2023" s="21">
        <v>0</v>
      </c>
      <c r="AT2023" s="19">
        <v>0</v>
      </c>
      <c r="AU2023" s="21" t="s">
        <v>204</v>
      </c>
      <c r="AV2023" s="21"/>
      <c r="AW2023" s="35" t="s">
        <v>205</v>
      </c>
      <c r="AX2023" s="21" t="s">
        <v>540</v>
      </c>
      <c r="AY2023" s="32">
        <v>10000007</v>
      </c>
      <c r="AZ2023" s="32">
        <v>70103003</v>
      </c>
      <c r="BA2023" s="30" t="s">
        <v>206</v>
      </c>
      <c r="BB2023" s="21" t="s">
        <v>4571</v>
      </c>
      <c r="BC2023" s="31">
        <v>0</v>
      </c>
      <c r="BD2023" s="31">
        <v>0</v>
      </c>
      <c r="BE2023" s="33" t="s">
        <v>3163</v>
      </c>
      <c r="BF2023" s="33" t="s">
        <v>3164</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19.5" customHeight="1">
      <c r="C2024" s="32">
        <v>73001205</v>
      </c>
      <c r="D2024" s="35" t="s">
        <v>590</v>
      </c>
      <c r="E2024" s="35" t="s">
        <v>591</v>
      </c>
      <c r="F2024" s="32">
        <v>1</v>
      </c>
      <c r="G2024" s="32">
        <v>60010300</v>
      </c>
      <c r="H2024" s="32">
        <v>0</v>
      </c>
      <c r="I2024" s="31">
        <v>0</v>
      </c>
      <c r="J2024" s="32">
        <v>1</v>
      </c>
      <c r="K2024" s="32">
        <v>0</v>
      </c>
      <c r="L2024" s="32">
        <v>0</v>
      </c>
      <c r="M2024" s="32">
        <v>0</v>
      </c>
      <c r="N2024" s="32">
        <v>0</v>
      </c>
      <c r="O2024" s="21">
        <v>2</v>
      </c>
      <c r="P2024" s="32">
        <v>1</v>
      </c>
      <c r="Q2024" s="32">
        <v>0.5</v>
      </c>
      <c r="R2024" s="32">
        <v>0</v>
      </c>
      <c r="S2024" s="19">
        <v>0</v>
      </c>
      <c r="T2024" s="31">
        <v>0</v>
      </c>
      <c r="U2024" s="21">
        <v>1</v>
      </c>
      <c r="V2024" s="32">
        <v>2</v>
      </c>
      <c r="W2024" s="32">
        <v>0</v>
      </c>
      <c r="X2024" s="32">
        <v>3</v>
      </c>
      <c r="Y2024" s="19">
        <v>0</v>
      </c>
      <c r="Z2024" s="32">
        <v>0</v>
      </c>
      <c r="AA2024" s="32">
        <v>0</v>
      </c>
      <c r="AB2024" s="32">
        <v>0</v>
      </c>
      <c r="AC2024" s="32">
        <v>0</v>
      </c>
      <c r="AD2024" s="32">
        <v>0</v>
      </c>
      <c r="AE2024" s="32">
        <v>0</v>
      </c>
      <c r="AF2024" s="32">
        <v>15</v>
      </c>
      <c r="AG2024" s="32">
        <v>1</v>
      </c>
      <c r="AH2024" s="32">
        <v>2</v>
      </c>
      <c r="AI2024" s="19">
        <v>2</v>
      </c>
      <c r="AJ2024" s="19">
        <v>2</v>
      </c>
      <c r="AK2024" s="19">
        <v>0</v>
      </c>
      <c r="AL2024" s="19">
        <v>3</v>
      </c>
      <c r="AM2024" s="32">
        <v>0</v>
      </c>
      <c r="AN2024" s="32">
        <v>0</v>
      </c>
      <c r="AO2024" s="32">
        <v>0</v>
      </c>
      <c r="AP2024" s="32">
        <v>2</v>
      </c>
      <c r="AQ2024" s="32">
        <v>30000</v>
      </c>
      <c r="AR2024" s="32">
        <v>2</v>
      </c>
      <c r="AS2024" s="32">
        <v>4</v>
      </c>
      <c r="AT2024" s="19">
        <v>0</v>
      </c>
      <c r="AU2024" s="32" t="s">
        <v>204</v>
      </c>
      <c r="AV2024" s="32"/>
      <c r="AW2024" s="35" t="s">
        <v>205</v>
      </c>
      <c r="AX2024" s="32" t="s">
        <v>551</v>
      </c>
      <c r="AY2024" s="32">
        <v>10003002</v>
      </c>
      <c r="AZ2024" s="32">
        <v>70106005</v>
      </c>
      <c r="BA2024" s="35" t="s">
        <v>592</v>
      </c>
      <c r="BB2024" s="35">
        <v>0</v>
      </c>
      <c r="BC2024" s="31">
        <v>0</v>
      </c>
      <c r="BD2024" s="31">
        <v>0</v>
      </c>
      <c r="BE2024" s="60" t="s">
        <v>583</v>
      </c>
      <c r="BF2024" s="60" t="s">
        <v>584</v>
      </c>
      <c r="BG2024" s="32">
        <v>0</v>
      </c>
      <c r="BH2024" s="21">
        <v>0</v>
      </c>
      <c r="BI2024" s="32">
        <v>0</v>
      </c>
      <c r="BJ2024" s="32">
        <v>0</v>
      </c>
      <c r="BK2024" s="32">
        <v>0</v>
      </c>
      <c r="BL2024" s="32">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20.100000000000001" customHeight="1">
      <c r="C2025" s="32">
        <v>73001301</v>
      </c>
      <c r="D2025" s="30" t="s">
        <v>766</v>
      </c>
      <c r="E2025" s="30" t="s">
        <v>767</v>
      </c>
      <c r="F2025" s="21">
        <v>2</v>
      </c>
      <c r="G2025" s="21">
        <v>61012301</v>
      </c>
      <c r="H2025" s="21">
        <v>0</v>
      </c>
      <c r="I2025" s="31">
        <v>0</v>
      </c>
      <c r="J2025" s="32">
        <v>1</v>
      </c>
      <c r="K2025" s="32">
        <v>0</v>
      </c>
      <c r="L2025" s="32">
        <v>0</v>
      </c>
      <c r="M2025" s="21">
        <v>0</v>
      </c>
      <c r="N2025" s="21">
        <v>0</v>
      </c>
      <c r="O2025" s="21">
        <v>2</v>
      </c>
      <c r="P2025" s="21">
        <v>1</v>
      </c>
      <c r="Q2025" s="21">
        <v>0.5</v>
      </c>
      <c r="R2025" s="21">
        <v>0</v>
      </c>
      <c r="S2025" s="19">
        <v>0</v>
      </c>
      <c r="T2025" s="21">
        <v>0</v>
      </c>
      <c r="U2025" s="21">
        <v>1</v>
      </c>
      <c r="V2025" s="21">
        <v>2</v>
      </c>
      <c r="W2025" s="21">
        <v>0</v>
      </c>
      <c r="X2025" s="21">
        <v>1.4</v>
      </c>
      <c r="Y2025" s="19">
        <v>0</v>
      </c>
      <c r="Z2025" s="21">
        <v>150</v>
      </c>
      <c r="AA2025" s="21">
        <v>1</v>
      </c>
      <c r="AB2025" s="21">
        <v>0</v>
      </c>
      <c r="AC2025" s="21">
        <v>0</v>
      </c>
      <c r="AD2025" s="21">
        <v>0</v>
      </c>
      <c r="AE2025" s="21">
        <v>0</v>
      </c>
      <c r="AF2025" s="21">
        <v>12</v>
      </c>
      <c r="AG2025" s="21">
        <v>2</v>
      </c>
      <c r="AH2025" s="21" t="s">
        <v>219</v>
      </c>
      <c r="AI2025" s="19">
        <v>0</v>
      </c>
      <c r="AJ2025" s="19">
        <v>2</v>
      </c>
      <c r="AK2025" s="19">
        <v>0</v>
      </c>
      <c r="AL2025" s="19">
        <v>1.5</v>
      </c>
      <c r="AM2025" s="21">
        <v>0</v>
      </c>
      <c r="AN2025" s="21">
        <v>0</v>
      </c>
      <c r="AO2025" s="21">
        <v>0</v>
      </c>
      <c r="AP2025" s="21">
        <v>1.5</v>
      </c>
      <c r="AQ2025" s="21">
        <v>1200</v>
      </c>
      <c r="AR2025" s="21">
        <v>1</v>
      </c>
      <c r="AS2025" s="21">
        <v>15</v>
      </c>
      <c r="AT2025" s="19">
        <v>0</v>
      </c>
      <c r="AU2025" s="21" t="s">
        <v>204</v>
      </c>
      <c r="AV2025" s="21"/>
      <c r="AW2025" s="30" t="s">
        <v>262</v>
      </c>
      <c r="AX2025" s="21" t="s">
        <v>221</v>
      </c>
      <c r="AY2025" s="32">
        <v>10000011</v>
      </c>
      <c r="AZ2025" s="32">
        <v>70404001</v>
      </c>
      <c r="BA2025" s="30" t="s">
        <v>222</v>
      </c>
      <c r="BB2025" s="21">
        <v>0</v>
      </c>
      <c r="BC2025" s="31">
        <v>0</v>
      </c>
      <c r="BD2025" s="31">
        <v>0</v>
      </c>
      <c r="BE2025" s="33" t="s">
        <v>804</v>
      </c>
      <c r="BF2025" s="33" t="s">
        <v>805</v>
      </c>
      <c r="BG2025" s="21">
        <v>0</v>
      </c>
      <c r="BH2025" s="21">
        <v>0</v>
      </c>
      <c r="BI2025" s="21">
        <v>0</v>
      </c>
      <c r="BJ2025" s="21">
        <v>0</v>
      </c>
      <c r="BK2025" s="21">
        <v>0</v>
      </c>
      <c r="BL2025" s="21">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100000000000001" customHeight="1">
      <c r="C2026" s="32">
        <v>73001302</v>
      </c>
      <c r="D2026" s="30" t="s">
        <v>4421</v>
      </c>
      <c r="E2026" s="30" t="s">
        <v>4422</v>
      </c>
      <c r="F2026" s="32">
        <v>1</v>
      </c>
      <c r="G2026" s="21">
        <v>60010300</v>
      </c>
      <c r="H2026" s="32">
        <v>0</v>
      </c>
      <c r="I2026" s="31">
        <v>0</v>
      </c>
      <c r="J2026" s="32">
        <v>1</v>
      </c>
      <c r="K2026" s="32">
        <v>0</v>
      </c>
      <c r="L2026" s="32">
        <v>0</v>
      </c>
      <c r="M2026" s="21">
        <v>0</v>
      </c>
      <c r="N2026" s="21">
        <v>0</v>
      </c>
      <c r="O2026" s="21">
        <v>2</v>
      </c>
      <c r="P2026" s="21">
        <v>2</v>
      </c>
      <c r="Q2026" s="21">
        <v>0.8</v>
      </c>
      <c r="R2026" s="21">
        <v>0</v>
      </c>
      <c r="S2026" s="19">
        <v>0</v>
      </c>
      <c r="T2026" s="21">
        <v>0</v>
      </c>
      <c r="U2026" s="21">
        <v>1</v>
      </c>
      <c r="V2026" s="21">
        <v>2</v>
      </c>
      <c r="W2026" s="21">
        <v>0</v>
      </c>
      <c r="X2026" s="21">
        <v>0</v>
      </c>
      <c r="Y2026" s="19">
        <v>0</v>
      </c>
      <c r="Z2026" s="21">
        <v>0</v>
      </c>
      <c r="AA2026" s="21">
        <v>0</v>
      </c>
      <c r="AB2026" s="21">
        <v>0</v>
      </c>
      <c r="AC2026" s="21">
        <v>0</v>
      </c>
      <c r="AD2026" s="21">
        <v>0</v>
      </c>
      <c r="AE2026" s="21">
        <v>0</v>
      </c>
      <c r="AF2026" s="21">
        <v>20</v>
      </c>
      <c r="AG2026" s="21">
        <v>0</v>
      </c>
      <c r="AH2026" s="21">
        <v>0</v>
      </c>
      <c r="AI2026" s="19">
        <v>2</v>
      </c>
      <c r="AJ2026" s="19">
        <v>2</v>
      </c>
      <c r="AK2026" s="19">
        <v>0</v>
      </c>
      <c r="AL2026" s="19">
        <v>1.5</v>
      </c>
      <c r="AM2026" s="21">
        <v>0</v>
      </c>
      <c r="AN2026" s="21">
        <v>0</v>
      </c>
      <c r="AO2026" s="21">
        <v>0</v>
      </c>
      <c r="AP2026" s="21">
        <v>1</v>
      </c>
      <c r="AQ2026" s="21">
        <v>3000</v>
      </c>
      <c r="AR2026" s="21">
        <v>0.5</v>
      </c>
      <c r="AS2026" s="21">
        <v>0</v>
      </c>
      <c r="AT2026" s="19">
        <v>0</v>
      </c>
      <c r="AU2026" s="21" t="s">
        <v>204</v>
      </c>
      <c r="AV2026" s="21"/>
      <c r="AW2026" s="35" t="s">
        <v>205</v>
      </c>
      <c r="AX2026" s="21" t="s">
        <v>551</v>
      </c>
      <c r="AY2026" s="32">
        <v>0</v>
      </c>
      <c r="AZ2026" s="32">
        <v>0</v>
      </c>
      <c r="BA2026" s="30" t="s">
        <v>534</v>
      </c>
      <c r="BB2026" s="21" t="s">
        <v>4572</v>
      </c>
      <c r="BC2026" s="31">
        <v>0</v>
      </c>
      <c r="BD2026" s="31">
        <v>0</v>
      </c>
      <c r="BE2026" s="33" t="s">
        <v>4424</v>
      </c>
      <c r="BF2026" s="33" t="s">
        <v>4425</v>
      </c>
      <c r="BG2026" s="21">
        <v>0</v>
      </c>
      <c r="BH2026" s="21">
        <v>0</v>
      </c>
      <c r="BI2026" s="21">
        <v>0</v>
      </c>
      <c r="BJ2026" s="21">
        <v>0</v>
      </c>
      <c r="BK2026" s="21">
        <v>0</v>
      </c>
      <c r="BL2026" s="21">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20.100000000000001" customHeight="1">
      <c r="C2027" s="32">
        <v>73001303</v>
      </c>
      <c r="D2027" s="30" t="s">
        <v>549</v>
      </c>
      <c r="E2027" s="30" t="s">
        <v>550</v>
      </c>
      <c r="F2027" s="32">
        <v>1</v>
      </c>
      <c r="G2027" s="21">
        <v>60010300</v>
      </c>
      <c r="H2027" s="32">
        <v>0</v>
      </c>
      <c r="I2027" s="31">
        <v>0</v>
      </c>
      <c r="J2027" s="32">
        <v>1</v>
      </c>
      <c r="K2027" s="32">
        <v>0</v>
      </c>
      <c r="L2027" s="32">
        <v>0</v>
      </c>
      <c r="M2027" s="21">
        <v>0</v>
      </c>
      <c r="N2027" s="21">
        <v>0</v>
      </c>
      <c r="O2027" s="21">
        <v>2</v>
      </c>
      <c r="P2027" s="21">
        <v>1</v>
      </c>
      <c r="Q2027" s="21">
        <v>0.5</v>
      </c>
      <c r="R2027" s="21">
        <v>0</v>
      </c>
      <c r="S2027" s="19">
        <v>0</v>
      </c>
      <c r="T2027" s="21">
        <v>0</v>
      </c>
      <c r="U2027" s="21">
        <v>1</v>
      </c>
      <c r="V2027" s="21">
        <v>2</v>
      </c>
      <c r="W2027" s="21">
        <v>0</v>
      </c>
      <c r="X2027" s="21">
        <v>3</v>
      </c>
      <c r="Y2027" s="19">
        <v>0</v>
      </c>
      <c r="Z2027" s="21">
        <v>0</v>
      </c>
      <c r="AA2027" s="21">
        <v>0</v>
      </c>
      <c r="AB2027" s="21">
        <v>0</v>
      </c>
      <c r="AC2027" s="21">
        <v>0</v>
      </c>
      <c r="AD2027" s="21">
        <v>0</v>
      </c>
      <c r="AE2027" s="21">
        <v>0</v>
      </c>
      <c r="AF2027" s="21">
        <v>12</v>
      </c>
      <c r="AG2027" s="21">
        <v>2</v>
      </c>
      <c r="AH2027" s="21" t="s">
        <v>219</v>
      </c>
      <c r="AI2027" s="19">
        <v>0</v>
      </c>
      <c r="AJ2027" s="19">
        <v>2</v>
      </c>
      <c r="AK2027" s="19">
        <v>0</v>
      </c>
      <c r="AL2027" s="19">
        <v>1.5</v>
      </c>
      <c r="AM2027" s="21">
        <v>0</v>
      </c>
      <c r="AN2027" s="21">
        <v>0</v>
      </c>
      <c r="AO2027" s="21">
        <v>0</v>
      </c>
      <c r="AP2027" s="21">
        <v>2.5</v>
      </c>
      <c r="AQ2027" s="21">
        <v>4000</v>
      </c>
      <c r="AR2027" s="21">
        <v>2</v>
      </c>
      <c r="AS2027" s="21">
        <v>0</v>
      </c>
      <c r="AT2027" s="19">
        <v>0</v>
      </c>
      <c r="AU2027" s="21" t="s">
        <v>204</v>
      </c>
      <c r="AV2027" s="21"/>
      <c r="AW2027" s="35" t="s">
        <v>293</v>
      </c>
      <c r="AX2027" s="21" t="s">
        <v>551</v>
      </c>
      <c r="AY2027" s="32">
        <v>10001007</v>
      </c>
      <c r="AZ2027" s="32">
        <v>70103001</v>
      </c>
      <c r="BA2027" s="30" t="s">
        <v>206</v>
      </c>
      <c r="BB2027" s="21">
        <v>0</v>
      </c>
      <c r="BC2027" s="31">
        <v>0</v>
      </c>
      <c r="BD2027" s="31">
        <v>0</v>
      </c>
      <c r="BE2027" s="33" t="s">
        <v>552</v>
      </c>
      <c r="BF2027" s="33" t="s">
        <v>553</v>
      </c>
      <c r="BG2027" s="21">
        <v>0</v>
      </c>
      <c r="BH2027" s="21">
        <v>0</v>
      </c>
      <c r="BI2027" s="21">
        <v>0</v>
      </c>
      <c r="BJ2027" s="21">
        <v>0</v>
      </c>
      <c r="BK2027" s="21">
        <v>0</v>
      </c>
      <c r="BL2027" s="21">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19.5" customHeight="1">
      <c r="C2028" s="32">
        <v>73001305</v>
      </c>
      <c r="D2028" s="35" t="s">
        <v>763</v>
      </c>
      <c r="E2028" s="35" t="s">
        <v>405</v>
      </c>
      <c r="F2028" s="32">
        <v>1</v>
      </c>
      <c r="G2028" s="32">
        <v>60010500</v>
      </c>
      <c r="H2028" s="32">
        <v>0</v>
      </c>
      <c r="I2028" s="31">
        <v>0</v>
      </c>
      <c r="J2028" s="32">
        <v>1</v>
      </c>
      <c r="K2028" s="32">
        <v>0</v>
      </c>
      <c r="L2028" s="32">
        <v>0</v>
      </c>
      <c r="M2028" s="32">
        <v>0</v>
      </c>
      <c r="N2028" s="32">
        <v>0</v>
      </c>
      <c r="O2028" s="21">
        <v>2</v>
      </c>
      <c r="P2028" s="32">
        <v>2</v>
      </c>
      <c r="Q2028" s="32">
        <v>0.5</v>
      </c>
      <c r="R2028" s="32">
        <v>0</v>
      </c>
      <c r="S2028" s="19">
        <v>0</v>
      </c>
      <c r="T2028" s="31">
        <v>0</v>
      </c>
      <c r="U2028" s="21">
        <v>1</v>
      </c>
      <c r="V2028" s="32">
        <v>2</v>
      </c>
      <c r="W2028" s="32">
        <v>0</v>
      </c>
      <c r="X2028" s="32">
        <v>0</v>
      </c>
      <c r="Y2028" s="19">
        <v>0</v>
      </c>
      <c r="Z2028" s="32">
        <v>0</v>
      </c>
      <c r="AA2028" s="32">
        <v>0</v>
      </c>
      <c r="AB2028" s="32">
        <v>0</v>
      </c>
      <c r="AC2028" s="32">
        <v>0</v>
      </c>
      <c r="AD2028" s="21">
        <v>0</v>
      </c>
      <c r="AE2028" s="32">
        <v>0</v>
      </c>
      <c r="AF2028" s="21">
        <v>15</v>
      </c>
      <c r="AG2028" s="32">
        <v>0</v>
      </c>
      <c r="AH2028" s="32">
        <v>0</v>
      </c>
      <c r="AI2028" s="19">
        <v>2</v>
      </c>
      <c r="AJ2028" s="19">
        <v>0</v>
      </c>
      <c r="AK2028" s="19">
        <v>0</v>
      </c>
      <c r="AL2028" s="19">
        <v>0</v>
      </c>
      <c r="AM2028" s="32">
        <v>0</v>
      </c>
      <c r="AN2028" s="32">
        <v>0</v>
      </c>
      <c r="AO2028" s="32">
        <v>0</v>
      </c>
      <c r="AP2028" s="32">
        <v>0</v>
      </c>
      <c r="AQ2028" s="32">
        <v>1000</v>
      </c>
      <c r="AR2028" s="32">
        <v>0</v>
      </c>
      <c r="AS2028" s="32">
        <v>0</v>
      </c>
      <c r="AT2028" s="19" t="s">
        <v>760</v>
      </c>
      <c r="AU2028" s="32" t="s">
        <v>204</v>
      </c>
      <c r="AV2028" s="32"/>
      <c r="AW2028" s="35" t="s">
        <v>205</v>
      </c>
      <c r="AX2028" s="32" t="s">
        <v>354</v>
      </c>
      <c r="AY2028" s="32">
        <v>0</v>
      </c>
      <c r="AZ2028" s="32">
        <v>0</v>
      </c>
      <c r="BA2028" s="35" t="s">
        <v>206</v>
      </c>
      <c r="BB2028" s="35" t="s">
        <v>204</v>
      </c>
      <c r="BC2028" s="31">
        <v>0</v>
      </c>
      <c r="BD2028" s="31">
        <v>0</v>
      </c>
      <c r="BE2028" s="60" t="s">
        <v>1124</v>
      </c>
      <c r="BF2028" s="60" t="s">
        <v>1125</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25" customHeight="1">
      <c r="C2029" s="32">
        <v>73001306</v>
      </c>
      <c r="D2029" s="35" t="s">
        <v>2848</v>
      </c>
      <c r="E2029" s="35" t="s">
        <v>2849</v>
      </c>
      <c r="F2029" s="32">
        <v>1</v>
      </c>
      <c r="G2029" s="32">
        <v>62000101</v>
      </c>
      <c r="H2029" s="32">
        <v>0</v>
      </c>
      <c r="I2029" s="31">
        <v>0</v>
      </c>
      <c r="J2029" s="32">
        <v>1</v>
      </c>
      <c r="K2029" s="32">
        <v>0</v>
      </c>
      <c r="L2029" s="21">
        <v>0</v>
      </c>
      <c r="M2029" s="32">
        <v>0</v>
      </c>
      <c r="N2029" s="32">
        <v>0</v>
      </c>
      <c r="O2029" s="21">
        <v>2</v>
      </c>
      <c r="P2029" s="32">
        <v>1</v>
      </c>
      <c r="Q2029" s="32">
        <v>0.3</v>
      </c>
      <c r="R2029" s="32">
        <v>0</v>
      </c>
      <c r="S2029" s="19">
        <v>0</v>
      </c>
      <c r="T2029" s="31">
        <v>0</v>
      </c>
      <c r="U2029" s="21">
        <v>1</v>
      </c>
      <c r="V2029" s="32">
        <v>1</v>
      </c>
      <c r="W2029" s="32">
        <v>0</v>
      </c>
      <c r="X2029" s="32">
        <v>3</v>
      </c>
      <c r="Y2029" s="19">
        <v>0</v>
      </c>
      <c r="Z2029" s="32">
        <v>0</v>
      </c>
      <c r="AA2029" s="32">
        <v>0</v>
      </c>
      <c r="AB2029" s="32">
        <v>0</v>
      </c>
      <c r="AC2029" s="32">
        <v>0</v>
      </c>
      <c r="AD2029" s="32">
        <v>1</v>
      </c>
      <c r="AE2029" s="32">
        <v>12</v>
      </c>
      <c r="AF2029" s="32">
        <v>12</v>
      </c>
      <c r="AG2029" s="32">
        <v>0</v>
      </c>
      <c r="AH2029" s="32">
        <v>3</v>
      </c>
      <c r="AI2029" s="19">
        <v>7</v>
      </c>
      <c r="AJ2029" s="19">
        <v>0</v>
      </c>
      <c r="AK2029" s="19">
        <v>0</v>
      </c>
      <c r="AL2029" s="19">
        <v>10</v>
      </c>
      <c r="AM2029" s="32">
        <v>0</v>
      </c>
      <c r="AN2029" s="32">
        <v>0</v>
      </c>
      <c r="AO2029" s="32">
        <v>0</v>
      </c>
      <c r="AP2029" s="32">
        <v>0</v>
      </c>
      <c r="AQ2029" s="32">
        <v>3000</v>
      </c>
      <c r="AR2029" s="32">
        <v>0.5</v>
      </c>
      <c r="AS2029" s="32">
        <v>20</v>
      </c>
      <c r="AT2029" s="19">
        <v>0</v>
      </c>
      <c r="AU2029" s="32" t="s">
        <v>204</v>
      </c>
      <c r="AV2029" s="32"/>
      <c r="AW2029" s="30" t="s">
        <v>248</v>
      </c>
      <c r="AX2029" s="32" t="s">
        <v>1802</v>
      </c>
      <c r="AY2029" s="32">
        <v>10000011</v>
      </c>
      <c r="AZ2029" s="32">
        <v>20001010</v>
      </c>
      <c r="BA2029" s="35" t="s">
        <v>256</v>
      </c>
      <c r="BB2029" s="35" t="s">
        <v>204</v>
      </c>
      <c r="BC2029" s="31">
        <v>0</v>
      </c>
      <c r="BD2029" s="31">
        <v>0</v>
      </c>
      <c r="BE2029" s="33" t="s">
        <v>3167</v>
      </c>
      <c r="BF2029" s="33" t="s">
        <v>3168</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73002101</v>
      </c>
      <c r="D2030" s="30" t="s">
        <v>4421</v>
      </c>
      <c r="E2030" s="30" t="s">
        <v>4422</v>
      </c>
      <c r="F2030" s="32">
        <v>1</v>
      </c>
      <c r="G2030" s="21">
        <v>60010300</v>
      </c>
      <c r="H2030" s="32">
        <v>0</v>
      </c>
      <c r="I2030" s="31">
        <v>0</v>
      </c>
      <c r="J2030" s="32">
        <v>1</v>
      </c>
      <c r="K2030" s="32">
        <v>0</v>
      </c>
      <c r="L2030" s="32">
        <v>0</v>
      </c>
      <c r="M2030" s="21">
        <v>0</v>
      </c>
      <c r="N2030" s="21">
        <v>0</v>
      </c>
      <c r="O2030" s="21">
        <v>2</v>
      </c>
      <c r="P2030" s="21">
        <v>2</v>
      </c>
      <c r="Q2030" s="21">
        <v>0.8</v>
      </c>
      <c r="R2030" s="21">
        <v>0</v>
      </c>
      <c r="S2030" s="19">
        <v>0</v>
      </c>
      <c r="T2030" s="21">
        <v>0</v>
      </c>
      <c r="U2030" s="21">
        <v>1</v>
      </c>
      <c r="V2030" s="21">
        <v>2</v>
      </c>
      <c r="W2030" s="21">
        <v>0</v>
      </c>
      <c r="X2030" s="21">
        <v>0</v>
      </c>
      <c r="Y2030" s="19">
        <v>0</v>
      </c>
      <c r="Z2030" s="21">
        <v>0</v>
      </c>
      <c r="AA2030" s="21">
        <v>0</v>
      </c>
      <c r="AB2030" s="21">
        <v>0</v>
      </c>
      <c r="AC2030" s="21">
        <v>0</v>
      </c>
      <c r="AD2030" s="21">
        <v>0</v>
      </c>
      <c r="AE2030" s="21">
        <v>0</v>
      </c>
      <c r="AF2030" s="21">
        <v>20</v>
      </c>
      <c r="AG2030" s="21">
        <v>0</v>
      </c>
      <c r="AH2030" s="21">
        <v>0</v>
      </c>
      <c r="AI2030" s="19">
        <v>2</v>
      </c>
      <c r="AJ2030" s="19">
        <v>2</v>
      </c>
      <c r="AK2030" s="19">
        <v>0</v>
      </c>
      <c r="AL2030" s="19">
        <v>1.5</v>
      </c>
      <c r="AM2030" s="21">
        <v>0</v>
      </c>
      <c r="AN2030" s="21">
        <v>0</v>
      </c>
      <c r="AO2030" s="21">
        <v>0</v>
      </c>
      <c r="AP2030" s="21">
        <v>1</v>
      </c>
      <c r="AQ2030" s="21">
        <v>3000</v>
      </c>
      <c r="AR2030" s="21">
        <v>0.5</v>
      </c>
      <c r="AS2030" s="21">
        <v>0</v>
      </c>
      <c r="AT2030" s="19">
        <v>0</v>
      </c>
      <c r="AU2030" s="21" t="s">
        <v>204</v>
      </c>
      <c r="AV2030" s="21"/>
      <c r="AW2030" s="35" t="s">
        <v>205</v>
      </c>
      <c r="AX2030" s="21" t="s">
        <v>551</v>
      </c>
      <c r="AY2030" s="32">
        <v>0</v>
      </c>
      <c r="AZ2030" s="32">
        <v>0</v>
      </c>
      <c r="BA2030" s="30" t="s">
        <v>534</v>
      </c>
      <c r="BB2030" s="21" t="s">
        <v>4573</v>
      </c>
      <c r="BC2030" s="31">
        <v>0</v>
      </c>
      <c r="BD2030" s="31">
        <v>0</v>
      </c>
      <c r="BE2030" s="33" t="s">
        <v>4424</v>
      </c>
      <c r="BF2030" s="33" t="s">
        <v>4425</v>
      </c>
      <c r="BG2030" s="21">
        <v>0</v>
      </c>
      <c r="BH2030" s="21">
        <v>0</v>
      </c>
      <c r="BI2030" s="21">
        <v>0</v>
      </c>
      <c r="BJ2030" s="21">
        <v>0</v>
      </c>
      <c r="BK2030" s="21">
        <v>0</v>
      </c>
      <c r="BL2030" s="21">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20.100000000000001" customHeight="1">
      <c r="C2031" s="32">
        <v>73002102</v>
      </c>
      <c r="D2031" s="35" t="s">
        <v>4574</v>
      </c>
      <c r="E2031" s="35" t="s">
        <v>4575</v>
      </c>
      <c r="F2031" s="32">
        <v>1</v>
      </c>
      <c r="G2031" s="32">
        <v>60010500</v>
      </c>
      <c r="H2031" s="32">
        <v>0</v>
      </c>
      <c r="I2031" s="31">
        <v>0</v>
      </c>
      <c r="J2031" s="32">
        <v>1</v>
      </c>
      <c r="K2031" s="32">
        <v>0</v>
      </c>
      <c r="L2031" s="32">
        <v>0</v>
      </c>
      <c r="M2031" s="32">
        <v>0</v>
      </c>
      <c r="N2031" s="32">
        <v>0</v>
      </c>
      <c r="O2031" s="21">
        <v>2</v>
      </c>
      <c r="P2031" s="32">
        <v>2</v>
      </c>
      <c r="Q2031" s="32">
        <v>0.6</v>
      </c>
      <c r="R2031" s="32">
        <v>0</v>
      </c>
      <c r="S2031" s="19">
        <v>0</v>
      </c>
      <c r="T2031" s="31">
        <v>0</v>
      </c>
      <c r="U2031" s="21">
        <v>1</v>
      </c>
      <c r="V2031" s="32">
        <v>2</v>
      </c>
      <c r="W2031" s="32">
        <v>0</v>
      </c>
      <c r="X2031" s="32">
        <v>0</v>
      </c>
      <c r="Y2031" s="19">
        <v>0</v>
      </c>
      <c r="Z2031" s="32">
        <v>0</v>
      </c>
      <c r="AA2031" s="32">
        <v>0</v>
      </c>
      <c r="AB2031" s="32">
        <v>0</v>
      </c>
      <c r="AC2031" s="32">
        <v>0</v>
      </c>
      <c r="AD2031" s="21">
        <v>0</v>
      </c>
      <c r="AE2031" s="32">
        <v>0</v>
      </c>
      <c r="AF2031" s="32">
        <v>20</v>
      </c>
      <c r="AG2031" s="32">
        <v>0</v>
      </c>
      <c r="AH2031" s="32">
        <v>0</v>
      </c>
      <c r="AI2031" s="19">
        <v>2</v>
      </c>
      <c r="AJ2031" s="19">
        <v>0</v>
      </c>
      <c r="AK2031" s="19">
        <v>0</v>
      </c>
      <c r="AL2031" s="19">
        <v>0</v>
      </c>
      <c r="AM2031" s="32">
        <v>0</v>
      </c>
      <c r="AN2031" s="32">
        <v>0</v>
      </c>
      <c r="AO2031" s="32">
        <v>0</v>
      </c>
      <c r="AP2031" s="32">
        <v>0</v>
      </c>
      <c r="AQ2031" s="32">
        <v>1000</v>
      </c>
      <c r="AR2031" s="32">
        <v>0</v>
      </c>
      <c r="AS2031" s="32">
        <v>0</v>
      </c>
      <c r="AT2031" s="19">
        <v>90401006</v>
      </c>
      <c r="AU2031" s="32" t="s">
        <v>204</v>
      </c>
      <c r="AV2031" s="32"/>
      <c r="AW2031" s="35" t="s">
        <v>205</v>
      </c>
      <c r="AX2031" s="32" t="s">
        <v>354</v>
      </c>
      <c r="AY2031" s="32">
        <v>0</v>
      </c>
      <c r="AZ2031" s="32">
        <v>40000003</v>
      </c>
      <c r="BA2031" s="35" t="s">
        <v>206</v>
      </c>
      <c r="BB2031" s="35" t="s">
        <v>204</v>
      </c>
      <c r="BC2031" s="31">
        <v>0</v>
      </c>
      <c r="BD2031" s="31">
        <v>0</v>
      </c>
      <c r="BE2031" s="60" t="s">
        <v>4576</v>
      </c>
      <c r="BF2031" s="60" t="s">
        <v>4577</v>
      </c>
      <c r="BG2031" s="32">
        <v>0</v>
      </c>
      <c r="BH2031" s="21">
        <v>0</v>
      </c>
      <c r="BI2031" s="32">
        <v>0</v>
      </c>
      <c r="BJ2031" s="32">
        <v>0</v>
      </c>
      <c r="BK2031" s="32">
        <v>0</v>
      </c>
      <c r="BL2031" s="32">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20.100000000000001" customHeight="1">
      <c r="C2032" s="32">
        <v>73002103</v>
      </c>
      <c r="D2032" s="35" t="s">
        <v>4578</v>
      </c>
      <c r="E2032" s="35" t="s">
        <v>4579</v>
      </c>
      <c r="F2032" s="32">
        <v>1</v>
      </c>
      <c r="G2032" s="32">
        <v>60010300</v>
      </c>
      <c r="H2032" s="32">
        <v>0</v>
      </c>
      <c r="I2032" s="31">
        <v>0</v>
      </c>
      <c r="J2032" s="32">
        <v>1</v>
      </c>
      <c r="K2032" s="32">
        <v>0</v>
      </c>
      <c r="L2032" s="32">
        <v>0</v>
      </c>
      <c r="M2032" s="32">
        <v>0</v>
      </c>
      <c r="N2032" s="32">
        <v>0</v>
      </c>
      <c r="O2032" s="21">
        <v>2</v>
      </c>
      <c r="P2032" s="32">
        <v>6</v>
      </c>
      <c r="Q2032" s="32">
        <v>0</v>
      </c>
      <c r="R2032" s="32">
        <v>0</v>
      </c>
      <c r="S2032" s="19">
        <v>0</v>
      </c>
      <c r="T2032" s="31">
        <v>0</v>
      </c>
      <c r="U2032" s="21">
        <v>1</v>
      </c>
      <c r="V2032" s="32">
        <v>2</v>
      </c>
      <c r="W2032" s="32">
        <v>0</v>
      </c>
      <c r="X2032" s="32">
        <v>10</v>
      </c>
      <c r="Y2032" s="19">
        <v>0</v>
      </c>
      <c r="Z2032" s="32">
        <v>0</v>
      </c>
      <c r="AA2032" s="32">
        <v>0</v>
      </c>
      <c r="AB2032" s="32">
        <v>0</v>
      </c>
      <c r="AC2032" s="32">
        <v>0</v>
      </c>
      <c r="AD2032" s="32">
        <v>0</v>
      </c>
      <c r="AE2032" s="32">
        <v>0</v>
      </c>
      <c r="AF2032" s="32">
        <v>15</v>
      </c>
      <c r="AG2032" s="32">
        <v>1</v>
      </c>
      <c r="AH2032" s="32">
        <v>3</v>
      </c>
      <c r="AI2032" s="19">
        <v>1</v>
      </c>
      <c r="AJ2032" s="19">
        <v>0</v>
      </c>
      <c r="AK2032" s="19">
        <v>0</v>
      </c>
      <c r="AL2032" s="19">
        <v>1.5</v>
      </c>
      <c r="AM2032" s="32">
        <v>0</v>
      </c>
      <c r="AN2032" s="32">
        <v>0</v>
      </c>
      <c r="AO2032" s="32">
        <v>0</v>
      </c>
      <c r="AP2032" s="32">
        <v>1</v>
      </c>
      <c r="AQ2032" s="32">
        <v>1000</v>
      </c>
      <c r="AR2032" s="32">
        <v>0.5</v>
      </c>
      <c r="AS2032" s="32">
        <v>0</v>
      </c>
      <c r="AT2032" s="19">
        <v>0</v>
      </c>
      <c r="AU2032" s="32" t="s">
        <v>581</v>
      </c>
      <c r="AV2032" s="32"/>
      <c r="AW2032" s="35" t="s">
        <v>205</v>
      </c>
      <c r="AX2032" s="32" t="s">
        <v>551</v>
      </c>
      <c r="AY2032" s="32">
        <v>10002001</v>
      </c>
      <c r="AZ2032" s="32">
        <v>70106001</v>
      </c>
      <c r="BA2032" s="35" t="s">
        <v>321</v>
      </c>
      <c r="BB2032" s="35" t="s">
        <v>582</v>
      </c>
      <c r="BC2032" s="31">
        <v>0</v>
      </c>
      <c r="BD2032" s="31">
        <v>0</v>
      </c>
      <c r="BE2032" s="60" t="s">
        <v>583</v>
      </c>
      <c r="BF2032" s="60" t="s">
        <v>584</v>
      </c>
      <c r="BG2032" s="32">
        <v>0</v>
      </c>
      <c r="BH2032" s="21">
        <v>0</v>
      </c>
      <c r="BI2032" s="32">
        <v>0</v>
      </c>
      <c r="BJ2032" s="32">
        <v>0</v>
      </c>
      <c r="BK2032" s="32">
        <v>0</v>
      </c>
      <c r="BL2032" s="32">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20.100000000000001" customHeight="1">
      <c r="C2033" s="32">
        <v>73002104</v>
      </c>
      <c r="D2033" s="35" t="s">
        <v>4578</v>
      </c>
      <c r="E2033" s="35" t="s">
        <v>4579</v>
      </c>
      <c r="F2033" s="32">
        <v>1</v>
      </c>
      <c r="G2033" s="32">
        <v>60010500</v>
      </c>
      <c r="H2033" s="32">
        <v>0</v>
      </c>
      <c r="I2033" s="31">
        <v>0</v>
      </c>
      <c r="J2033" s="32">
        <v>1</v>
      </c>
      <c r="K2033" s="32">
        <v>0</v>
      </c>
      <c r="L2033" s="32">
        <v>0</v>
      </c>
      <c r="M2033" s="32">
        <v>0</v>
      </c>
      <c r="N2033" s="32">
        <v>0</v>
      </c>
      <c r="O2033" s="21">
        <v>2</v>
      </c>
      <c r="P2033" s="32">
        <v>2</v>
      </c>
      <c r="Q2033" s="32">
        <v>0.6</v>
      </c>
      <c r="R2033" s="32">
        <v>0</v>
      </c>
      <c r="S2033" s="19">
        <v>0</v>
      </c>
      <c r="T2033" s="31">
        <v>0</v>
      </c>
      <c r="U2033" s="21">
        <v>1</v>
      </c>
      <c r="V2033" s="32">
        <v>2</v>
      </c>
      <c r="W2033" s="32">
        <v>0</v>
      </c>
      <c r="X2033" s="32">
        <v>0</v>
      </c>
      <c r="Y2033" s="19">
        <v>0</v>
      </c>
      <c r="Z2033" s="32">
        <v>0</v>
      </c>
      <c r="AA2033" s="32">
        <v>0</v>
      </c>
      <c r="AB2033" s="32">
        <v>0</v>
      </c>
      <c r="AC2033" s="32">
        <v>0</v>
      </c>
      <c r="AD2033" s="21">
        <v>0</v>
      </c>
      <c r="AE2033" s="32">
        <v>0</v>
      </c>
      <c r="AF2033" s="32">
        <v>20</v>
      </c>
      <c r="AG2033" s="32">
        <v>0</v>
      </c>
      <c r="AH2033" s="32">
        <v>0</v>
      </c>
      <c r="AI2033" s="19">
        <v>2</v>
      </c>
      <c r="AJ2033" s="19">
        <v>0</v>
      </c>
      <c r="AK2033" s="19">
        <v>0</v>
      </c>
      <c r="AL2033" s="19">
        <v>0</v>
      </c>
      <c r="AM2033" s="32">
        <v>0</v>
      </c>
      <c r="AN2033" s="32">
        <v>0</v>
      </c>
      <c r="AO2033" s="32">
        <v>0</v>
      </c>
      <c r="AP2033" s="32">
        <v>0</v>
      </c>
      <c r="AQ2033" s="32">
        <v>1000</v>
      </c>
      <c r="AR2033" s="32">
        <v>0</v>
      </c>
      <c r="AS2033" s="32">
        <v>0</v>
      </c>
      <c r="AT2033" s="19">
        <v>90401004</v>
      </c>
      <c r="AU2033" s="32" t="s">
        <v>204</v>
      </c>
      <c r="AV2033" s="32"/>
      <c r="AW2033" s="35" t="s">
        <v>205</v>
      </c>
      <c r="AX2033" s="32" t="s">
        <v>354</v>
      </c>
      <c r="AY2033" s="32">
        <v>0</v>
      </c>
      <c r="AZ2033" s="32">
        <v>40000003</v>
      </c>
      <c r="BA2033" s="35" t="s">
        <v>206</v>
      </c>
      <c r="BB2033" s="35" t="s">
        <v>204</v>
      </c>
      <c r="BC2033" s="31">
        <v>0</v>
      </c>
      <c r="BD2033" s="31">
        <v>0</v>
      </c>
      <c r="BE2033" s="60" t="s">
        <v>870</v>
      </c>
      <c r="BF2033" s="60" t="s">
        <v>871</v>
      </c>
      <c r="BG2033" s="32">
        <v>0</v>
      </c>
      <c r="BH2033" s="21">
        <v>0</v>
      </c>
      <c r="BI2033" s="32">
        <v>0</v>
      </c>
      <c r="BJ2033" s="32">
        <v>0</v>
      </c>
      <c r="BK2033" s="32">
        <v>0</v>
      </c>
      <c r="BL2033" s="32">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19.5" customHeight="1">
      <c r="C2034" s="32">
        <v>73002105</v>
      </c>
      <c r="D2034" s="30" t="s">
        <v>1130</v>
      </c>
      <c r="E2034" s="30" t="s">
        <v>1131</v>
      </c>
      <c r="F2034" s="32">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1</v>
      </c>
      <c r="Y2034" s="19">
        <v>0</v>
      </c>
      <c r="Z2034" s="21">
        <v>0</v>
      </c>
      <c r="AA2034" s="21">
        <v>1</v>
      </c>
      <c r="AB2034" s="21">
        <v>0</v>
      </c>
      <c r="AC2034" s="21">
        <v>0</v>
      </c>
      <c r="AD2034" s="21">
        <v>0</v>
      </c>
      <c r="AE2034" s="21">
        <v>0</v>
      </c>
      <c r="AF2034" s="21">
        <v>30</v>
      </c>
      <c r="AG2034" s="21">
        <v>1</v>
      </c>
      <c r="AH2034" s="21" t="s">
        <v>867</v>
      </c>
      <c r="AI2034" s="19">
        <v>0</v>
      </c>
      <c r="AJ2034" s="19">
        <v>0</v>
      </c>
      <c r="AK2034" s="19">
        <v>0</v>
      </c>
      <c r="AL2034" s="19">
        <v>0</v>
      </c>
      <c r="AM2034" s="21">
        <v>0</v>
      </c>
      <c r="AN2034" s="21">
        <v>0</v>
      </c>
      <c r="AO2034" s="21">
        <v>0</v>
      </c>
      <c r="AP2034" s="21">
        <v>0.5</v>
      </c>
      <c r="AQ2034" s="21">
        <v>999999</v>
      </c>
      <c r="AR2034" s="21">
        <v>0.5</v>
      </c>
      <c r="AS2034" s="21">
        <v>0</v>
      </c>
      <c r="AT2034" s="19">
        <v>0</v>
      </c>
      <c r="AU2034" s="329" t="s">
        <v>1025</v>
      </c>
      <c r="AV2034" s="19"/>
      <c r="AW2034" s="35" t="s">
        <v>293</v>
      </c>
      <c r="AX2034" s="21" t="s">
        <v>540</v>
      </c>
      <c r="AY2034" s="32">
        <v>10000007</v>
      </c>
      <c r="AZ2034" s="32">
        <v>70202004</v>
      </c>
      <c r="BA2034" s="35" t="s">
        <v>321</v>
      </c>
      <c r="BB2034" s="35" t="s">
        <v>377</v>
      </c>
      <c r="BC2034" s="31">
        <v>0</v>
      </c>
      <c r="BD2034" s="31">
        <v>0</v>
      </c>
      <c r="BE2034" s="33" t="s">
        <v>4580</v>
      </c>
      <c r="BF2034" s="33" t="s">
        <v>4581</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19.5" customHeight="1">
      <c r="C2035" s="32">
        <v>73002201</v>
      </c>
      <c r="D2035" s="30" t="s">
        <v>611</v>
      </c>
      <c r="E2035" s="30" t="s">
        <v>612</v>
      </c>
      <c r="F2035" s="32">
        <v>1</v>
      </c>
      <c r="G2035" s="21">
        <v>60010100</v>
      </c>
      <c r="H2035" s="32">
        <v>0</v>
      </c>
      <c r="I2035" s="31">
        <v>0</v>
      </c>
      <c r="J2035" s="32">
        <v>1</v>
      </c>
      <c r="K2035" s="32">
        <v>0</v>
      </c>
      <c r="L2035" s="32">
        <v>0</v>
      </c>
      <c r="M2035" s="21">
        <v>0</v>
      </c>
      <c r="N2035" s="21">
        <v>0</v>
      </c>
      <c r="O2035" s="21">
        <v>2</v>
      </c>
      <c r="P2035" s="21">
        <v>1</v>
      </c>
      <c r="Q2035" s="21">
        <v>0.3</v>
      </c>
      <c r="R2035" s="21">
        <v>0</v>
      </c>
      <c r="S2035" s="19">
        <v>0</v>
      </c>
      <c r="T2035" s="21">
        <v>0</v>
      </c>
      <c r="U2035" s="21">
        <v>1</v>
      </c>
      <c r="V2035" s="21">
        <v>2</v>
      </c>
      <c r="W2035" s="21">
        <v>0</v>
      </c>
      <c r="X2035" s="21">
        <v>3</v>
      </c>
      <c r="Y2035" s="19">
        <v>0</v>
      </c>
      <c r="Z2035" s="21">
        <v>0</v>
      </c>
      <c r="AA2035" s="21">
        <v>1</v>
      </c>
      <c r="AB2035" s="21">
        <v>0</v>
      </c>
      <c r="AC2035" s="21">
        <v>0</v>
      </c>
      <c r="AD2035" s="21">
        <v>0</v>
      </c>
      <c r="AE2035" s="21">
        <v>0</v>
      </c>
      <c r="AF2035" s="21">
        <v>12</v>
      </c>
      <c r="AG2035" s="21">
        <v>1</v>
      </c>
      <c r="AH2035" s="21" t="s">
        <v>613</v>
      </c>
      <c r="AI2035" s="19">
        <v>1</v>
      </c>
      <c r="AJ2035" s="19">
        <v>1</v>
      </c>
      <c r="AK2035" s="19">
        <v>0</v>
      </c>
      <c r="AL2035" s="19">
        <v>3</v>
      </c>
      <c r="AM2035" s="21">
        <v>0</v>
      </c>
      <c r="AN2035" s="21">
        <v>0</v>
      </c>
      <c r="AO2035" s="21">
        <v>0</v>
      </c>
      <c r="AP2035" s="21">
        <v>3</v>
      </c>
      <c r="AQ2035" s="21">
        <v>5000</v>
      </c>
      <c r="AR2035" s="21">
        <v>2.5</v>
      </c>
      <c r="AS2035" s="21">
        <v>0</v>
      </c>
      <c r="AT2035" s="19">
        <v>0</v>
      </c>
      <c r="AU2035" s="21" t="s">
        <v>204</v>
      </c>
      <c r="AV2035" s="21"/>
      <c r="AW2035" s="35" t="s">
        <v>293</v>
      </c>
      <c r="AX2035" s="21" t="s">
        <v>540</v>
      </c>
      <c r="AY2035" s="32">
        <v>10000007</v>
      </c>
      <c r="AZ2035" s="32">
        <v>70107001</v>
      </c>
      <c r="BA2035" s="30" t="s">
        <v>206</v>
      </c>
      <c r="BB2035" s="21">
        <v>0</v>
      </c>
      <c r="BC2035" s="31">
        <v>0</v>
      </c>
      <c r="BD2035" s="31">
        <v>0</v>
      </c>
      <c r="BE2035" s="33" t="s">
        <v>614</v>
      </c>
      <c r="BF2035" s="33" t="s">
        <v>615</v>
      </c>
      <c r="BG2035" s="21">
        <v>0</v>
      </c>
      <c r="BH2035" s="21">
        <v>0</v>
      </c>
      <c r="BI2035" s="21">
        <v>0</v>
      </c>
      <c r="BJ2035" s="21">
        <v>0</v>
      </c>
      <c r="BK2035" s="21">
        <v>0</v>
      </c>
      <c r="BL2035" s="21">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73002202</v>
      </c>
      <c r="D2036" s="30" t="s">
        <v>666</v>
      </c>
      <c r="E2036" s="30" t="s">
        <v>667</v>
      </c>
      <c r="F2036" s="32">
        <v>1</v>
      </c>
      <c r="G2036" s="21">
        <v>60010100</v>
      </c>
      <c r="H2036" s="32">
        <v>0</v>
      </c>
      <c r="I2036" s="31">
        <v>0</v>
      </c>
      <c r="J2036" s="32">
        <v>1</v>
      </c>
      <c r="K2036" s="32">
        <v>0</v>
      </c>
      <c r="L2036" s="32">
        <v>0</v>
      </c>
      <c r="M2036" s="21">
        <v>0</v>
      </c>
      <c r="N2036" s="21">
        <v>0</v>
      </c>
      <c r="O2036" s="21">
        <v>2</v>
      </c>
      <c r="P2036" s="21">
        <v>1</v>
      </c>
      <c r="Q2036" s="21">
        <v>0.3</v>
      </c>
      <c r="R2036" s="21">
        <v>0</v>
      </c>
      <c r="S2036" s="19">
        <v>0</v>
      </c>
      <c r="T2036" s="21">
        <v>0</v>
      </c>
      <c r="U2036" s="21">
        <v>1</v>
      </c>
      <c r="V2036" s="21">
        <v>2</v>
      </c>
      <c r="W2036" s="21">
        <v>0</v>
      </c>
      <c r="X2036" s="21">
        <v>3</v>
      </c>
      <c r="Y2036" s="19">
        <v>0</v>
      </c>
      <c r="Z2036" s="21">
        <v>0</v>
      </c>
      <c r="AA2036" s="21">
        <v>1</v>
      </c>
      <c r="AB2036" s="21">
        <v>0</v>
      </c>
      <c r="AC2036" s="21">
        <v>0</v>
      </c>
      <c r="AD2036" s="21">
        <v>0</v>
      </c>
      <c r="AE2036" s="21">
        <v>0</v>
      </c>
      <c r="AF2036" s="21">
        <v>12</v>
      </c>
      <c r="AG2036" s="21">
        <v>1</v>
      </c>
      <c r="AH2036" s="21">
        <v>3</v>
      </c>
      <c r="AI2036" s="19">
        <v>4</v>
      </c>
      <c r="AJ2036" s="19">
        <v>1</v>
      </c>
      <c r="AK2036" s="19">
        <v>0</v>
      </c>
      <c r="AL2036" s="19">
        <v>1.5</v>
      </c>
      <c r="AM2036" s="21">
        <v>0</v>
      </c>
      <c r="AN2036" s="21">
        <v>0</v>
      </c>
      <c r="AO2036" s="21">
        <v>0</v>
      </c>
      <c r="AP2036" s="21">
        <v>3</v>
      </c>
      <c r="AQ2036" s="21">
        <v>5000</v>
      </c>
      <c r="AR2036" s="21">
        <v>3</v>
      </c>
      <c r="AS2036" s="21">
        <v>0</v>
      </c>
      <c r="AT2036" s="19">
        <v>0</v>
      </c>
      <c r="AU2036" s="21" t="s">
        <v>204</v>
      </c>
      <c r="AV2036" s="21"/>
      <c r="AW2036" s="35" t="s">
        <v>205</v>
      </c>
      <c r="AX2036" s="21" t="s">
        <v>540</v>
      </c>
      <c r="AY2036" s="32">
        <v>10000007</v>
      </c>
      <c r="AZ2036" s="32">
        <v>70103003</v>
      </c>
      <c r="BA2036" s="30" t="s">
        <v>206</v>
      </c>
      <c r="BB2036" s="21" t="s">
        <v>4582</v>
      </c>
      <c r="BC2036" s="31">
        <v>0</v>
      </c>
      <c r="BD2036" s="31">
        <v>0</v>
      </c>
      <c r="BE2036" s="33" t="s">
        <v>669</v>
      </c>
      <c r="BF2036" s="33" t="s">
        <v>670</v>
      </c>
      <c r="BG2036" s="21">
        <v>0</v>
      </c>
      <c r="BH2036" s="21">
        <v>0</v>
      </c>
      <c r="BI2036" s="21">
        <v>0</v>
      </c>
      <c r="BJ2036" s="21">
        <v>0</v>
      </c>
      <c r="BK2036" s="21">
        <v>0</v>
      </c>
      <c r="BL2036" s="21">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73002203</v>
      </c>
      <c r="D2037" s="30" t="s">
        <v>671</v>
      </c>
      <c r="E2037" s="30" t="s">
        <v>612</v>
      </c>
      <c r="F2037" s="21">
        <v>1</v>
      </c>
      <c r="G2037" s="21">
        <v>60010100</v>
      </c>
      <c r="H2037" s="32">
        <v>0</v>
      </c>
      <c r="I2037" s="31">
        <v>0</v>
      </c>
      <c r="J2037" s="32">
        <v>1</v>
      </c>
      <c r="K2037" s="32">
        <v>0</v>
      </c>
      <c r="L2037" s="32">
        <v>0</v>
      </c>
      <c r="M2037" s="21">
        <v>0</v>
      </c>
      <c r="N2037" s="21">
        <v>0</v>
      </c>
      <c r="O2037" s="21">
        <v>2</v>
      </c>
      <c r="P2037" s="21">
        <v>1</v>
      </c>
      <c r="Q2037" s="21">
        <v>0.3</v>
      </c>
      <c r="R2037" s="21">
        <v>0</v>
      </c>
      <c r="S2037" s="19">
        <v>0</v>
      </c>
      <c r="T2037" s="21">
        <v>0</v>
      </c>
      <c r="U2037" s="21">
        <v>1</v>
      </c>
      <c r="V2037" s="21">
        <v>2</v>
      </c>
      <c r="W2037" s="21">
        <v>0</v>
      </c>
      <c r="X2037" s="21">
        <v>3</v>
      </c>
      <c r="Y2037" s="19">
        <v>0</v>
      </c>
      <c r="Z2037" s="21">
        <v>0</v>
      </c>
      <c r="AA2037" s="21">
        <v>0</v>
      </c>
      <c r="AB2037" s="21">
        <v>0</v>
      </c>
      <c r="AC2037" s="21">
        <v>0</v>
      </c>
      <c r="AD2037" s="21">
        <v>0</v>
      </c>
      <c r="AE2037" s="21">
        <v>0</v>
      </c>
      <c r="AF2037" s="21">
        <v>12</v>
      </c>
      <c r="AG2037" s="21">
        <v>1</v>
      </c>
      <c r="AH2037" s="21">
        <v>3</v>
      </c>
      <c r="AI2037" s="19">
        <v>6</v>
      </c>
      <c r="AJ2037" s="19">
        <v>1</v>
      </c>
      <c r="AK2037" s="19">
        <v>0</v>
      </c>
      <c r="AL2037" s="19">
        <v>1.5</v>
      </c>
      <c r="AM2037" s="21">
        <v>0</v>
      </c>
      <c r="AN2037" s="21">
        <v>0</v>
      </c>
      <c r="AO2037" s="21">
        <v>0</v>
      </c>
      <c r="AP2037" s="21">
        <v>3</v>
      </c>
      <c r="AQ2037" s="21">
        <v>5000</v>
      </c>
      <c r="AR2037" s="21">
        <v>3</v>
      </c>
      <c r="AS2037" s="21">
        <v>0</v>
      </c>
      <c r="AT2037" s="19">
        <v>0</v>
      </c>
      <c r="AU2037" s="21" t="s">
        <v>204</v>
      </c>
      <c r="AV2037" s="21"/>
      <c r="AW2037" s="35" t="s">
        <v>262</v>
      </c>
      <c r="AX2037" s="21" t="s">
        <v>540</v>
      </c>
      <c r="AY2037" s="32">
        <v>10000007</v>
      </c>
      <c r="AZ2037" s="32">
        <v>70103003</v>
      </c>
      <c r="BA2037" s="30" t="s">
        <v>206</v>
      </c>
      <c r="BB2037" s="21" t="s">
        <v>4583</v>
      </c>
      <c r="BC2037" s="31">
        <v>0</v>
      </c>
      <c r="BD2037" s="31">
        <v>0</v>
      </c>
      <c r="BE2037" s="33" t="s">
        <v>673</v>
      </c>
      <c r="BF2037" s="33" t="s">
        <v>674</v>
      </c>
      <c r="BG2037" s="21">
        <v>0</v>
      </c>
      <c r="BH2037" s="21">
        <v>0</v>
      </c>
      <c r="BI2037" s="21">
        <v>0</v>
      </c>
      <c r="BJ2037" s="21">
        <v>0</v>
      </c>
      <c r="BK2037" s="21">
        <v>0</v>
      </c>
      <c r="BL2037" s="21">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20.100000000000001" customHeight="1">
      <c r="C2038" s="32">
        <v>73002204</v>
      </c>
      <c r="D2038" s="35" t="s">
        <v>675</v>
      </c>
      <c r="E2038" s="35" t="s">
        <v>676</v>
      </c>
      <c r="F2038" s="32">
        <v>1</v>
      </c>
      <c r="G2038" s="32">
        <v>60010500</v>
      </c>
      <c r="H2038" s="32">
        <v>0</v>
      </c>
      <c r="I2038" s="31">
        <v>0</v>
      </c>
      <c r="J2038" s="32">
        <v>1</v>
      </c>
      <c r="K2038" s="32">
        <v>0</v>
      </c>
      <c r="L2038" s="32">
        <v>0</v>
      </c>
      <c r="M2038" s="32">
        <v>0</v>
      </c>
      <c r="N2038" s="32">
        <v>0</v>
      </c>
      <c r="O2038" s="21">
        <v>2</v>
      </c>
      <c r="P2038" s="32">
        <v>2</v>
      </c>
      <c r="Q2038" s="32">
        <v>0.6</v>
      </c>
      <c r="R2038" s="32">
        <v>0</v>
      </c>
      <c r="S2038" s="19">
        <v>0</v>
      </c>
      <c r="T2038" s="31">
        <v>0</v>
      </c>
      <c r="U2038" s="21">
        <v>1</v>
      </c>
      <c r="V2038" s="32">
        <v>2</v>
      </c>
      <c r="W2038" s="32">
        <v>0</v>
      </c>
      <c r="X2038" s="32">
        <v>0</v>
      </c>
      <c r="Y2038" s="19">
        <v>0</v>
      </c>
      <c r="Z2038" s="32">
        <v>0</v>
      </c>
      <c r="AA2038" s="32">
        <v>0</v>
      </c>
      <c r="AB2038" s="32">
        <v>0</v>
      </c>
      <c r="AC2038" s="32">
        <v>0</v>
      </c>
      <c r="AD2038" s="32">
        <v>0</v>
      </c>
      <c r="AE2038" s="32">
        <v>0</v>
      </c>
      <c r="AF2038" s="32">
        <v>20</v>
      </c>
      <c r="AG2038" s="32">
        <v>0</v>
      </c>
      <c r="AH2038" s="32">
        <v>0</v>
      </c>
      <c r="AI2038" s="19">
        <v>2</v>
      </c>
      <c r="AJ2038" s="19">
        <v>0</v>
      </c>
      <c r="AK2038" s="19">
        <v>0</v>
      </c>
      <c r="AL2038" s="19">
        <v>0</v>
      </c>
      <c r="AM2038" s="32">
        <v>0</v>
      </c>
      <c r="AN2038" s="32">
        <v>0</v>
      </c>
      <c r="AO2038" s="32">
        <v>0</v>
      </c>
      <c r="AP2038" s="32">
        <v>0</v>
      </c>
      <c r="AQ2038" s="32">
        <v>1000</v>
      </c>
      <c r="AR2038" s="32">
        <v>0</v>
      </c>
      <c r="AS2038" s="32">
        <v>0</v>
      </c>
      <c r="AT2038" s="19">
        <v>90102001</v>
      </c>
      <c r="AU2038" s="32" t="s">
        <v>204</v>
      </c>
      <c r="AV2038" s="32"/>
      <c r="AW2038" s="35" t="s">
        <v>205</v>
      </c>
      <c r="AX2038" s="32" t="s">
        <v>354</v>
      </c>
      <c r="AY2038" s="32">
        <v>0</v>
      </c>
      <c r="AZ2038" s="32">
        <v>40000003</v>
      </c>
      <c r="BA2038" s="35" t="s">
        <v>206</v>
      </c>
      <c r="BB2038" s="35" t="s">
        <v>204</v>
      </c>
      <c r="BC2038" s="31">
        <v>0</v>
      </c>
      <c r="BD2038" s="31">
        <v>0</v>
      </c>
      <c r="BE2038" s="60" t="s">
        <v>677</v>
      </c>
      <c r="BF2038" s="60" t="s">
        <v>678</v>
      </c>
      <c r="BG2038" s="32">
        <v>0</v>
      </c>
      <c r="BH2038" s="21">
        <v>0</v>
      </c>
      <c r="BI2038" s="32">
        <v>0</v>
      </c>
      <c r="BJ2038" s="32">
        <v>0</v>
      </c>
      <c r="BK2038" s="32">
        <v>0</v>
      </c>
      <c r="BL2038" s="32">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73002205</v>
      </c>
      <c r="D2039" s="35" t="s">
        <v>679</v>
      </c>
      <c r="E2039" s="35" t="s">
        <v>680</v>
      </c>
      <c r="F2039" s="32">
        <v>1</v>
      </c>
      <c r="G2039" s="32">
        <v>60010500</v>
      </c>
      <c r="H2039" s="32">
        <v>0</v>
      </c>
      <c r="I2039" s="31">
        <v>0</v>
      </c>
      <c r="J2039" s="32">
        <v>1</v>
      </c>
      <c r="K2039" s="32">
        <v>0</v>
      </c>
      <c r="L2039" s="32">
        <v>0</v>
      </c>
      <c r="M2039" s="32">
        <v>0</v>
      </c>
      <c r="N2039" s="32">
        <v>0</v>
      </c>
      <c r="O2039" s="21">
        <v>2</v>
      </c>
      <c r="P2039" s="32">
        <v>2</v>
      </c>
      <c r="Q2039" s="32">
        <v>0.6</v>
      </c>
      <c r="R2039" s="32">
        <v>0</v>
      </c>
      <c r="S2039" s="19">
        <v>0</v>
      </c>
      <c r="T2039" s="31">
        <v>0</v>
      </c>
      <c r="U2039" s="21">
        <v>1</v>
      </c>
      <c r="V2039" s="32">
        <v>2</v>
      </c>
      <c r="W2039" s="32">
        <v>0</v>
      </c>
      <c r="X2039" s="32">
        <v>0</v>
      </c>
      <c r="Y2039" s="19">
        <v>0</v>
      </c>
      <c r="Z2039" s="32">
        <v>0</v>
      </c>
      <c r="AA2039" s="32">
        <v>0</v>
      </c>
      <c r="AB2039" s="32">
        <v>0</v>
      </c>
      <c r="AC2039" s="32">
        <v>0</v>
      </c>
      <c r="AD2039" s="32">
        <v>0</v>
      </c>
      <c r="AE2039" s="32">
        <v>0</v>
      </c>
      <c r="AF2039" s="21">
        <v>99999</v>
      </c>
      <c r="AG2039" s="32">
        <v>0</v>
      </c>
      <c r="AH2039" s="32">
        <v>0</v>
      </c>
      <c r="AI2039" s="19">
        <v>2</v>
      </c>
      <c r="AJ2039" s="19">
        <v>0</v>
      </c>
      <c r="AK2039" s="19">
        <v>0</v>
      </c>
      <c r="AL2039" s="19">
        <v>0</v>
      </c>
      <c r="AM2039" s="32">
        <v>0</v>
      </c>
      <c r="AN2039" s="32">
        <v>0</v>
      </c>
      <c r="AO2039" s="32">
        <v>0</v>
      </c>
      <c r="AP2039" s="32">
        <v>0</v>
      </c>
      <c r="AQ2039" s="32">
        <v>1000</v>
      </c>
      <c r="AR2039" s="32">
        <v>0</v>
      </c>
      <c r="AS2039" s="32">
        <v>0</v>
      </c>
      <c r="AT2039" s="19">
        <v>90104002</v>
      </c>
      <c r="AU2039" s="32" t="s">
        <v>204</v>
      </c>
      <c r="AV2039" s="32"/>
      <c r="AW2039" s="35" t="s">
        <v>205</v>
      </c>
      <c r="AX2039" s="32" t="s">
        <v>354</v>
      </c>
      <c r="AY2039" s="32">
        <v>0</v>
      </c>
      <c r="AZ2039" s="32">
        <v>0</v>
      </c>
      <c r="BA2039" s="35" t="s">
        <v>206</v>
      </c>
      <c r="BB2039" s="35" t="s">
        <v>204</v>
      </c>
      <c r="BC2039" s="31">
        <v>0</v>
      </c>
      <c r="BD2039" s="31">
        <v>0</v>
      </c>
      <c r="BE2039" s="60" t="s">
        <v>681</v>
      </c>
      <c r="BF2039" s="60" t="s">
        <v>682</v>
      </c>
      <c r="BG2039" s="32">
        <v>0</v>
      </c>
      <c r="BH2039" s="21">
        <v>0</v>
      </c>
      <c r="BI2039" s="32">
        <v>0</v>
      </c>
      <c r="BJ2039" s="32">
        <v>0</v>
      </c>
      <c r="BK2039" s="32">
        <v>0</v>
      </c>
      <c r="BL2039" s="32">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20.100000000000001" customHeight="1">
      <c r="C2040" s="32">
        <v>73002301</v>
      </c>
      <c r="D2040" s="30" t="s">
        <v>999</v>
      </c>
      <c r="E2040" s="30" t="s">
        <v>1000</v>
      </c>
      <c r="F2040" s="32">
        <v>1</v>
      </c>
      <c r="G2040" s="21">
        <v>60010100</v>
      </c>
      <c r="H2040" s="32">
        <v>0</v>
      </c>
      <c r="I2040" s="31">
        <v>0</v>
      </c>
      <c r="J2040" s="32">
        <v>1</v>
      </c>
      <c r="K2040" s="32">
        <v>0</v>
      </c>
      <c r="L2040" s="32">
        <v>0</v>
      </c>
      <c r="M2040" s="21">
        <v>0</v>
      </c>
      <c r="N2040" s="21">
        <v>0</v>
      </c>
      <c r="O2040" s="21">
        <v>2</v>
      </c>
      <c r="P2040" s="21">
        <v>1</v>
      </c>
      <c r="Q2040" s="21">
        <v>0.3</v>
      </c>
      <c r="R2040" s="21">
        <v>0</v>
      </c>
      <c r="S2040" s="19">
        <v>0</v>
      </c>
      <c r="T2040" s="21">
        <v>0</v>
      </c>
      <c r="U2040" s="21">
        <v>1</v>
      </c>
      <c r="V2040" s="21">
        <v>2</v>
      </c>
      <c r="W2040" s="21">
        <v>0</v>
      </c>
      <c r="X2040" s="21">
        <v>3</v>
      </c>
      <c r="Y2040" s="19">
        <v>0</v>
      </c>
      <c r="Z2040" s="21">
        <v>0</v>
      </c>
      <c r="AA2040" s="21">
        <v>1</v>
      </c>
      <c r="AB2040" s="21">
        <v>0</v>
      </c>
      <c r="AC2040" s="21">
        <v>0</v>
      </c>
      <c r="AD2040" s="21">
        <v>0</v>
      </c>
      <c r="AE2040" s="21">
        <v>0</v>
      </c>
      <c r="AF2040" s="21">
        <v>15</v>
      </c>
      <c r="AG2040" s="21">
        <v>1</v>
      </c>
      <c r="AH2040" s="21">
        <v>3</v>
      </c>
      <c r="AI2040" s="19">
        <v>4</v>
      </c>
      <c r="AJ2040" s="19">
        <v>1</v>
      </c>
      <c r="AK2040" s="19">
        <v>0</v>
      </c>
      <c r="AL2040" s="19">
        <v>1.5</v>
      </c>
      <c r="AM2040" s="21">
        <v>0</v>
      </c>
      <c r="AN2040" s="21">
        <v>0</v>
      </c>
      <c r="AO2040" s="21">
        <v>0</v>
      </c>
      <c r="AP2040" s="21">
        <v>3</v>
      </c>
      <c r="AQ2040" s="21">
        <v>999999</v>
      </c>
      <c r="AR2040" s="21">
        <v>3</v>
      </c>
      <c r="AS2040" s="21">
        <v>0</v>
      </c>
      <c r="AT2040" s="19">
        <v>0</v>
      </c>
      <c r="AU2040" s="21" t="s">
        <v>204</v>
      </c>
      <c r="AV2040" s="21"/>
      <c r="AW2040" s="35" t="s">
        <v>293</v>
      </c>
      <c r="AX2040" s="21" t="s">
        <v>540</v>
      </c>
      <c r="AY2040" s="32">
        <v>10000007</v>
      </c>
      <c r="AZ2040" s="32">
        <v>70205001</v>
      </c>
      <c r="BA2040" s="30" t="s">
        <v>206</v>
      </c>
      <c r="BB2040" s="21" t="s">
        <v>4584</v>
      </c>
      <c r="BC2040" s="31">
        <v>0</v>
      </c>
      <c r="BD2040" s="31">
        <v>0</v>
      </c>
      <c r="BE2040" s="33" t="s">
        <v>1002</v>
      </c>
      <c r="BF2040" s="33" t="s">
        <v>1003</v>
      </c>
      <c r="BG2040" s="21">
        <v>0</v>
      </c>
      <c r="BH2040" s="21">
        <v>0</v>
      </c>
      <c r="BI2040" s="21">
        <v>0</v>
      </c>
      <c r="BJ2040" s="21">
        <v>0</v>
      </c>
      <c r="BK2040" s="21">
        <v>0</v>
      </c>
      <c r="BL2040" s="21">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19.5" customHeight="1">
      <c r="C2041" s="32">
        <v>73002302</v>
      </c>
      <c r="D2041" s="30" t="s">
        <v>1097</v>
      </c>
      <c r="E2041" s="30" t="s">
        <v>1098</v>
      </c>
      <c r="F2041" s="32">
        <v>1</v>
      </c>
      <c r="G2041" s="21">
        <v>60010100</v>
      </c>
      <c r="H2041" s="32">
        <v>0</v>
      </c>
      <c r="I2041" s="31">
        <v>0</v>
      </c>
      <c r="J2041" s="32">
        <v>1</v>
      </c>
      <c r="K2041" s="32">
        <v>0</v>
      </c>
      <c r="L2041" s="32">
        <v>0</v>
      </c>
      <c r="M2041" s="21">
        <v>0</v>
      </c>
      <c r="N2041" s="21">
        <v>0</v>
      </c>
      <c r="O2041" s="21">
        <v>2</v>
      </c>
      <c r="P2041" s="21">
        <v>1</v>
      </c>
      <c r="Q2041" s="21">
        <v>0.3</v>
      </c>
      <c r="R2041" s="21">
        <v>0</v>
      </c>
      <c r="S2041" s="19">
        <v>1</v>
      </c>
      <c r="T2041" s="21">
        <v>0</v>
      </c>
      <c r="U2041" s="21">
        <v>1</v>
      </c>
      <c r="V2041" s="21">
        <v>2</v>
      </c>
      <c r="W2041" s="21">
        <v>0</v>
      </c>
      <c r="X2041" s="21">
        <v>3</v>
      </c>
      <c r="Y2041" s="19">
        <v>0</v>
      </c>
      <c r="Z2041" s="21">
        <v>0</v>
      </c>
      <c r="AA2041" s="21">
        <v>1</v>
      </c>
      <c r="AB2041" s="21">
        <v>0</v>
      </c>
      <c r="AC2041" s="21">
        <v>0</v>
      </c>
      <c r="AD2041" s="21">
        <v>0</v>
      </c>
      <c r="AE2041" s="21">
        <v>0</v>
      </c>
      <c r="AF2041" s="21">
        <v>15</v>
      </c>
      <c r="AG2041" s="21">
        <v>1</v>
      </c>
      <c r="AH2041" s="21" t="s">
        <v>613</v>
      </c>
      <c r="AI2041" s="19">
        <v>0</v>
      </c>
      <c r="AJ2041" s="19">
        <v>1</v>
      </c>
      <c r="AK2041" s="19">
        <v>0</v>
      </c>
      <c r="AL2041" s="19">
        <v>3</v>
      </c>
      <c r="AM2041" s="21">
        <v>0</v>
      </c>
      <c r="AN2041" s="21">
        <v>0</v>
      </c>
      <c r="AO2041" s="21">
        <v>0</v>
      </c>
      <c r="AP2041" s="21">
        <v>3</v>
      </c>
      <c r="AQ2041" s="21">
        <v>5000</v>
      </c>
      <c r="AR2041" s="21">
        <v>2.5</v>
      </c>
      <c r="AS2041" s="21">
        <v>0</v>
      </c>
      <c r="AT2041" s="19">
        <v>0</v>
      </c>
      <c r="AU2041" s="21" t="s">
        <v>665</v>
      </c>
      <c r="AV2041" s="21"/>
      <c r="AW2041" s="35" t="s">
        <v>262</v>
      </c>
      <c r="AX2041" s="21" t="s">
        <v>540</v>
      </c>
      <c r="AY2041" s="32">
        <v>10000007</v>
      </c>
      <c r="AZ2041" s="32">
        <v>70403003</v>
      </c>
      <c r="BA2041" s="30" t="s">
        <v>206</v>
      </c>
      <c r="BB2041" s="21">
        <v>0</v>
      </c>
      <c r="BC2041" s="31">
        <v>0</v>
      </c>
      <c r="BD2041" s="31">
        <v>0</v>
      </c>
      <c r="BE2041" s="33" t="s">
        <v>4500</v>
      </c>
      <c r="BF2041" s="33" t="s">
        <v>4501</v>
      </c>
      <c r="BG2041" s="21">
        <v>0</v>
      </c>
      <c r="BH2041" s="21">
        <v>0</v>
      </c>
      <c r="BI2041" s="21">
        <v>0</v>
      </c>
      <c r="BJ2041" s="21">
        <v>0</v>
      </c>
      <c r="BK2041" s="21">
        <v>0</v>
      </c>
      <c r="BL2041" s="21">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20.100000000000001" customHeight="1">
      <c r="C2042" s="32">
        <v>73002303</v>
      </c>
      <c r="D2042" s="30" t="s">
        <v>1330</v>
      </c>
      <c r="E2042" s="30" t="s">
        <v>1331</v>
      </c>
      <c r="F2042" s="32">
        <v>1</v>
      </c>
      <c r="G2042" s="21">
        <v>60010100</v>
      </c>
      <c r="H2042" s="32">
        <v>0</v>
      </c>
      <c r="I2042" s="31">
        <v>0</v>
      </c>
      <c r="J2042" s="32">
        <v>1</v>
      </c>
      <c r="K2042" s="32">
        <v>0</v>
      </c>
      <c r="L2042" s="32">
        <v>0</v>
      </c>
      <c r="M2042" s="21">
        <v>0</v>
      </c>
      <c r="N2042" s="21">
        <v>0</v>
      </c>
      <c r="O2042" s="21">
        <v>2</v>
      </c>
      <c r="P2042" s="21">
        <v>1</v>
      </c>
      <c r="Q2042" s="21">
        <v>1</v>
      </c>
      <c r="R2042" s="21">
        <v>0</v>
      </c>
      <c r="S2042" s="19">
        <v>0</v>
      </c>
      <c r="T2042" s="21">
        <v>0</v>
      </c>
      <c r="U2042" s="21">
        <v>1</v>
      </c>
      <c r="V2042" s="21">
        <v>2</v>
      </c>
      <c r="W2042" s="21">
        <v>0</v>
      </c>
      <c r="X2042" s="21">
        <v>2</v>
      </c>
      <c r="Y2042" s="19">
        <v>0</v>
      </c>
      <c r="Z2042" s="21">
        <v>0</v>
      </c>
      <c r="AA2042" s="21">
        <v>1</v>
      </c>
      <c r="AB2042" s="21">
        <v>0</v>
      </c>
      <c r="AC2042" s="21">
        <v>0</v>
      </c>
      <c r="AD2042" s="21">
        <v>0</v>
      </c>
      <c r="AE2042" s="21">
        <v>0</v>
      </c>
      <c r="AF2042" s="21">
        <v>10</v>
      </c>
      <c r="AG2042" s="21">
        <v>2</v>
      </c>
      <c r="AH2042" s="21" t="s">
        <v>219</v>
      </c>
      <c r="AI2042" s="19">
        <v>0</v>
      </c>
      <c r="AJ2042" s="19">
        <v>2</v>
      </c>
      <c r="AK2042" s="19">
        <v>0</v>
      </c>
      <c r="AL2042" s="19">
        <v>1.5</v>
      </c>
      <c r="AM2042" s="21">
        <v>0</v>
      </c>
      <c r="AN2042" s="21">
        <v>0</v>
      </c>
      <c r="AO2042" s="21">
        <v>0</v>
      </c>
      <c r="AP2042" s="21">
        <v>1.5</v>
      </c>
      <c r="AQ2042" s="21">
        <v>10000</v>
      </c>
      <c r="AR2042" s="21">
        <v>1</v>
      </c>
      <c r="AS2042" s="21">
        <v>5</v>
      </c>
      <c r="AT2042" s="19">
        <v>0</v>
      </c>
      <c r="AU2042" s="21" t="s">
        <v>204</v>
      </c>
      <c r="AV2042" s="21"/>
      <c r="AW2042" s="35" t="s">
        <v>623</v>
      </c>
      <c r="AX2042" s="21" t="s">
        <v>540</v>
      </c>
      <c r="AY2042" s="32">
        <v>10000007</v>
      </c>
      <c r="AZ2042" s="32">
        <v>70302003</v>
      </c>
      <c r="BA2042" s="35" t="s">
        <v>592</v>
      </c>
      <c r="BB2042" s="31" t="s">
        <v>4585</v>
      </c>
      <c r="BC2042" s="31">
        <v>0</v>
      </c>
      <c r="BD2042" s="31">
        <v>0</v>
      </c>
      <c r="BE2042" s="33" t="s">
        <v>1114</v>
      </c>
      <c r="BF2042" s="33" t="s">
        <v>1115</v>
      </c>
      <c r="BG2042" s="21">
        <v>1</v>
      </c>
      <c r="BH2042" s="21">
        <v>0</v>
      </c>
      <c r="BI2042" s="21">
        <v>0</v>
      </c>
      <c r="BJ2042" s="21">
        <v>0</v>
      </c>
      <c r="BK2042" s="21">
        <v>0</v>
      </c>
      <c r="BL2042" s="21">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20.100000000000001" customHeight="1">
      <c r="C2043" s="32">
        <v>73002304</v>
      </c>
      <c r="D2043" s="35" t="s">
        <v>544</v>
      </c>
      <c r="E2043" s="35" t="s">
        <v>545</v>
      </c>
      <c r="F2043" s="32">
        <v>1</v>
      </c>
      <c r="G2043" s="32">
        <v>60010500</v>
      </c>
      <c r="H2043" s="32">
        <v>0</v>
      </c>
      <c r="I2043" s="31">
        <v>0</v>
      </c>
      <c r="J2043" s="32">
        <v>1</v>
      </c>
      <c r="K2043" s="32">
        <v>0</v>
      </c>
      <c r="L2043" s="32">
        <v>0</v>
      </c>
      <c r="M2043" s="32">
        <v>0</v>
      </c>
      <c r="N2043" s="32">
        <v>0</v>
      </c>
      <c r="O2043" s="21">
        <v>2</v>
      </c>
      <c r="P2043" s="32">
        <v>2</v>
      </c>
      <c r="Q2043" s="32">
        <v>0.8</v>
      </c>
      <c r="R2043" s="32">
        <v>0</v>
      </c>
      <c r="S2043" s="19">
        <v>0</v>
      </c>
      <c r="T2043" s="31">
        <v>0</v>
      </c>
      <c r="U2043" s="21">
        <v>1</v>
      </c>
      <c r="V2043" s="32">
        <v>2</v>
      </c>
      <c r="W2043" s="32">
        <v>0</v>
      </c>
      <c r="X2043" s="32">
        <v>0</v>
      </c>
      <c r="Y2043" s="19">
        <v>0</v>
      </c>
      <c r="Z2043" s="32">
        <v>0</v>
      </c>
      <c r="AA2043" s="32">
        <v>0</v>
      </c>
      <c r="AB2043" s="32">
        <v>0</v>
      </c>
      <c r="AC2043" s="32">
        <v>0</v>
      </c>
      <c r="AD2043" s="21">
        <v>0</v>
      </c>
      <c r="AE2043" s="32">
        <v>0</v>
      </c>
      <c r="AF2043" s="32">
        <v>20</v>
      </c>
      <c r="AG2043" s="32">
        <v>0</v>
      </c>
      <c r="AH2043" s="32">
        <v>0</v>
      </c>
      <c r="AI2043" s="19">
        <v>2</v>
      </c>
      <c r="AJ2043" s="19">
        <v>0</v>
      </c>
      <c r="AK2043" s="19">
        <v>0</v>
      </c>
      <c r="AL2043" s="19">
        <v>0</v>
      </c>
      <c r="AM2043" s="32">
        <v>0</v>
      </c>
      <c r="AN2043" s="32">
        <v>0</v>
      </c>
      <c r="AO2043" s="32">
        <v>0</v>
      </c>
      <c r="AP2043" s="32">
        <v>0</v>
      </c>
      <c r="AQ2043" s="32">
        <v>1000</v>
      </c>
      <c r="AR2043" s="32">
        <v>0</v>
      </c>
      <c r="AS2043" s="32">
        <v>0</v>
      </c>
      <c r="AT2043" s="19">
        <v>90401004</v>
      </c>
      <c r="AU2043" s="32" t="s">
        <v>204</v>
      </c>
      <c r="AV2043" s="32"/>
      <c r="AW2043" s="35" t="s">
        <v>205</v>
      </c>
      <c r="AX2043" s="32" t="s">
        <v>354</v>
      </c>
      <c r="AY2043" s="32">
        <v>0</v>
      </c>
      <c r="AZ2043" s="32">
        <v>40000003</v>
      </c>
      <c r="BA2043" s="35" t="s">
        <v>206</v>
      </c>
      <c r="BB2043" s="35" t="s">
        <v>204</v>
      </c>
      <c r="BC2043" s="31">
        <v>0</v>
      </c>
      <c r="BD2043" s="31">
        <v>0</v>
      </c>
      <c r="BE2043" s="60" t="s">
        <v>870</v>
      </c>
      <c r="BF2043" s="60" t="s">
        <v>871</v>
      </c>
      <c r="BG2043" s="32">
        <v>0</v>
      </c>
      <c r="BH2043" s="21">
        <v>0</v>
      </c>
      <c r="BI2043" s="32">
        <v>0</v>
      </c>
      <c r="BJ2043" s="32">
        <v>0</v>
      </c>
      <c r="BK2043" s="32">
        <v>0</v>
      </c>
      <c r="BL2043" s="32">
        <v>0</v>
      </c>
      <c r="BM2043" s="25">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73002305</v>
      </c>
      <c r="D2044" s="35" t="s">
        <v>763</v>
      </c>
      <c r="E2044" s="35" t="s">
        <v>405</v>
      </c>
      <c r="F2044" s="32">
        <v>1</v>
      </c>
      <c r="G2044" s="32">
        <v>60010500</v>
      </c>
      <c r="H2044" s="32">
        <v>0</v>
      </c>
      <c r="I2044" s="31">
        <v>0</v>
      </c>
      <c r="J2044" s="32">
        <v>1</v>
      </c>
      <c r="K2044" s="32">
        <v>0</v>
      </c>
      <c r="L2044" s="32">
        <v>0</v>
      </c>
      <c r="M2044" s="32">
        <v>0</v>
      </c>
      <c r="N2044" s="32">
        <v>0</v>
      </c>
      <c r="O2044" s="21">
        <v>2</v>
      </c>
      <c r="P2044" s="32">
        <v>2</v>
      </c>
      <c r="Q2044" s="32">
        <v>0.5</v>
      </c>
      <c r="R2044" s="32">
        <v>0</v>
      </c>
      <c r="S2044" s="19">
        <v>0</v>
      </c>
      <c r="T2044" s="31">
        <v>0</v>
      </c>
      <c r="U2044" s="21">
        <v>1</v>
      </c>
      <c r="V2044" s="32">
        <v>2</v>
      </c>
      <c r="W2044" s="32">
        <v>0</v>
      </c>
      <c r="X2044" s="32">
        <v>0</v>
      </c>
      <c r="Y2044" s="19">
        <v>0</v>
      </c>
      <c r="Z2044" s="32">
        <v>0</v>
      </c>
      <c r="AA2044" s="32">
        <v>0</v>
      </c>
      <c r="AB2044" s="32">
        <v>0</v>
      </c>
      <c r="AC2044" s="32">
        <v>0</v>
      </c>
      <c r="AD2044" s="21">
        <v>0</v>
      </c>
      <c r="AE2044" s="32">
        <v>0</v>
      </c>
      <c r="AF2044" s="21">
        <v>15</v>
      </c>
      <c r="AG2044" s="32">
        <v>0</v>
      </c>
      <c r="AH2044" s="32">
        <v>0</v>
      </c>
      <c r="AI2044" s="19">
        <v>2</v>
      </c>
      <c r="AJ2044" s="19">
        <v>0</v>
      </c>
      <c r="AK2044" s="19">
        <v>0</v>
      </c>
      <c r="AL2044" s="19">
        <v>0</v>
      </c>
      <c r="AM2044" s="32">
        <v>0</v>
      </c>
      <c r="AN2044" s="32">
        <v>0</v>
      </c>
      <c r="AO2044" s="32">
        <v>0</v>
      </c>
      <c r="AP2044" s="32">
        <v>0</v>
      </c>
      <c r="AQ2044" s="32">
        <v>1000</v>
      </c>
      <c r="AR2044" s="32">
        <v>0</v>
      </c>
      <c r="AS2044" s="32">
        <v>0</v>
      </c>
      <c r="AT2044" s="19" t="s">
        <v>760</v>
      </c>
      <c r="AU2044" s="32" t="s">
        <v>204</v>
      </c>
      <c r="AV2044" s="32"/>
      <c r="AW2044" s="35" t="s">
        <v>205</v>
      </c>
      <c r="AX2044" s="32" t="s">
        <v>354</v>
      </c>
      <c r="AY2044" s="32">
        <v>0</v>
      </c>
      <c r="AZ2044" s="32">
        <v>0</v>
      </c>
      <c r="BA2044" s="35" t="s">
        <v>206</v>
      </c>
      <c r="BB2044" s="35" t="s">
        <v>204</v>
      </c>
      <c r="BC2044" s="31">
        <v>0</v>
      </c>
      <c r="BD2044" s="31">
        <v>0</v>
      </c>
      <c r="BE2044" s="60" t="s">
        <v>1124</v>
      </c>
      <c r="BF2044" s="60" t="s">
        <v>1125</v>
      </c>
      <c r="BG2044" s="32">
        <v>0</v>
      </c>
      <c r="BH2044" s="21">
        <v>0</v>
      </c>
      <c r="BI2044" s="32">
        <v>0</v>
      </c>
      <c r="BJ2044" s="32">
        <v>0</v>
      </c>
      <c r="BK2044" s="32">
        <v>0</v>
      </c>
      <c r="BL2044" s="32">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19.5" customHeight="1">
      <c r="C2045" s="32">
        <v>73002307</v>
      </c>
      <c r="D2045" s="30" t="s">
        <v>4586</v>
      </c>
      <c r="E2045" s="30" t="s">
        <v>4587</v>
      </c>
      <c r="F2045" s="32">
        <v>1</v>
      </c>
      <c r="G2045" s="21">
        <v>60010100</v>
      </c>
      <c r="H2045" s="32">
        <v>0</v>
      </c>
      <c r="I2045" s="31">
        <v>0</v>
      </c>
      <c r="J2045" s="32">
        <v>1</v>
      </c>
      <c r="K2045" s="32">
        <v>0</v>
      </c>
      <c r="L2045" s="32">
        <v>0</v>
      </c>
      <c r="M2045" s="21">
        <v>0</v>
      </c>
      <c r="N2045" s="21">
        <v>0</v>
      </c>
      <c r="O2045" s="21">
        <v>2</v>
      </c>
      <c r="P2045" s="21">
        <v>1</v>
      </c>
      <c r="Q2045" s="21">
        <v>0.3</v>
      </c>
      <c r="R2045" s="21">
        <v>0</v>
      </c>
      <c r="S2045" s="19">
        <v>0</v>
      </c>
      <c r="T2045" s="21">
        <v>0</v>
      </c>
      <c r="U2045" s="21">
        <v>1</v>
      </c>
      <c r="V2045" s="21">
        <v>2</v>
      </c>
      <c r="W2045" s="21">
        <v>0</v>
      </c>
      <c r="X2045" s="21">
        <v>2</v>
      </c>
      <c r="Y2045" s="19">
        <v>0</v>
      </c>
      <c r="Z2045" s="21">
        <v>0</v>
      </c>
      <c r="AA2045" s="21">
        <v>1</v>
      </c>
      <c r="AB2045" s="21">
        <v>0</v>
      </c>
      <c r="AC2045" s="21">
        <v>0</v>
      </c>
      <c r="AD2045" s="21">
        <v>0</v>
      </c>
      <c r="AE2045" s="21">
        <v>0</v>
      </c>
      <c r="AF2045" s="21">
        <v>15</v>
      </c>
      <c r="AG2045" s="21">
        <v>1</v>
      </c>
      <c r="AH2045" s="21" t="s">
        <v>867</v>
      </c>
      <c r="AI2045" s="19">
        <v>0</v>
      </c>
      <c r="AJ2045" s="19">
        <v>0</v>
      </c>
      <c r="AK2045" s="19">
        <v>0</v>
      </c>
      <c r="AL2045" s="19">
        <v>0</v>
      </c>
      <c r="AM2045" s="21">
        <v>0</v>
      </c>
      <c r="AN2045" s="21">
        <v>0</v>
      </c>
      <c r="AO2045" s="21">
        <v>0</v>
      </c>
      <c r="AP2045" s="21">
        <v>0.5</v>
      </c>
      <c r="AQ2045" s="21">
        <v>999999</v>
      </c>
      <c r="AR2045" s="21">
        <v>0.5</v>
      </c>
      <c r="AS2045" s="21">
        <v>0</v>
      </c>
      <c r="AT2045" s="19">
        <v>0</v>
      </c>
      <c r="AU2045" s="19">
        <v>90205007</v>
      </c>
      <c r="AV2045" s="19"/>
      <c r="AW2045" s="35" t="s">
        <v>623</v>
      </c>
      <c r="AX2045" s="21" t="s">
        <v>540</v>
      </c>
      <c r="AY2045" s="32">
        <v>10000007</v>
      </c>
      <c r="AZ2045" s="32">
        <v>70205001</v>
      </c>
      <c r="BA2045" s="35" t="s">
        <v>321</v>
      </c>
      <c r="BB2045" s="35" t="s">
        <v>377</v>
      </c>
      <c r="BC2045" s="31">
        <v>0</v>
      </c>
      <c r="BD2045" s="31">
        <v>0</v>
      </c>
      <c r="BE2045" s="33"/>
      <c r="BF2045" s="33"/>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c r="BZ2045" s="23"/>
    </row>
    <row r="2046" spans="3:78" ht="20.100000000000001" customHeight="1">
      <c r="C2046" s="74">
        <v>73003101</v>
      </c>
      <c r="D2046" s="71" t="s">
        <v>766</v>
      </c>
      <c r="E2046" s="71" t="s">
        <v>767</v>
      </c>
      <c r="F2046" s="72">
        <v>2</v>
      </c>
      <c r="G2046" s="72">
        <v>61012301</v>
      </c>
      <c r="H2046" s="72">
        <v>0</v>
      </c>
      <c r="I2046" s="75">
        <v>0</v>
      </c>
      <c r="J2046" s="74">
        <v>1</v>
      </c>
      <c r="K2046" s="74">
        <v>0</v>
      </c>
      <c r="L2046" s="74">
        <v>0</v>
      </c>
      <c r="M2046" s="72">
        <v>0</v>
      </c>
      <c r="N2046" s="72">
        <v>0</v>
      </c>
      <c r="O2046" s="21">
        <v>2</v>
      </c>
      <c r="P2046" s="72">
        <v>1</v>
      </c>
      <c r="Q2046" s="72">
        <v>0.5</v>
      </c>
      <c r="R2046" s="72">
        <v>0</v>
      </c>
      <c r="S2046" s="73">
        <v>1</v>
      </c>
      <c r="T2046" s="72">
        <v>0</v>
      </c>
      <c r="U2046" s="72">
        <v>1</v>
      </c>
      <c r="V2046" s="72">
        <v>2</v>
      </c>
      <c r="W2046" s="72">
        <v>0</v>
      </c>
      <c r="X2046" s="72">
        <v>1.4</v>
      </c>
      <c r="Y2046" s="19">
        <v>0</v>
      </c>
      <c r="Z2046" s="72">
        <v>150</v>
      </c>
      <c r="AA2046" s="72">
        <v>1</v>
      </c>
      <c r="AB2046" s="72">
        <v>0</v>
      </c>
      <c r="AC2046" s="72">
        <v>0</v>
      </c>
      <c r="AD2046" s="72">
        <v>0</v>
      </c>
      <c r="AE2046" s="72">
        <v>0</v>
      </c>
      <c r="AF2046" s="72">
        <v>12</v>
      </c>
      <c r="AG2046" s="72">
        <v>2</v>
      </c>
      <c r="AH2046" s="72" t="s">
        <v>219</v>
      </c>
      <c r="AI2046" s="73">
        <v>7</v>
      </c>
      <c r="AJ2046" s="73">
        <v>2</v>
      </c>
      <c r="AK2046" s="19">
        <v>0</v>
      </c>
      <c r="AL2046" s="73">
        <v>1.5</v>
      </c>
      <c r="AM2046" s="72">
        <v>0</v>
      </c>
      <c r="AN2046" s="72">
        <v>0</v>
      </c>
      <c r="AO2046" s="72">
        <v>0</v>
      </c>
      <c r="AP2046" s="72">
        <v>1.5</v>
      </c>
      <c r="AQ2046" s="72">
        <v>1200</v>
      </c>
      <c r="AR2046" s="72">
        <v>1</v>
      </c>
      <c r="AS2046" s="72">
        <v>15</v>
      </c>
      <c r="AT2046" s="73">
        <v>0</v>
      </c>
      <c r="AU2046" s="72" t="s">
        <v>204</v>
      </c>
      <c r="AV2046" s="72"/>
      <c r="AW2046" s="71" t="s">
        <v>262</v>
      </c>
      <c r="AX2046" s="72" t="s">
        <v>221</v>
      </c>
      <c r="AY2046" s="74">
        <v>10000011</v>
      </c>
      <c r="AZ2046" s="74">
        <v>70404001</v>
      </c>
      <c r="BA2046" s="71" t="s">
        <v>222</v>
      </c>
      <c r="BB2046" s="72">
        <v>0</v>
      </c>
      <c r="BC2046" s="75">
        <v>0</v>
      </c>
      <c r="BD2046" s="75">
        <v>0</v>
      </c>
      <c r="BE2046" s="76" t="s">
        <v>804</v>
      </c>
      <c r="BF2046" s="76" t="s">
        <v>805</v>
      </c>
      <c r="BG2046" s="72">
        <v>0</v>
      </c>
      <c r="BH2046" s="72">
        <v>0</v>
      </c>
      <c r="BI2046" s="72">
        <v>0</v>
      </c>
      <c r="BJ2046" s="72">
        <v>0</v>
      </c>
      <c r="BK2046" s="72">
        <v>0</v>
      </c>
      <c r="BL2046" s="72">
        <v>0</v>
      </c>
      <c r="BM2046" s="90">
        <v>0</v>
      </c>
      <c r="BN2046" s="19">
        <v>0</v>
      </c>
      <c r="BO2046" s="19">
        <v>0</v>
      </c>
      <c r="BP2046" s="19">
        <v>0</v>
      </c>
      <c r="BQ2046" s="19">
        <v>0</v>
      </c>
      <c r="BR2046" s="19">
        <v>0</v>
      </c>
      <c r="BS2046" s="19">
        <v>0</v>
      </c>
      <c r="BT2046" s="19">
        <v>0</v>
      </c>
      <c r="BU2046" s="23">
        <v>0</v>
      </c>
      <c r="BV2046" s="23"/>
      <c r="BW2046" s="23"/>
      <c r="BX2046" s="23"/>
      <c r="BY2046" s="23"/>
      <c r="BZ2046" s="23"/>
    </row>
    <row r="2047" spans="3:78" ht="19.5" customHeight="1">
      <c r="C2047" s="32">
        <v>73003102</v>
      </c>
      <c r="D2047" s="30" t="s">
        <v>1097</v>
      </c>
      <c r="E2047" s="30" t="s">
        <v>1098</v>
      </c>
      <c r="F2047" s="32">
        <v>1</v>
      </c>
      <c r="G2047" s="21">
        <v>60010100</v>
      </c>
      <c r="H2047" s="32">
        <v>0</v>
      </c>
      <c r="I2047" s="31">
        <v>0</v>
      </c>
      <c r="J2047" s="32">
        <v>1</v>
      </c>
      <c r="K2047" s="32">
        <v>0</v>
      </c>
      <c r="L2047" s="32">
        <v>0</v>
      </c>
      <c r="M2047" s="21">
        <v>0</v>
      </c>
      <c r="N2047" s="21">
        <v>0</v>
      </c>
      <c r="O2047" s="21">
        <v>2</v>
      </c>
      <c r="P2047" s="21">
        <v>1</v>
      </c>
      <c r="Q2047" s="21">
        <v>0.3</v>
      </c>
      <c r="R2047" s="21">
        <v>0</v>
      </c>
      <c r="S2047" s="19">
        <v>0</v>
      </c>
      <c r="T2047" s="21">
        <v>0</v>
      </c>
      <c r="U2047" s="21">
        <v>1</v>
      </c>
      <c r="V2047" s="21">
        <v>2</v>
      </c>
      <c r="W2047" s="21">
        <v>0</v>
      </c>
      <c r="X2047" s="21">
        <v>3</v>
      </c>
      <c r="Y2047" s="19">
        <v>0</v>
      </c>
      <c r="Z2047" s="21">
        <v>0</v>
      </c>
      <c r="AA2047" s="21">
        <v>1</v>
      </c>
      <c r="AB2047" s="21">
        <v>0</v>
      </c>
      <c r="AC2047" s="21">
        <v>0</v>
      </c>
      <c r="AD2047" s="21">
        <v>0</v>
      </c>
      <c r="AE2047" s="21">
        <v>0</v>
      </c>
      <c r="AF2047" s="21">
        <v>12</v>
      </c>
      <c r="AG2047" s="21">
        <v>1</v>
      </c>
      <c r="AH2047" s="21" t="s">
        <v>613</v>
      </c>
      <c r="AI2047" s="19">
        <v>0</v>
      </c>
      <c r="AJ2047" s="19">
        <v>1</v>
      </c>
      <c r="AK2047" s="19">
        <v>0</v>
      </c>
      <c r="AL2047" s="19">
        <v>3</v>
      </c>
      <c r="AM2047" s="21">
        <v>0</v>
      </c>
      <c r="AN2047" s="21">
        <v>0</v>
      </c>
      <c r="AO2047" s="21">
        <v>0</v>
      </c>
      <c r="AP2047" s="21">
        <v>3</v>
      </c>
      <c r="AQ2047" s="21">
        <v>5000</v>
      </c>
      <c r="AR2047" s="21">
        <v>2.5</v>
      </c>
      <c r="AS2047" s="21">
        <v>0</v>
      </c>
      <c r="AT2047" s="19">
        <v>0</v>
      </c>
      <c r="AU2047" s="21">
        <v>80001030</v>
      </c>
      <c r="AV2047" s="21"/>
      <c r="AW2047" s="35" t="s">
        <v>293</v>
      </c>
      <c r="AX2047" s="21" t="s">
        <v>540</v>
      </c>
      <c r="AY2047" s="32">
        <v>10000007</v>
      </c>
      <c r="AZ2047" s="32">
        <v>70204001</v>
      </c>
      <c r="BA2047" s="30" t="s">
        <v>206</v>
      </c>
      <c r="BB2047" s="21">
        <v>0</v>
      </c>
      <c r="BC2047" s="31">
        <v>0</v>
      </c>
      <c r="BD2047" s="31">
        <v>0</v>
      </c>
      <c r="BE2047" s="33" t="s">
        <v>1099</v>
      </c>
      <c r="BF2047" s="33" t="s">
        <v>1100</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73003103</v>
      </c>
      <c r="D2048" s="30" t="s">
        <v>538</v>
      </c>
      <c r="E2048" s="30" t="s">
        <v>261</v>
      </c>
      <c r="F2048" s="32">
        <v>1</v>
      </c>
      <c r="G2048" s="21">
        <v>0</v>
      </c>
      <c r="H2048" s="32">
        <v>0</v>
      </c>
      <c r="I2048" s="31">
        <v>0</v>
      </c>
      <c r="J2048" s="32">
        <v>1</v>
      </c>
      <c r="K2048" s="32">
        <v>0</v>
      </c>
      <c r="L2048" s="32">
        <v>0</v>
      </c>
      <c r="M2048" s="21">
        <v>0</v>
      </c>
      <c r="N2048" s="21">
        <v>0</v>
      </c>
      <c r="O2048" s="21">
        <v>2</v>
      </c>
      <c r="P2048" s="21">
        <v>1</v>
      </c>
      <c r="Q2048" s="21">
        <v>1</v>
      </c>
      <c r="R2048" s="21">
        <v>0</v>
      </c>
      <c r="S2048" s="19">
        <v>0</v>
      </c>
      <c r="T2048" s="21">
        <v>0</v>
      </c>
      <c r="U2048" s="21">
        <v>1</v>
      </c>
      <c r="V2048" s="21">
        <v>2</v>
      </c>
      <c r="W2048" s="21">
        <v>0</v>
      </c>
      <c r="X2048" s="21">
        <v>2</v>
      </c>
      <c r="Y2048" s="19">
        <v>0</v>
      </c>
      <c r="Z2048" s="21">
        <v>0</v>
      </c>
      <c r="AA2048" s="21">
        <v>1</v>
      </c>
      <c r="AB2048" s="21">
        <v>0</v>
      </c>
      <c r="AC2048" s="21">
        <v>0</v>
      </c>
      <c r="AD2048" s="21">
        <v>0</v>
      </c>
      <c r="AE2048" s="21">
        <v>0</v>
      </c>
      <c r="AF2048" s="21">
        <v>6</v>
      </c>
      <c r="AG2048" s="21">
        <v>1</v>
      </c>
      <c r="AH2048" s="21">
        <v>3</v>
      </c>
      <c r="AI2048" s="19">
        <v>0</v>
      </c>
      <c r="AJ2048" s="19">
        <v>0</v>
      </c>
      <c r="AK2048" s="19">
        <v>0</v>
      </c>
      <c r="AL2048" s="19">
        <v>1.5</v>
      </c>
      <c r="AM2048" s="21">
        <v>0</v>
      </c>
      <c r="AN2048" s="21">
        <v>0</v>
      </c>
      <c r="AO2048" s="21">
        <v>0</v>
      </c>
      <c r="AP2048" s="21">
        <v>1</v>
      </c>
      <c r="AQ2048" s="21">
        <v>5000</v>
      </c>
      <c r="AR2048" s="21">
        <v>0.5</v>
      </c>
      <c r="AS2048" s="21">
        <v>0</v>
      </c>
      <c r="AT2048" s="19">
        <v>0</v>
      </c>
      <c r="AU2048" s="21" t="s">
        <v>204</v>
      </c>
      <c r="AV2048" s="21"/>
      <c r="AW2048" s="35" t="s">
        <v>205</v>
      </c>
      <c r="AX2048" s="21" t="s">
        <v>540</v>
      </c>
      <c r="AY2048" s="32">
        <v>10000007</v>
      </c>
      <c r="AZ2048" s="32">
        <v>70105001</v>
      </c>
      <c r="BA2048" s="30" t="s">
        <v>206</v>
      </c>
      <c r="BB2048" s="21" t="s">
        <v>4418</v>
      </c>
      <c r="BC2048" s="31">
        <v>0</v>
      </c>
      <c r="BD2048" s="31">
        <v>0</v>
      </c>
      <c r="BE2048" s="33" t="s">
        <v>4419</v>
      </c>
      <c r="BF2048" s="33" t="s">
        <v>4420</v>
      </c>
      <c r="BG2048" s="21">
        <v>0</v>
      </c>
      <c r="BH2048" s="21">
        <v>0</v>
      </c>
      <c r="BI2048" s="21">
        <v>0</v>
      </c>
      <c r="BJ2048" s="21">
        <v>0</v>
      </c>
      <c r="BK2048" s="21">
        <v>0</v>
      </c>
      <c r="BL2048" s="21">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20.100000000000001" customHeight="1">
      <c r="C2049" s="32">
        <v>73003104</v>
      </c>
      <c r="D2049" s="30" t="s">
        <v>750</v>
      </c>
      <c r="E2049" s="30" t="s">
        <v>751</v>
      </c>
      <c r="F2049" s="32">
        <v>1</v>
      </c>
      <c r="G2049" s="32">
        <v>60010500</v>
      </c>
      <c r="H2049" s="32">
        <v>0</v>
      </c>
      <c r="I2049" s="31">
        <v>0</v>
      </c>
      <c r="J2049" s="32">
        <v>1</v>
      </c>
      <c r="K2049" s="32">
        <v>0</v>
      </c>
      <c r="L2049" s="32">
        <v>0</v>
      </c>
      <c r="M2049" s="32">
        <v>0</v>
      </c>
      <c r="N2049" s="32">
        <v>0</v>
      </c>
      <c r="O2049" s="21">
        <v>2</v>
      </c>
      <c r="P2049" s="32">
        <v>1</v>
      </c>
      <c r="Q2049" s="32">
        <v>0.05</v>
      </c>
      <c r="R2049" s="32">
        <v>0</v>
      </c>
      <c r="S2049" s="19">
        <v>0</v>
      </c>
      <c r="T2049" s="31">
        <v>0</v>
      </c>
      <c r="U2049" s="21">
        <v>1</v>
      </c>
      <c r="V2049" s="32">
        <v>1</v>
      </c>
      <c r="W2049" s="32">
        <v>0</v>
      </c>
      <c r="X2049" s="32">
        <v>2</v>
      </c>
      <c r="Y2049" s="19">
        <v>0</v>
      </c>
      <c r="Z2049" s="32">
        <v>0</v>
      </c>
      <c r="AA2049" s="32">
        <v>0</v>
      </c>
      <c r="AB2049" s="32">
        <v>0</v>
      </c>
      <c r="AC2049" s="32">
        <v>0</v>
      </c>
      <c r="AD2049" s="21">
        <v>0</v>
      </c>
      <c r="AE2049" s="32">
        <v>0</v>
      </c>
      <c r="AF2049" s="32">
        <v>10</v>
      </c>
      <c r="AG2049" s="32">
        <v>0</v>
      </c>
      <c r="AH2049" s="32">
        <v>0</v>
      </c>
      <c r="AI2049" s="19">
        <v>7</v>
      </c>
      <c r="AJ2049" s="19">
        <v>0</v>
      </c>
      <c r="AK2049" s="19">
        <v>0</v>
      </c>
      <c r="AL2049" s="19">
        <v>0</v>
      </c>
      <c r="AM2049" s="32">
        <v>0</v>
      </c>
      <c r="AN2049" s="32">
        <v>0</v>
      </c>
      <c r="AO2049" s="32">
        <v>0</v>
      </c>
      <c r="AP2049" s="32">
        <v>0</v>
      </c>
      <c r="AQ2049" s="32">
        <v>1000</v>
      </c>
      <c r="AR2049" s="32">
        <v>0.5</v>
      </c>
      <c r="AS2049" s="32">
        <v>0</v>
      </c>
      <c r="AT2049" s="19">
        <v>0</v>
      </c>
      <c r="AU2049" s="32" t="s">
        <v>665</v>
      </c>
      <c r="AV2049" s="32"/>
      <c r="AW2049" s="35" t="s">
        <v>747</v>
      </c>
      <c r="AX2049" s="32">
        <v>0</v>
      </c>
      <c r="AY2049" s="32">
        <v>10007001</v>
      </c>
      <c r="AZ2049" s="32">
        <v>0</v>
      </c>
      <c r="BA2049" s="35" t="s">
        <v>206</v>
      </c>
      <c r="BB2049" s="35" t="s">
        <v>204</v>
      </c>
      <c r="BC2049" s="31">
        <v>0</v>
      </c>
      <c r="BD2049" s="31">
        <v>0</v>
      </c>
      <c r="BE2049" s="60" t="s">
        <v>4588</v>
      </c>
      <c r="BF2049" s="60" t="s">
        <v>4589</v>
      </c>
      <c r="BG2049" s="32">
        <v>0</v>
      </c>
      <c r="BH2049" s="21">
        <v>0</v>
      </c>
      <c r="BI2049" s="32">
        <v>0</v>
      </c>
      <c r="BJ2049" s="32">
        <v>0</v>
      </c>
      <c r="BK2049" s="32">
        <v>0</v>
      </c>
      <c r="BL2049" s="32">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73003201</v>
      </c>
      <c r="D2050" s="30" t="s">
        <v>671</v>
      </c>
      <c r="E2050" s="30" t="s">
        <v>612</v>
      </c>
      <c r="F2050" s="21">
        <v>1</v>
      </c>
      <c r="G2050" s="21">
        <v>60010100</v>
      </c>
      <c r="H2050" s="32">
        <v>0</v>
      </c>
      <c r="I2050" s="31">
        <v>0</v>
      </c>
      <c r="J2050" s="32">
        <v>1</v>
      </c>
      <c r="K2050" s="32">
        <v>0</v>
      </c>
      <c r="L2050" s="32">
        <v>0</v>
      </c>
      <c r="M2050" s="21">
        <v>0</v>
      </c>
      <c r="N2050" s="21">
        <v>0</v>
      </c>
      <c r="O2050" s="21">
        <v>2</v>
      </c>
      <c r="P2050" s="21">
        <v>1</v>
      </c>
      <c r="Q2050" s="21">
        <v>0.3</v>
      </c>
      <c r="R2050" s="21">
        <v>0</v>
      </c>
      <c r="S2050" s="19">
        <v>0</v>
      </c>
      <c r="T2050" s="21">
        <v>0</v>
      </c>
      <c r="U2050" s="21">
        <v>1</v>
      </c>
      <c r="V2050" s="21">
        <v>2</v>
      </c>
      <c r="W2050" s="21">
        <v>0</v>
      </c>
      <c r="X2050" s="21">
        <v>3</v>
      </c>
      <c r="Y2050" s="19">
        <v>0</v>
      </c>
      <c r="Z2050" s="21">
        <v>0</v>
      </c>
      <c r="AA2050" s="21">
        <v>0</v>
      </c>
      <c r="AB2050" s="21">
        <v>0</v>
      </c>
      <c r="AC2050" s="21">
        <v>0</v>
      </c>
      <c r="AD2050" s="21">
        <v>0</v>
      </c>
      <c r="AE2050" s="21">
        <v>0</v>
      </c>
      <c r="AF2050" s="21">
        <v>12</v>
      </c>
      <c r="AG2050" s="21">
        <v>1</v>
      </c>
      <c r="AH2050" s="21">
        <v>3</v>
      </c>
      <c r="AI2050" s="19">
        <v>6</v>
      </c>
      <c r="AJ2050" s="19">
        <v>1</v>
      </c>
      <c r="AK2050" s="19">
        <v>0</v>
      </c>
      <c r="AL2050" s="19">
        <v>1.5</v>
      </c>
      <c r="AM2050" s="21">
        <v>0</v>
      </c>
      <c r="AN2050" s="21">
        <v>0</v>
      </c>
      <c r="AO2050" s="21">
        <v>0</v>
      </c>
      <c r="AP2050" s="21">
        <v>3</v>
      </c>
      <c r="AQ2050" s="21">
        <v>5000</v>
      </c>
      <c r="AR2050" s="21">
        <v>3</v>
      </c>
      <c r="AS2050" s="21">
        <v>0</v>
      </c>
      <c r="AT2050" s="19">
        <v>0</v>
      </c>
      <c r="AU2050" s="21" t="s">
        <v>204</v>
      </c>
      <c r="AV2050" s="21"/>
      <c r="AW2050" s="35" t="s">
        <v>262</v>
      </c>
      <c r="AX2050" s="21" t="s">
        <v>540</v>
      </c>
      <c r="AY2050" s="32">
        <v>10000007</v>
      </c>
      <c r="AZ2050" s="32">
        <v>70103003</v>
      </c>
      <c r="BA2050" s="30" t="s">
        <v>206</v>
      </c>
      <c r="BB2050" s="21" t="s">
        <v>4557</v>
      </c>
      <c r="BC2050" s="31">
        <v>0</v>
      </c>
      <c r="BD2050" s="31">
        <v>0</v>
      </c>
      <c r="BE2050" s="33" t="s">
        <v>673</v>
      </c>
      <c r="BF2050" s="33" t="s">
        <v>674</v>
      </c>
      <c r="BG2050" s="21">
        <v>0</v>
      </c>
      <c r="BH2050" s="21">
        <v>0</v>
      </c>
      <c r="BI2050" s="21">
        <v>0</v>
      </c>
      <c r="BJ2050" s="21">
        <v>0</v>
      </c>
      <c r="BK2050" s="21">
        <v>0</v>
      </c>
      <c r="BL2050" s="21">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20.100000000000001" customHeight="1">
      <c r="C2051" s="32">
        <v>73003202</v>
      </c>
      <c r="D2051" s="35" t="s">
        <v>4590</v>
      </c>
      <c r="E2051" s="35" t="s">
        <v>4591</v>
      </c>
      <c r="F2051" s="32">
        <v>1</v>
      </c>
      <c r="G2051" s="32">
        <v>60010500</v>
      </c>
      <c r="H2051" s="32">
        <v>0</v>
      </c>
      <c r="I2051" s="31">
        <v>0</v>
      </c>
      <c r="J2051" s="32">
        <v>1</v>
      </c>
      <c r="K2051" s="32">
        <v>0</v>
      </c>
      <c r="L2051" s="32">
        <v>0</v>
      </c>
      <c r="M2051" s="32">
        <v>0</v>
      </c>
      <c r="N2051" s="32">
        <v>0</v>
      </c>
      <c r="O2051" s="21">
        <v>2</v>
      </c>
      <c r="P2051" s="32">
        <v>2</v>
      </c>
      <c r="Q2051" s="32">
        <v>0.95</v>
      </c>
      <c r="R2051" s="32">
        <v>0</v>
      </c>
      <c r="S2051" s="19">
        <v>0</v>
      </c>
      <c r="T2051" s="31">
        <v>0</v>
      </c>
      <c r="U2051" s="21">
        <v>1</v>
      </c>
      <c r="V2051" s="32">
        <v>2</v>
      </c>
      <c r="W2051" s="32">
        <v>0</v>
      </c>
      <c r="X2051" s="32">
        <v>0</v>
      </c>
      <c r="Y2051" s="19">
        <v>0</v>
      </c>
      <c r="Z2051" s="32">
        <v>0</v>
      </c>
      <c r="AA2051" s="32">
        <v>0</v>
      </c>
      <c r="AB2051" s="32">
        <v>0</v>
      </c>
      <c r="AC2051" s="32">
        <v>0</v>
      </c>
      <c r="AD2051" s="21">
        <v>0</v>
      </c>
      <c r="AE2051" s="32">
        <v>0</v>
      </c>
      <c r="AF2051" s="32">
        <v>20</v>
      </c>
      <c r="AG2051" s="32">
        <v>0</v>
      </c>
      <c r="AH2051" s="32">
        <v>0</v>
      </c>
      <c r="AI2051" s="19">
        <v>7</v>
      </c>
      <c r="AJ2051" s="19">
        <v>0</v>
      </c>
      <c r="AK2051" s="19">
        <v>0</v>
      </c>
      <c r="AL2051" s="19">
        <v>0</v>
      </c>
      <c r="AM2051" s="32">
        <v>0</v>
      </c>
      <c r="AN2051" s="32">
        <v>0</v>
      </c>
      <c r="AO2051" s="32">
        <v>0</v>
      </c>
      <c r="AP2051" s="32">
        <v>0</v>
      </c>
      <c r="AQ2051" s="32">
        <v>1000</v>
      </c>
      <c r="AR2051" s="32">
        <v>0.5</v>
      </c>
      <c r="AS2051" s="32">
        <v>0</v>
      </c>
      <c r="AT2051" s="19">
        <v>0</v>
      </c>
      <c r="AU2051" s="32">
        <v>83000001</v>
      </c>
      <c r="AV2051" s="32"/>
      <c r="AW2051" s="35" t="s">
        <v>747</v>
      </c>
      <c r="AX2051" s="32">
        <v>0</v>
      </c>
      <c r="AY2051" s="32">
        <v>10007001</v>
      </c>
      <c r="AZ2051" s="32">
        <v>0</v>
      </c>
      <c r="BA2051" s="35" t="s">
        <v>206</v>
      </c>
      <c r="BB2051" s="35" t="s">
        <v>204</v>
      </c>
      <c r="BC2051" s="31">
        <v>0</v>
      </c>
      <c r="BD2051" s="31">
        <v>0</v>
      </c>
      <c r="BE2051" s="60" t="s">
        <v>4592</v>
      </c>
      <c r="BF2051" s="60" t="s">
        <v>4593</v>
      </c>
      <c r="BG2051" s="32">
        <v>0</v>
      </c>
      <c r="BH2051" s="21">
        <v>0</v>
      </c>
      <c r="BI2051" s="32">
        <v>0</v>
      </c>
      <c r="BJ2051" s="32">
        <v>0</v>
      </c>
      <c r="BK2051" s="32">
        <v>0</v>
      </c>
      <c r="BL2051" s="32">
        <v>0</v>
      </c>
      <c r="BM2051" s="25">
        <v>0</v>
      </c>
      <c r="BN2051" s="19">
        <v>0</v>
      </c>
      <c r="BO2051" s="19">
        <v>0</v>
      </c>
      <c r="BP2051" s="19">
        <v>0</v>
      </c>
      <c r="BQ2051" s="19">
        <v>0</v>
      </c>
      <c r="BR2051" s="19">
        <v>0</v>
      </c>
      <c r="BS2051" s="19">
        <v>0</v>
      </c>
      <c r="BT2051" s="19">
        <v>0</v>
      </c>
      <c r="BU2051" s="23">
        <v>0</v>
      </c>
      <c r="BV2051" s="23"/>
      <c r="BW2051" s="23"/>
      <c r="BX2051" s="23"/>
      <c r="BY2051" s="23"/>
      <c r="BZ2051" s="23"/>
    </row>
    <row r="2052" spans="3:78" ht="19.5" customHeight="1">
      <c r="C2052" s="32">
        <v>73003203</v>
      </c>
      <c r="D2052" s="30" t="s">
        <v>1097</v>
      </c>
      <c r="E2052" s="30" t="s">
        <v>1098</v>
      </c>
      <c r="F2052" s="32">
        <v>1</v>
      </c>
      <c r="G2052" s="21">
        <v>60010100</v>
      </c>
      <c r="H2052" s="32">
        <v>0</v>
      </c>
      <c r="I2052" s="31">
        <v>0</v>
      </c>
      <c r="J2052" s="32">
        <v>1</v>
      </c>
      <c r="K2052" s="32">
        <v>0</v>
      </c>
      <c r="L2052" s="32">
        <v>0</v>
      </c>
      <c r="M2052" s="21">
        <v>0</v>
      </c>
      <c r="N2052" s="21">
        <v>0</v>
      </c>
      <c r="O2052" s="21">
        <v>2</v>
      </c>
      <c r="P2052" s="21">
        <v>1</v>
      </c>
      <c r="Q2052" s="21">
        <v>0.3</v>
      </c>
      <c r="R2052" s="21">
        <v>0</v>
      </c>
      <c r="S2052" s="19">
        <v>0</v>
      </c>
      <c r="T2052" s="21">
        <v>0</v>
      </c>
      <c r="U2052" s="21">
        <v>1</v>
      </c>
      <c r="V2052" s="21">
        <v>2</v>
      </c>
      <c r="W2052" s="21">
        <v>0</v>
      </c>
      <c r="X2052" s="21">
        <v>3</v>
      </c>
      <c r="Y2052" s="19">
        <v>0</v>
      </c>
      <c r="Z2052" s="21">
        <v>0</v>
      </c>
      <c r="AA2052" s="21">
        <v>1</v>
      </c>
      <c r="AB2052" s="21">
        <v>0</v>
      </c>
      <c r="AC2052" s="21">
        <v>0</v>
      </c>
      <c r="AD2052" s="21">
        <v>0</v>
      </c>
      <c r="AE2052" s="21">
        <v>0</v>
      </c>
      <c r="AF2052" s="21">
        <v>15</v>
      </c>
      <c r="AG2052" s="21">
        <v>1</v>
      </c>
      <c r="AH2052" s="21" t="s">
        <v>613</v>
      </c>
      <c r="AI2052" s="19">
        <v>0</v>
      </c>
      <c r="AJ2052" s="19">
        <v>1</v>
      </c>
      <c r="AK2052" s="19">
        <v>0</v>
      </c>
      <c r="AL2052" s="19">
        <v>3</v>
      </c>
      <c r="AM2052" s="21">
        <v>0</v>
      </c>
      <c r="AN2052" s="21">
        <v>0</v>
      </c>
      <c r="AO2052" s="21">
        <v>0</v>
      </c>
      <c r="AP2052" s="21">
        <v>3</v>
      </c>
      <c r="AQ2052" s="21">
        <v>5000</v>
      </c>
      <c r="AR2052" s="21">
        <v>2.5</v>
      </c>
      <c r="AS2052" s="21">
        <v>0</v>
      </c>
      <c r="AT2052" s="19">
        <v>0</v>
      </c>
      <c r="AU2052" s="21" t="s">
        <v>665</v>
      </c>
      <c r="AV2052" s="21"/>
      <c r="AW2052" s="35" t="s">
        <v>262</v>
      </c>
      <c r="AX2052" s="21" t="s">
        <v>540</v>
      </c>
      <c r="AY2052" s="32">
        <v>10000007</v>
      </c>
      <c r="AZ2052" s="32">
        <v>70403003</v>
      </c>
      <c r="BA2052" s="30" t="s">
        <v>206</v>
      </c>
      <c r="BB2052" s="21">
        <v>0</v>
      </c>
      <c r="BC2052" s="31">
        <v>0</v>
      </c>
      <c r="BD2052" s="31">
        <v>0</v>
      </c>
      <c r="BE2052" s="33" t="s">
        <v>4500</v>
      </c>
      <c r="BF2052" s="33" t="s">
        <v>4501</v>
      </c>
      <c r="BG2052" s="21">
        <v>0</v>
      </c>
      <c r="BH2052" s="21">
        <v>0</v>
      </c>
      <c r="BI2052" s="21">
        <v>0</v>
      </c>
      <c r="BJ2052" s="21">
        <v>0</v>
      </c>
      <c r="BK2052" s="21">
        <v>0</v>
      </c>
      <c r="BL2052" s="21">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73003204</v>
      </c>
      <c r="D2053" s="25" t="s">
        <v>806</v>
      </c>
      <c r="E2053" s="25" t="s">
        <v>461</v>
      </c>
      <c r="F2053" s="25">
        <v>1</v>
      </c>
      <c r="G2053" s="21">
        <v>60010002</v>
      </c>
      <c r="H2053" s="25">
        <v>0</v>
      </c>
      <c r="I2053" s="26">
        <v>0</v>
      </c>
      <c r="J2053" s="25">
        <v>0</v>
      </c>
      <c r="K2053" s="25">
        <v>0</v>
      </c>
      <c r="L2053" s="26">
        <v>0</v>
      </c>
      <c r="M2053" s="26">
        <v>0</v>
      </c>
      <c r="N2053" s="25">
        <v>0</v>
      </c>
      <c r="O2053" s="25">
        <v>2</v>
      </c>
      <c r="P2053" s="25">
        <v>2</v>
      </c>
      <c r="Q2053" s="25">
        <v>0.95</v>
      </c>
      <c r="R2053" s="25">
        <v>0</v>
      </c>
      <c r="S2053" s="19">
        <v>0</v>
      </c>
      <c r="T2053" s="25">
        <v>0</v>
      </c>
      <c r="U2053" s="21">
        <v>1</v>
      </c>
      <c r="V2053" s="25">
        <v>2</v>
      </c>
      <c r="W2053" s="26">
        <v>0</v>
      </c>
      <c r="X2053" s="25">
        <v>3</v>
      </c>
      <c r="Y2053" s="19">
        <v>0</v>
      </c>
      <c r="Z2053" s="25">
        <v>0</v>
      </c>
      <c r="AA2053" s="25">
        <v>0</v>
      </c>
      <c r="AB2053" s="25">
        <v>0</v>
      </c>
      <c r="AC2053" s="26">
        <v>0</v>
      </c>
      <c r="AD2053" s="25">
        <v>0</v>
      </c>
      <c r="AE2053" s="25">
        <v>0</v>
      </c>
      <c r="AF2053" s="25">
        <v>15</v>
      </c>
      <c r="AG2053" s="25">
        <v>2</v>
      </c>
      <c r="AH2053" s="25" t="s">
        <v>807</v>
      </c>
      <c r="AI2053" s="56">
        <v>0</v>
      </c>
      <c r="AJ2053" s="56">
        <v>2</v>
      </c>
      <c r="AK2053" s="19">
        <v>0</v>
      </c>
      <c r="AL2053" s="25">
        <v>4</v>
      </c>
      <c r="AM2053" s="27">
        <v>0</v>
      </c>
      <c r="AN2053" s="25">
        <v>0</v>
      </c>
      <c r="AO2053" s="25">
        <v>0</v>
      </c>
      <c r="AP2053" s="25">
        <v>2</v>
      </c>
      <c r="AQ2053" s="21">
        <v>4000</v>
      </c>
      <c r="AR2053" s="25">
        <v>2</v>
      </c>
      <c r="AS2053" s="25">
        <v>0</v>
      </c>
      <c r="AT2053" s="19">
        <v>0</v>
      </c>
      <c r="AU2053" s="21" t="s">
        <v>665</v>
      </c>
      <c r="AV2053" s="21"/>
      <c r="AW2053" s="35" t="s">
        <v>293</v>
      </c>
      <c r="AX2053" s="26">
        <v>0</v>
      </c>
      <c r="AY2053" s="26">
        <v>0</v>
      </c>
      <c r="AZ2053" s="26">
        <v>70205004</v>
      </c>
      <c r="BA2053" s="35" t="s">
        <v>206</v>
      </c>
      <c r="BB2053" s="35">
        <v>0</v>
      </c>
      <c r="BC2053" s="35">
        <v>0</v>
      </c>
      <c r="BD2053" s="35">
        <v>0</v>
      </c>
      <c r="BE2053" s="33" t="s">
        <v>808</v>
      </c>
      <c r="BF2053" s="58" t="s">
        <v>809</v>
      </c>
      <c r="BG2053" s="25">
        <v>2</v>
      </c>
      <c r="BH2053" s="25">
        <v>0</v>
      </c>
      <c r="BI2053" s="32">
        <v>0</v>
      </c>
      <c r="BJ2053" s="25">
        <v>1</v>
      </c>
      <c r="BK2053" s="25">
        <v>2</v>
      </c>
      <c r="BL2053" s="27">
        <v>0</v>
      </c>
      <c r="BM2053" s="25">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73003301</v>
      </c>
      <c r="D2054" s="71" t="s">
        <v>631</v>
      </c>
      <c r="E2054" s="71" t="s">
        <v>632</v>
      </c>
      <c r="F2054" s="21">
        <v>1</v>
      </c>
      <c r="G2054" s="21">
        <v>90002001</v>
      </c>
      <c r="H2054" s="72">
        <v>0</v>
      </c>
      <c r="I2054" s="31">
        <v>0</v>
      </c>
      <c r="J2054" s="32">
        <v>1</v>
      </c>
      <c r="K2054" s="32">
        <v>0</v>
      </c>
      <c r="L2054" s="32">
        <v>0</v>
      </c>
      <c r="M2054" s="72">
        <v>0</v>
      </c>
      <c r="N2054" s="72">
        <v>0</v>
      </c>
      <c r="O2054" s="72">
        <v>2</v>
      </c>
      <c r="P2054" s="72">
        <v>2</v>
      </c>
      <c r="Q2054" s="72">
        <v>0.9</v>
      </c>
      <c r="R2054" s="72">
        <v>0</v>
      </c>
      <c r="S2054" s="19">
        <v>0</v>
      </c>
      <c r="T2054" s="72">
        <v>0</v>
      </c>
      <c r="U2054" s="21">
        <v>1</v>
      </c>
      <c r="V2054" s="72">
        <v>2</v>
      </c>
      <c r="W2054" s="72">
        <v>0</v>
      </c>
      <c r="X2054" s="72">
        <v>3</v>
      </c>
      <c r="Y2054" s="19">
        <v>0</v>
      </c>
      <c r="Z2054" s="72">
        <v>0</v>
      </c>
      <c r="AA2054" s="72">
        <v>0</v>
      </c>
      <c r="AB2054" s="72">
        <v>0</v>
      </c>
      <c r="AC2054" s="72">
        <v>0</v>
      </c>
      <c r="AD2054" s="72">
        <v>0</v>
      </c>
      <c r="AE2054" s="72">
        <v>0</v>
      </c>
      <c r="AF2054" s="72">
        <v>20</v>
      </c>
      <c r="AG2054" s="72">
        <v>2</v>
      </c>
      <c r="AH2054" s="72" t="s">
        <v>633</v>
      </c>
      <c r="AI2054" s="19">
        <v>0</v>
      </c>
      <c r="AJ2054" s="19">
        <v>2</v>
      </c>
      <c r="AK2054" s="19">
        <v>0</v>
      </c>
      <c r="AL2054" s="73">
        <v>0</v>
      </c>
      <c r="AM2054" s="72">
        <v>0</v>
      </c>
      <c r="AN2054" s="72">
        <v>0</v>
      </c>
      <c r="AO2054" s="72">
        <v>0</v>
      </c>
      <c r="AP2054" s="72">
        <v>5</v>
      </c>
      <c r="AQ2054" s="72">
        <v>5000</v>
      </c>
      <c r="AR2054" s="72">
        <v>0</v>
      </c>
      <c r="AS2054" s="72">
        <v>0</v>
      </c>
      <c r="AT2054" s="19">
        <v>0</v>
      </c>
      <c r="AU2054" s="72">
        <v>0</v>
      </c>
      <c r="AV2054" s="72"/>
      <c r="AW2054" s="71" t="s">
        <v>293</v>
      </c>
      <c r="AX2054" s="21">
        <v>0</v>
      </c>
      <c r="AY2054" s="74">
        <v>0</v>
      </c>
      <c r="AZ2054" s="32">
        <v>22000030</v>
      </c>
      <c r="BA2054" s="71" t="s">
        <v>634</v>
      </c>
      <c r="BB2054" s="72" t="s">
        <v>4594</v>
      </c>
      <c r="BC2054" s="75">
        <v>0</v>
      </c>
      <c r="BD2054" s="75">
        <v>0</v>
      </c>
      <c r="BE2054" s="76" t="s">
        <v>4595</v>
      </c>
      <c r="BF2054" s="76" t="s">
        <v>4596</v>
      </c>
      <c r="BG2054" s="72">
        <v>0</v>
      </c>
      <c r="BH2054" s="21">
        <v>0</v>
      </c>
      <c r="BI2054" s="72">
        <v>0</v>
      </c>
      <c r="BJ2054" s="72">
        <v>0</v>
      </c>
      <c r="BK2054" s="72">
        <v>0</v>
      </c>
      <c r="BL2054" s="72">
        <v>0</v>
      </c>
      <c r="BM2054" s="21">
        <v>0</v>
      </c>
      <c r="BN2054" s="19">
        <v>0</v>
      </c>
      <c r="BO2054" s="19">
        <v>0</v>
      </c>
      <c r="BP2054" s="19">
        <v>0</v>
      </c>
      <c r="BQ2054" s="19">
        <v>0</v>
      </c>
      <c r="BR2054" s="19">
        <v>0</v>
      </c>
      <c r="BS2054" s="19">
        <v>0</v>
      </c>
      <c r="BT2054" s="19">
        <v>0</v>
      </c>
      <c r="BU2054" s="23">
        <v>0</v>
      </c>
      <c r="BV2054" s="23"/>
      <c r="BW2054" s="23"/>
      <c r="BX2054" s="23"/>
      <c r="BY2054" s="23"/>
      <c r="BZ2054" s="23"/>
    </row>
    <row r="2055" spans="3:78" ht="20.100000000000001" customHeight="1">
      <c r="C2055" s="32">
        <v>73003302</v>
      </c>
      <c r="D2055" s="30" t="s">
        <v>606</v>
      </c>
      <c r="E2055" s="30" t="s">
        <v>607</v>
      </c>
      <c r="F2055" s="32">
        <v>1</v>
      </c>
      <c r="G2055" s="21">
        <v>60010300</v>
      </c>
      <c r="H2055" s="32">
        <v>0</v>
      </c>
      <c r="I2055" s="31">
        <v>0</v>
      </c>
      <c r="J2055" s="32">
        <v>1</v>
      </c>
      <c r="K2055" s="32">
        <v>0</v>
      </c>
      <c r="L2055" s="32">
        <v>0</v>
      </c>
      <c r="M2055" s="21">
        <v>0</v>
      </c>
      <c r="N2055" s="21">
        <v>0</v>
      </c>
      <c r="O2055" s="72">
        <v>2</v>
      </c>
      <c r="P2055" s="21">
        <v>2</v>
      </c>
      <c r="Q2055" s="21">
        <v>0.8</v>
      </c>
      <c r="R2055" s="21">
        <v>0</v>
      </c>
      <c r="S2055" s="19">
        <v>0</v>
      </c>
      <c r="T2055" s="21">
        <v>0</v>
      </c>
      <c r="U2055" s="21">
        <v>1</v>
      </c>
      <c r="V2055" s="21">
        <v>2</v>
      </c>
      <c r="W2055" s="21">
        <v>0</v>
      </c>
      <c r="X2055" s="21">
        <v>0</v>
      </c>
      <c r="Y2055" s="19">
        <v>0</v>
      </c>
      <c r="Z2055" s="21">
        <v>0</v>
      </c>
      <c r="AA2055" s="21">
        <v>0</v>
      </c>
      <c r="AB2055" s="21">
        <v>0</v>
      </c>
      <c r="AC2055" s="21">
        <v>0</v>
      </c>
      <c r="AD2055" s="21">
        <v>0</v>
      </c>
      <c r="AE2055" s="21">
        <v>0</v>
      </c>
      <c r="AF2055" s="21">
        <v>30</v>
      </c>
      <c r="AG2055" s="21">
        <v>0</v>
      </c>
      <c r="AH2055" s="21">
        <v>0</v>
      </c>
      <c r="AI2055" s="19">
        <v>2</v>
      </c>
      <c r="AJ2055" s="19">
        <v>2</v>
      </c>
      <c r="AK2055" s="19">
        <v>0</v>
      </c>
      <c r="AL2055" s="19">
        <v>1.5</v>
      </c>
      <c r="AM2055" s="21">
        <v>0</v>
      </c>
      <c r="AN2055" s="21">
        <v>0</v>
      </c>
      <c r="AO2055" s="21">
        <v>0</v>
      </c>
      <c r="AP2055" s="21">
        <v>1</v>
      </c>
      <c r="AQ2055" s="21">
        <v>3000</v>
      </c>
      <c r="AR2055" s="21">
        <v>0.5</v>
      </c>
      <c r="AS2055" s="21">
        <v>0</v>
      </c>
      <c r="AT2055" s="19">
        <v>0</v>
      </c>
      <c r="AU2055" s="21" t="s">
        <v>204</v>
      </c>
      <c r="AV2055" s="21"/>
      <c r="AW2055" s="35" t="s">
        <v>205</v>
      </c>
      <c r="AX2055" s="21" t="s">
        <v>551</v>
      </c>
      <c r="AY2055" s="32">
        <v>0</v>
      </c>
      <c r="AZ2055" s="32">
        <v>0</v>
      </c>
      <c r="BA2055" s="30" t="s">
        <v>534</v>
      </c>
      <c r="BB2055" s="21" t="s">
        <v>4597</v>
      </c>
      <c r="BC2055" s="31">
        <v>0</v>
      </c>
      <c r="BD2055" s="31">
        <v>0</v>
      </c>
      <c r="BE2055" s="33" t="s">
        <v>4424</v>
      </c>
      <c r="BF2055" s="33" t="s">
        <v>4425</v>
      </c>
      <c r="BG2055" s="21">
        <v>0</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73003303</v>
      </c>
      <c r="D2056" s="30" t="s">
        <v>1330</v>
      </c>
      <c r="E2056" s="30" t="s">
        <v>1331</v>
      </c>
      <c r="F2056" s="32">
        <v>1</v>
      </c>
      <c r="G2056" s="21">
        <v>60010100</v>
      </c>
      <c r="H2056" s="32">
        <v>0</v>
      </c>
      <c r="I2056" s="31">
        <v>0</v>
      </c>
      <c r="J2056" s="32">
        <v>1</v>
      </c>
      <c r="K2056" s="32">
        <v>0</v>
      </c>
      <c r="L2056" s="32">
        <v>0</v>
      </c>
      <c r="M2056" s="21">
        <v>0</v>
      </c>
      <c r="N2056" s="21">
        <v>0</v>
      </c>
      <c r="O2056" s="72">
        <v>2</v>
      </c>
      <c r="P2056" s="21">
        <v>1</v>
      </c>
      <c r="Q2056" s="21">
        <v>1</v>
      </c>
      <c r="R2056" s="21">
        <v>0</v>
      </c>
      <c r="S2056" s="19">
        <v>0</v>
      </c>
      <c r="T2056" s="21">
        <v>0</v>
      </c>
      <c r="U2056" s="21">
        <v>1</v>
      </c>
      <c r="V2056" s="21">
        <v>2</v>
      </c>
      <c r="W2056" s="21">
        <v>0</v>
      </c>
      <c r="X2056" s="21">
        <v>2</v>
      </c>
      <c r="Y2056" s="19">
        <v>0</v>
      </c>
      <c r="Z2056" s="21">
        <v>0</v>
      </c>
      <c r="AA2056" s="21">
        <v>1</v>
      </c>
      <c r="AB2056" s="21">
        <v>0</v>
      </c>
      <c r="AC2056" s="21">
        <v>0</v>
      </c>
      <c r="AD2056" s="21">
        <v>0</v>
      </c>
      <c r="AE2056" s="21">
        <v>0</v>
      </c>
      <c r="AF2056" s="21">
        <v>10</v>
      </c>
      <c r="AG2056" s="21">
        <v>2</v>
      </c>
      <c r="AH2056" s="21" t="s">
        <v>219</v>
      </c>
      <c r="AI2056" s="19">
        <v>0</v>
      </c>
      <c r="AJ2056" s="19">
        <v>2</v>
      </c>
      <c r="AK2056" s="19">
        <v>0</v>
      </c>
      <c r="AL2056" s="19">
        <v>1.5</v>
      </c>
      <c r="AM2056" s="21">
        <v>0</v>
      </c>
      <c r="AN2056" s="21">
        <v>0</v>
      </c>
      <c r="AO2056" s="21">
        <v>0</v>
      </c>
      <c r="AP2056" s="21">
        <v>1.5</v>
      </c>
      <c r="AQ2056" s="21">
        <v>10000</v>
      </c>
      <c r="AR2056" s="21">
        <v>1</v>
      </c>
      <c r="AS2056" s="21">
        <v>5</v>
      </c>
      <c r="AT2056" s="19">
        <v>0</v>
      </c>
      <c r="AU2056" s="21" t="s">
        <v>204</v>
      </c>
      <c r="AV2056" s="21"/>
      <c r="AW2056" s="35" t="s">
        <v>623</v>
      </c>
      <c r="AX2056" s="21" t="s">
        <v>540</v>
      </c>
      <c r="AY2056" s="32">
        <v>10000007</v>
      </c>
      <c r="AZ2056" s="32">
        <v>70302003</v>
      </c>
      <c r="BA2056" s="35" t="s">
        <v>592</v>
      </c>
      <c r="BB2056" s="31">
        <v>0</v>
      </c>
      <c r="BC2056" s="31">
        <v>0</v>
      </c>
      <c r="BD2056" s="31">
        <v>0</v>
      </c>
      <c r="BE2056" s="33" t="s">
        <v>1114</v>
      </c>
      <c r="BF2056" s="33" t="s">
        <v>1115</v>
      </c>
      <c r="BG2056" s="21">
        <v>1</v>
      </c>
      <c r="BH2056" s="21">
        <v>0</v>
      </c>
      <c r="BI2056" s="21">
        <v>0</v>
      </c>
      <c r="BJ2056" s="21">
        <v>0</v>
      </c>
      <c r="BK2056" s="21">
        <v>0</v>
      </c>
      <c r="BL2056" s="21">
        <v>0</v>
      </c>
      <c r="BM2056" s="25">
        <v>0</v>
      </c>
      <c r="BN2056" s="19">
        <v>0</v>
      </c>
      <c r="BO2056" s="19">
        <v>0</v>
      </c>
      <c r="BP2056" s="19">
        <v>0</v>
      </c>
      <c r="BQ2056" s="19">
        <v>0</v>
      </c>
      <c r="BR2056" s="19">
        <v>0</v>
      </c>
      <c r="BS2056" s="19">
        <v>0</v>
      </c>
      <c r="BT2056" s="19">
        <v>0</v>
      </c>
      <c r="BU2056" s="23">
        <v>0</v>
      </c>
      <c r="BV2056" s="23"/>
      <c r="BW2056" s="23"/>
      <c r="BX2056" s="23"/>
      <c r="BY2056" s="23"/>
      <c r="BZ2056" s="23"/>
    </row>
    <row r="2057" spans="3:78" ht="20.100000000000001" customHeight="1">
      <c r="C2057" s="32">
        <v>73003304</v>
      </c>
      <c r="D2057" s="71" t="s">
        <v>4598</v>
      </c>
      <c r="E2057" s="71" t="s">
        <v>4599</v>
      </c>
      <c r="F2057" s="74">
        <v>1</v>
      </c>
      <c r="G2057" s="74">
        <v>60010500</v>
      </c>
      <c r="H2057" s="74">
        <v>0</v>
      </c>
      <c r="I2057" s="75">
        <v>0</v>
      </c>
      <c r="J2057" s="74">
        <v>1</v>
      </c>
      <c r="K2057" s="74">
        <v>0</v>
      </c>
      <c r="L2057" s="74">
        <v>0</v>
      </c>
      <c r="M2057" s="74">
        <v>0</v>
      </c>
      <c r="N2057" s="74">
        <v>0</v>
      </c>
      <c r="O2057" s="72">
        <v>2</v>
      </c>
      <c r="P2057" s="74">
        <v>2</v>
      </c>
      <c r="Q2057" s="74">
        <v>0.95</v>
      </c>
      <c r="R2057" s="74">
        <v>0</v>
      </c>
      <c r="S2057" s="73">
        <v>1</v>
      </c>
      <c r="T2057" s="75">
        <v>0</v>
      </c>
      <c r="U2057" s="72">
        <v>1</v>
      </c>
      <c r="V2057" s="74">
        <v>1</v>
      </c>
      <c r="W2057" s="74">
        <v>0</v>
      </c>
      <c r="X2057" s="74">
        <v>2</v>
      </c>
      <c r="Y2057" s="19">
        <v>0</v>
      </c>
      <c r="Z2057" s="74">
        <v>0</v>
      </c>
      <c r="AA2057" s="74">
        <v>0</v>
      </c>
      <c r="AB2057" s="74">
        <v>0</v>
      </c>
      <c r="AC2057" s="74">
        <v>0</v>
      </c>
      <c r="AD2057" s="72">
        <v>0</v>
      </c>
      <c r="AE2057" s="74">
        <v>0</v>
      </c>
      <c r="AF2057" s="74">
        <v>10</v>
      </c>
      <c r="AG2057" s="74">
        <v>0</v>
      </c>
      <c r="AH2057" s="74">
        <v>0</v>
      </c>
      <c r="AI2057" s="73">
        <v>7</v>
      </c>
      <c r="AJ2057" s="73">
        <v>0</v>
      </c>
      <c r="AK2057" s="19">
        <v>0</v>
      </c>
      <c r="AL2057" s="73">
        <v>0</v>
      </c>
      <c r="AM2057" s="74">
        <v>0</v>
      </c>
      <c r="AN2057" s="74">
        <v>0</v>
      </c>
      <c r="AO2057" s="74">
        <v>0</v>
      </c>
      <c r="AP2057" s="74">
        <v>0</v>
      </c>
      <c r="AQ2057" s="74">
        <v>1000</v>
      </c>
      <c r="AR2057" s="74">
        <v>0.5</v>
      </c>
      <c r="AS2057" s="74">
        <v>0</v>
      </c>
      <c r="AT2057" s="73">
        <v>0</v>
      </c>
      <c r="AU2057" s="74">
        <v>83000003</v>
      </c>
      <c r="AV2057" s="74"/>
      <c r="AW2057" s="88" t="s">
        <v>747</v>
      </c>
      <c r="AX2057" s="74">
        <v>0</v>
      </c>
      <c r="AY2057" s="74">
        <v>10007001</v>
      </c>
      <c r="AZ2057" s="74">
        <v>0</v>
      </c>
      <c r="BA2057" s="88" t="s">
        <v>206</v>
      </c>
      <c r="BB2057" s="88" t="s">
        <v>204</v>
      </c>
      <c r="BC2057" s="75">
        <v>0</v>
      </c>
      <c r="BD2057" s="75">
        <v>0</v>
      </c>
      <c r="BE2057" s="89" t="s">
        <v>4588</v>
      </c>
      <c r="BF2057" s="89" t="s">
        <v>4589</v>
      </c>
      <c r="BG2057" s="74">
        <v>0</v>
      </c>
      <c r="BH2057" s="72">
        <v>0</v>
      </c>
      <c r="BI2057" s="74">
        <v>0</v>
      </c>
      <c r="BJ2057" s="74">
        <v>0</v>
      </c>
      <c r="BK2057" s="74">
        <v>0</v>
      </c>
      <c r="BL2057" s="74">
        <v>0</v>
      </c>
      <c r="BM2057" s="90">
        <v>0</v>
      </c>
      <c r="BN2057" s="19">
        <v>0</v>
      </c>
      <c r="BO2057" s="19">
        <v>0</v>
      </c>
      <c r="BP2057" s="19">
        <v>0</v>
      </c>
      <c r="BQ2057" s="19">
        <v>0</v>
      </c>
      <c r="BR2057" s="19">
        <v>0</v>
      </c>
      <c r="BS2057" s="19">
        <v>0</v>
      </c>
      <c r="BT2057" s="19">
        <v>0</v>
      </c>
      <c r="BU2057" s="23">
        <v>0</v>
      </c>
      <c r="BV2057" s="23"/>
      <c r="BW2057" s="23"/>
      <c r="BX2057" s="23"/>
      <c r="BY2057" s="23"/>
      <c r="BZ2057" s="23"/>
    </row>
    <row r="2058" spans="3:78" ht="19.5" customHeight="1">
      <c r="C2058" s="32">
        <v>73003305</v>
      </c>
      <c r="D2058" s="30" t="s">
        <v>1097</v>
      </c>
      <c r="E2058" s="30" t="s">
        <v>1098</v>
      </c>
      <c r="F2058" s="32">
        <v>1</v>
      </c>
      <c r="G2058" s="21">
        <v>60010100</v>
      </c>
      <c r="H2058" s="32">
        <v>0</v>
      </c>
      <c r="I2058" s="31">
        <v>0</v>
      </c>
      <c r="J2058" s="32">
        <v>1</v>
      </c>
      <c r="K2058" s="32">
        <v>0</v>
      </c>
      <c r="L2058" s="32">
        <v>0</v>
      </c>
      <c r="M2058" s="21">
        <v>0</v>
      </c>
      <c r="N2058" s="21">
        <v>0</v>
      </c>
      <c r="O2058" s="72">
        <v>2</v>
      </c>
      <c r="P2058" s="21">
        <v>2</v>
      </c>
      <c r="Q2058" s="21">
        <v>0.9</v>
      </c>
      <c r="R2058" s="21">
        <v>0</v>
      </c>
      <c r="S2058" s="19">
        <v>1</v>
      </c>
      <c r="T2058" s="21">
        <v>0</v>
      </c>
      <c r="U2058" s="21">
        <v>1</v>
      </c>
      <c r="V2058" s="21">
        <v>2</v>
      </c>
      <c r="W2058" s="21">
        <v>0</v>
      </c>
      <c r="X2058" s="21">
        <v>3</v>
      </c>
      <c r="Y2058" s="19">
        <v>0</v>
      </c>
      <c r="Z2058" s="21">
        <v>0</v>
      </c>
      <c r="AA2058" s="21">
        <v>1</v>
      </c>
      <c r="AB2058" s="21">
        <v>0</v>
      </c>
      <c r="AC2058" s="21">
        <v>0</v>
      </c>
      <c r="AD2058" s="21">
        <v>0</v>
      </c>
      <c r="AE2058" s="21">
        <v>0</v>
      </c>
      <c r="AF2058" s="21">
        <v>15</v>
      </c>
      <c r="AG2058" s="21">
        <v>1</v>
      </c>
      <c r="AH2058" s="21" t="s">
        <v>613</v>
      </c>
      <c r="AI2058" s="19">
        <v>0</v>
      </c>
      <c r="AJ2058" s="19">
        <v>1</v>
      </c>
      <c r="AK2058" s="19">
        <v>0</v>
      </c>
      <c r="AL2058" s="19">
        <v>3</v>
      </c>
      <c r="AM2058" s="21">
        <v>0</v>
      </c>
      <c r="AN2058" s="21">
        <v>0</v>
      </c>
      <c r="AO2058" s="21">
        <v>0</v>
      </c>
      <c r="AP2058" s="21">
        <v>3</v>
      </c>
      <c r="AQ2058" s="21">
        <v>5000</v>
      </c>
      <c r="AR2058" s="21">
        <v>2.5</v>
      </c>
      <c r="AS2058" s="21">
        <v>0</v>
      </c>
      <c r="AT2058" s="19">
        <v>0</v>
      </c>
      <c r="AU2058" s="21">
        <v>90001023</v>
      </c>
      <c r="AV2058" s="21"/>
      <c r="AW2058" s="35" t="s">
        <v>262</v>
      </c>
      <c r="AX2058" s="21" t="s">
        <v>540</v>
      </c>
      <c r="AY2058" s="32">
        <v>10000007</v>
      </c>
      <c r="AZ2058" s="32">
        <v>70403003</v>
      </c>
      <c r="BA2058" s="30" t="s">
        <v>206</v>
      </c>
      <c r="BB2058" s="21">
        <v>0</v>
      </c>
      <c r="BC2058" s="31">
        <v>0</v>
      </c>
      <c r="BD2058" s="31">
        <v>0</v>
      </c>
      <c r="BE2058" s="33" t="s">
        <v>4500</v>
      </c>
      <c r="BF2058" s="33" t="s">
        <v>4501</v>
      </c>
      <c r="BG2058" s="21">
        <v>0</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73003306</v>
      </c>
      <c r="D2059" s="35" t="s">
        <v>679</v>
      </c>
      <c r="E2059" s="35" t="s">
        <v>680</v>
      </c>
      <c r="F2059" s="32">
        <v>1</v>
      </c>
      <c r="G2059" s="32">
        <v>60010500</v>
      </c>
      <c r="H2059" s="32">
        <v>0</v>
      </c>
      <c r="I2059" s="31">
        <v>0</v>
      </c>
      <c r="J2059" s="32">
        <v>1</v>
      </c>
      <c r="K2059" s="32">
        <v>0</v>
      </c>
      <c r="L2059" s="32">
        <v>0</v>
      </c>
      <c r="M2059" s="32">
        <v>0</v>
      </c>
      <c r="N2059" s="32">
        <v>0</v>
      </c>
      <c r="O2059" s="72">
        <v>2</v>
      </c>
      <c r="P2059" s="32">
        <v>2</v>
      </c>
      <c r="Q2059" s="32">
        <v>0.6</v>
      </c>
      <c r="R2059" s="32">
        <v>0</v>
      </c>
      <c r="S2059" s="19">
        <v>0</v>
      </c>
      <c r="T2059" s="31">
        <v>0</v>
      </c>
      <c r="U2059" s="21">
        <v>1</v>
      </c>
      <c r="V2059" s="32">
        <v>2</v>
      </c>
      <c r="W2059" s="32">
        <v>0</v>
      </c>
      <c r="X2059" s="32">
        <v>0</v>
      </c>
      <c r="Y2059" s="19">
        <v>0</v>
      </c>
      <c r="Z2059" s="32">
        <v>0</v>
      </c>
      <c r="AA2059" s="32">
        <v>0</v>
      </c>
      <c r="AB2059" s="32">
        <v>0</v>
      </c>
      <c r="AC2059" s="32">
        <v>0</v>
      </c>
      <c r="AD2059" s="32">
        <v>0</v>
      </c>
      <c r="AE2059" s="32">
        <v>0</v>
      </c>
      <c r="AF2059" s="21">
        <v>99999</v>
      </c>
      <c r="AG2059" s="32">
        <v>0</v>
      </c>
      <c r="AH2059" s="32">
        <v>0</v>
      </c>
      <c r="AI2059" s="19">
        <v>2</v>
      </c>
      <c r="AJ2059" s="19">
        <v>0</v>
      </c>
      <c r="AK2059" s="19">
        <v>0</v>
      </c>
      <c r="AL2059" s="19">
        <v>0</v>
      </c>
      <c r="AM2059" s="32">
        <v>0</v>
      </c>
      <c r="AN2059" s="32">
        <v>0</v>
      </c>
      <c r="AO2059" s="32">
        <v>0</v>
      </c>
      <c r="AP2059" s="32">
        <v>0</v>
      </c>
      <c r="AQ2059" s="32">
        <v>1000</v>
      </c>
      <c r="AR2059" s="32">
        <v>0</v>
      </c>
      <c r="AS2059" s="32">
        <v>0</v>
      </c>
      <c r="AT2059" s="19">
        <v>90104002</v>
      </c>
      <c r="AU2059" s="32" t="s">
        <v>204</v>
      </c>
      <c r="AV2059" s="32"/>
      <c r="AW2059" s="35" t="s">
        <v>205</v>
      </c>
      <c r="AX2059" s="32" t="s">
        <v>354</v>
      </c>
      <c r="AY2059" s="32">
        <v>0</v>
      </c>
      <c r="AZ2059" s="32">
        <v>0</v>
      </c>
      <c r="BA2059" s="35" t="s">
        <v>206</v>
      </c>
      <c r="BB2059" s="35" t="s">
        <v>204</v>
      </c>
      <c r="BC2059" s="31">
        <v>0</v>
      </c>
      <c r="BD2059" s="31">
        <v>0</v>
      </c>
      <c r="BE2059" s="60" t="s">
        <v>681</v>
      </c>
      <c r="BF2059" s="60" t="s">
        <v>682</v>
      </c>
      <c r="BG2059" s="32">
        <v>0</v>
      </c>
      <c r="BH2059" s="21">
        <v>0</v>
      </c>
      <c r="BI2059" s="32">
        <v>0</v>
      </c>
      <c r="BJ2059" s="32">
        <v>0</v>
      </c>
      <c r="BK2059" s="32">
        <v>0</v>
      </c>
      <c r="BL2059" s="32">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73003307</v>
      </c>
      <c r="D2060" s="30" t="s">
        <v>4600</v>
      </c>
      <c r="E2060" s="30" t="s">
        <v>4601</v>
      </c>
      <c r="F2060" s="32">
        <v>1</v>
      </c>
      <c r="G2060" s="21">
        <v>0</v>
      </c>
      <c r="H2060" s="32">
        <v>0</v>
      </c>
      <c r="I2060" s="31">
        <v>0</v>
      </c>
      <c r="J2060" s="32">
        <v>1</v>
      </c>
      <c r="K2060" s="32">
        <v>0</v>
      </c>
      <c r="L2060" s="32">
        <v>0</v>
      </c>
      <c r="M2060" s="21">
        <v>0</v>
      </c>
      <c r="N2060" s="21">
        <v>0</v>
      </c>
      <c r="O2060" s="72">
        <v>2</v>
      </c>
      <c r="P2060" s="21">
        <v>1</v>
      </c>
      <c r="Q2060" s="21">
        <v>1</v>
      </c>
      <c r="R2060" s="21">
        <v>0</v>
      </c>
      <c r="S2060" s="19">
        <v>0</v>
      </c>
      <c r="T2060" s="21">
        <v>0</v>
      </c>
      <c r="U2060" s="21">
        <v>1</v>
      </c>
      <c r="V2060" s="21">
        <v>2</v>
      </c>
      <c r="W2060" s="21">
        <v>0</v>
      </c>
      <c r="X2060" s="21">
        <v>1</v>
      </c>
      <c r="Y2060" s="19">
        <v>0</v>
      </c>
      <c r="Z2060" s="21">
        <v>0</v>
      </c>
      <c r="AA2060" s="21">
        <v>1</v>
      </c>
      <c r="AB2060" s="21">
        <v>0</v>
      </c>
      <c r="AC2060" s="21">
        <v>0</v>
      </c>
      <c r="AD2060" s="21">
        <v>0</v>
      </c>
      <c r="AE2060" s="21">
        <v>0</v>
      </c>
      <c r="AF2060" s="21">
        <v>3</v>
      </c>
      <c r="AG2060" s="21">
        <v>1</v>
      </c>
      <c r="AH2060" s="21">
        <v>3</v>
      </c>
      <c r="AI2060" s="19">
        <v>0</v>
      </c>
      <c r="AJ2060" s="19">
        <v>0</v>
      </c>
      <c r="AK2060" s="19">
        <v>0</v>
      </c>
      <c r="AL2060" s="19">
        <v>1.5</v>
      </c>
      <c r="AM2060" s="21">
        <v>0</v>
      </c>
      <c r="AN2060" s="21">
        <v>0</v>
      </c>
      <c r="AO2060" s="21">
        <v>0</v>
      </c>
      <c r="AP2060" s="21">
        <v>1</v>
      </c>
      <c r="AQ2060" s="21">
        <v>1500</v>
      </c>
      <c r="AR2060" s="21">
        <v>0.5</v>
      </c>
      <c r="AS2060" s="21">
        <v>0</v>
      </c>
      <c r="AT2060" s="19">
        <v>0</v>
      </c>
      <c r="AU2060" s="21">
        <v>83000002</v>
      </c>
      <c r="AV2060" s="21"/>
      <c r="AW2060" s="35" t="s">
        <v>205</v>
      </c>
      <c r="AX2060" s="21" t="s">
        <v>540</v>
      </c>
      <c r="AY2060" s="32">
        <v>10000007</v>
      </c>
      <c r="AZ2060" s="32">
        <v>70105001</v>
      </c>
      <c r="BA2060" s="30" t="s">
        <v>206</v>
      </c>
      <c r="BB2060" s="21" t="s">
        <v>4418</v>
      </c>
      <c r="BC2060" s="31">
        <v>0</v>
      </c>
      <c r="BD2060" s="31">
        <v>0</v>
      </c>
      <c r="BE2060" s="33" t="s">
        <v>4419</v>
      </c>
      <c r="BF2060" s="33" t="s">
        <v>4420</v>
      </c>
      <c r="BG2060" s="21">
        <v>0</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73003308</v>
      </c>
      <c r="D2061" s="30" t="s">
        <v>1330</v>
      </c>
      <c r="E2061" s="30" t="s">
        <v>1331</v>
      </c>
      <c r="F2061" s="32">
        <v>1</v>
      </c>
      <c r="G2061" s="21">
        <v>60010100</v>
      </c>
      <c r="H2061" s="32">
        <v>0</v>
      </c>
      <c r="I2061" s="31">
        <v>0</v>
      </c>
      <c r="J2061" s="32">
        <v>1</v>
      </c>
      <c r="K2061" s="32">
        <v>0</v>
      </c>
      <c r="L2061" s="32">
        <v>0</v>
      </c>
      <c r="M2061" s="21">
        <v>0</v>
      </c>
      <c r="N2061" s="21">
        <v>0</v>
      </c>
      <c r="O2061" s="72">
        <v>2</v>
      </c>
      <c r="P2061" s="21">
        <v>1</v>
      </c>
      <c r="Q2061" s="21">
        <v>1</v>
      </c>
      <c r="R2061" s="21">
        <v>0</v>
      </c>
      <c r="S2061" s="19">
        <v>0</v>
      </c>
      <c r="T2061" s="21">
        <v>0</v>
      </c>
      <c r="U2061" s="21">
        <v>1</v>
      </c>
      <c r="V2061" s="21">
        <v>2</v>
      </c>
      <c r="W2061" s="21">
        <v>0</v>
      </c>
      <c r="X2061" s="21">
        <v>2</v>
      </c>
      <c r="Y2061" s="19">
        <v>0</v>
      </c>
      <c r="Z2061" s="21">
        <v>0</v>
      </c>
      <c r="AA2061" s="21">
        <v>1</v>
      </c>
      <c r="AB2061" s="21">
        <v>0</v>
      </c>
      <c r="AC2061" s="21">
        <v>0</v>
      </c>
      <c r="AD2061" s="21">
        <v>0</v>
      </c>
      <c r="AE2061" s="21">
        <v>0</v>
      </c>
      <c r="AF2061" s="21">
        <v>10</v>
      </c>
      <c r="AG2061" s="21">
        <v>2</v>
      </c>
      <c r="AH2061" s="21" t="s">
        <v>219</v>
      </c>
      <c r="AI2061" s="19">
        <v>0</v>
      </c>
      <c r="AJ2061" s="19">
        <v>2</v>
      </c>
      <c r="AK2061" s="19">
        <v>0</v>
      </c>
      <c r="AL2061" s="19">
        <v>1.5</v>
      </c>
      <c r="AM2061" s="21">
        <v>0</v>
      </c>
      <c r="AN2061" s="21">
        <v>0</v>
      </c>
      <c r="AO2061" s="21">
        <v>0</v>
      </c>
      <c r="AP2061" s="21">
        <v>1.5</v>
      </c>
      <c r="AQ2061" s="21">
        <v>10000</v>
      </c>
      <c r="AR2061" s="21">
        <v>1</v>
      </c>
      <c r="AS2061" s="21">
        <v>5</v>
      </c>
      <c r="AT2061" s="19">
        <v>0</v>
      </c>
      <c r="AU2061" s="21" t="s">
        <v>204</v>
      </c>
      <c r="AV2061" s="21"/>
      <c r="AW2061" s="35" t="s">
        <v>623</v>
      </c>
      <c r="AX2061" s="21" t="s">
        <v>540</v>
      </c>
      <c r="AY2061" s="32">
        <v>10000007</v>
      </c>
      <c r="AZ2061" s="32">
        <v>70302003</v>
      </c>
      <c r="BA2061" s="35" t="s">
        <v>592</v>
      </c>
      <c r="BB2061" s="31" t="s">
        <v>4602</v>
      </c>
      <c r="BC2061" s="31">
        <v>0</v>
      </c>
      <c r="BD2061" s="31">
        <v>0</v>
      </c>
      <c r="BE2061" s="33" t="s">
        <v>1114</v>
      </c>
      <c r="BF2061" s="33" t="s">
        <v>1115</v>
      </c>
      <c r="BG2061" s="21">
        <v>1</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73004101</v>
      </c>
      <c r="D2062" s="30" t="s">
        <v>750</v>
      </c>
      <c r="E2062" s="30" t="s">
        <v>751</v>
      </c>
      <c r="F2062" s="32">
        <v>1</v>
      </c>
      <c r="G2062" s="32">
        <v>60010500</v>
      </c>
      <c r="H2062" s="32">
        <v>0</v>
      </c>
      <c r="I2062" s="31">
        <v>0</v>
      </c>
      <c r="J2062" s="32">
        <v>1</v>
      </c>
      <c r="K2062" s="32">
        <v>0</v>
      </c>
      <c r="L2062" s="32">
        <v>0</v>
      </c>
      <c r="M2062" s="32">
        <v>0</v>
      </c>
      <c r="N2062" s="32">
        <v>0</v>
      </c>
      <c r="O2062" s="72">
        <v>2</v>
      </c>
      <c r="P2062" s="32">
        <v>2</v>
      </c>
      <c r="Q2062" s="32">
        <v>0.95</v>
      </c>
      <c r="R2062" s="32">
        <v>0</v>
      </c>
      <c r="S2062" s="19">
        <v>0</v>
      </c>
      <c r="T2062" s="31">
        <v>0</v>
      </c>
      <c r="U2062" s="21">
        <v>1</v>
      </c>
      <c r="V2062" s="32">
        <v>1</v>
      </c>
      <c r="W2062" s="32">
        <v>0</v>
      </c>
      <c r="X2062" s="32">
        <v>3</v>
      </c>
      <c r="Y2062" s="19">
        <v>0</v>
      </c>
      <c r="Z2062" s="32">
        <v>0</v>
      </c>
      <c r="AA2062" s="32">
        <v>0</v>
      </c>
      <c r="AB2062" s="32">
        <v>0</v>
      </c>
      <c r="AC2062" s="32">
        <v>0</v>
      </c>
      <c r="AD2062" s="21">
        <v>0</v>
      </c>
      <c r="AE2062" s="32">
        <v>0</v>
      </c>
      <c r="AF2062" s="32">
        <v>10</v>
      </c>
      <c r="AG2062" s="32">
        <v>0</v>
      </c>
      <c r="AH2062" s="32">
        <v>0</v>
      </c>
      <c r="AI2062" s="19">
        <v>7</v>
      </c>
      <c r="AJ2062" s="19">
        <v>0</v>
      </c>
      <c r="AK2062" s="19">
        <v>0</v>
      </c>
      <c r="AL2062" s="19">
        <v>0</v>
      </c>
      <c r="AM2062" s="32">
        <v>0</v>
      </c>
      <c r="AN2062" s="32">
        <v>0</v>
      </c>
      <c r="AO2062" s="32">
        <v>0</v>
      </c>
      <c r="AP2062" s="32">
        <v>0</v>
      </c>
      <c r="AQ2062" s="32">
        <v>1000</v>
      </c>
      <c r="AR2062" s="32">
        <v>0.5</v>
      </c>
      <c r="AS2062" s="32">
        <v>0</v>
      </c>
      <c r="AT2062" s="19">
        <v>0</v>
      </c>
      <c r="AU2062" s="32">
        <v>0</v>
      </c>
      <c r="AV2062" s="32"/>
      <c r="AW2062" s="35" t="s">
        <v>747</v>
      </c>
      <c r="AX2062" s="32">
        <v>0</v>
      </c>
      <c r="AY2062" s="32">
        <v>10007001</v>
      </c>
      <c r="AZ2062" s="32">
        <v>0</v>
      </c>
      <c r="BA2062" s="35" t="s">
        <v>206</v>
      </c>
      <c r="BB2062" s="35" t="s">
        <v>204</v>
      </c>
      <c r="BC2062" s="31">
        <v>0</v>
      </c>
      <c r="BD2062" s="31">
        <v>0</v>
      </c>
      <c r="BE2062" s="60" t="s">
        <v>4603</v>
      </c>
      <c r="BF2062" s="60" t="s">
        <v>4604</v>
      </c>
      <c r="BG2062" s="32">
        <v>0</v>
      </c>
      <c r="BH2062" s="21">
        <v>0</v>
      </c>
      <c r="BI2062" s="32">
        <v>0</v>
      </c>
      <c r="BJ2062" s="32">
        <v>0</v>
      </c>
      <c r="BK2062" s="32">
        <v>0</v>
      </c>
      <c r="BL2062" s="32">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73004102</v>
      </c>
      <c r="D2063" s="30" t="s">
        <v>606</v>
      </c>
      <c r="E2063" s="30" t="s">
        <v>607</v>
      </c>
      <c r="F2063" s="32">
        <v>1</v>
      </c>
      <c r="G2063" s="21">
        <v>60010300</v>
      </c>
      <c r="H2063" s="32">
        <v>0</v>
      </c>
      <c r="I2063" s="31">
        <v>0</v>
      </c>
      <c r="J2063" s="32">
        <v>1</v>
      </c>
      <c r="K2063" s="32">
        <v>0</v>
      </c>
      <c r="L2063" s="32">
        <v>0</v>
      </c>
      <c r="M2063" s="21">
        <v>0</v>
      </c>
      <c r="N2063" s="21">
        <v>0</v>
      </c>
      <c r="O2063" s="72">
        <v>2</v>
      </c>
      <c r="P2063" s="21">
        <v>2</v>
      </c>
      <c r="Q2063" s="21">
        <v>0.9</v>
      </c>
      <c r="R2063" s="21">
        <v>0</v>
      </c>
      <c r="S2063" s="19">
        <v>0</v>
      </c>
      <c r="T2063" s="21">
        <v>0</v>
      </c>
      <c r="U2063" s="21">
        <v>1</v>
      </c>
      <c r="V2063" s="21">
        <v>2</v>
      </c>
      <c r="W2063" s="21">
        <v>0</v>
      </c>
      <c r="X2063" s="21">
        <v>0</v>
      </c>
      <c r="Y2063" s="19">
        <v>0</v>
      </c>
      <c r="Z2063" s="21">
        <v>0</v>
      </c>
      <c r="AA2063" s="21">
        <v>0</v>
      </c>
      <c r="AB2063" s="21">
        <v>0</v>
      </c>
      <c r="AC2063" s="21">
        <v>0</v>
      </c>
      <c r="AD2063" s="21">
        <v>0</v>
      </c>
      <c r="AE2063" s="21">
        <v>0</v>
      </c>
      <c r="AF2063" s="21">
        <v>30</v>
      </c>
      <c r="AG2063" s="21">
        <v>0</v>
      </c>
      <c r="AH2063" s="21">
        <v>0</v>
      </c>
      <c r="AI2063" s="19">
        <v>2</v>
      </c>
      <c r="AJ2063" s="19">
        <v>2</v>
      </c>
      <c r="AK2063" s="19">
        <v>0</v>
      </c>
      <c r="AL2063" s="19">
        <v>1.5</v>
      </c>
      <c r="AM2063" s="21">
        <v>0</v>
      </c>
      <c r="AN2063" s="21">
        <v>0</v>
      </c>
      <c r="AO2063" s="21">
        <v>0</v>
      </c>
      <c r="AP2063" s="21">
        <v>1</v>
      </c>
      <c r="AQ2063" s="21">
        <v>3000</v>
      </c>
      <c r="AR2063" s="21">
        <v>0.5</v>
      </c>
      <c r="AS2063" s="21">
        <v>0</v>
      </c>
      <c r="AT2063" s="19">
        <v>0</v>
      </c>
      <c r="AU2063" s="21" t="s">
        <v>204</v>
      </c>
      <c r="AV2063" s="21"/>
      <c r="AW2063" s="35" t="s">
        <v>205</v>
      </c>
      <c r="AX2063" s="21" t="s">
        <v>551</v>
      </c>
      <c r="AY2063" s="32">
        <v>0</v>
      </c>
      <c r="AZ2063" s="32">
        <v>0</v>
      </c>
      <c r="BA2063" s="30" t="s">
        <v>534</v>
      </c>
      <c r="BB2063" s="21" t="s">
        <v>4605</v>
      </c>
      <c r="BC2063" s="31">
        <v>0</v>
      </c>
      <c r="BD2063" s="31">
        <v>0</v>
      </c>
      <c r="BE2063" s="33" t="s">
        <v>4606</v>
      </c>
      <c r="BF2063" s="33" t="s">
        <v>4607</v>
      </c>
      <c r="BG2063" s="21">
        <v>0</v>
      </c>
      <c r="BH2063" s="21">
        <v>0</v>
      </c>
      <c r="BI2063" s="21">
        <v>0</v>
      </c>
      <c r="BJ2063" s="21">
        <v>0</v>
      </c>
      <c r="BK2063" s="21">
        <v>0</v>
      </c>
      <c r="BL2063" s="21">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20.100000000000001" customHeight="1">
      <c r="C2064" s="32">
        <v>73004103</v>
      </c>
      <c r="D2064" s="30" t="s">
        <v>1330</v>
      </c>
      <c r="E2064" s="30" t="s">
        <v>1331</v>
      </c>
      <c r="F2064" s="32">
        <v>1</v>
      </c>
      <c r="G2064" s="21">
        <v>60010100</v>
      </c>
      <c r="H2064" s="32">
        <v>0</v>
      </c>
      <c r="I2064" s="31">
        <v>0</v>
      </c>
      <c r="J2064" s="32">
        <v>1</v>
      </c>
      <c r="K2064" s="32">
        <v>0</v>
      </c>
      <c r="L2064" s="32">
        <v>0</v>
      </c>
      <c r="M2064" s="21">
        <v>0</v>
      </c>
      <c r="N2064" s="21">
        <v>0</v>
      </c>
      <c r="O2064" s="72">
        <v>2</v>
      </c>
      <c r="P2064" s="21">
        <v>1</v>
      </c>
      <c r="Q2064" s="21">
        <v>1</v>
      </c>
      <c r="R2064" s="21">
        <v>0</v>
      </c>
      <c r="S2064" s="19">
        <v>0</v>
      </c>
      <c r="T2064" s="21">
        <v>0</v>
      </c>
      <c r="U2064" s="21">
        <v>1</v>
      </c>
      <c r="V2064" s="21">
        <v>2</v>
      </c>
      <c r="W2064" s="21">
        <v>0</v>
      </c>
      <c r="X2064" s="21">
        <v>2</v>
      </c>
      <c r="Y2064" s="19">
        <v>0</v>
      </c>
      <c r="Z2064" s="21">
        <v>0</v>
      </c>
      <c r="AA2064" s="21">
        <v>1</v>
      </c>
      <c r="AB2064" s="21">
        <v>0</v>
      </c>
      <c r="AC2064" s="21">
        <v>0</v>
      </c>
      <c r="AD2064" s="21">
        <v>0</v>
      </c>
      <c r="AE2064" s="21">
        <v>0</v>
      </c>
      <c r="AF2064" s="21">
        <v>10</v>
      </c>
      <c r="AG2064" s="21">
        <v>2</v>
      </c>
      <c r="AH2064" s="21" t="s">
        <v>219</v>
      </c>
      <c r="AI2064" s="19">
        <v>0</v>
      </c>
      <c r="AJ2064" s="19">
        <v>2</v>
      </c>
      <c r="AK2064" s="19">
        <v>0</v>
      </c>
      <c r="AL2064" s="19">
        <v>1.5</v>
      </c>
      <c r="AM2064" s="21">
        <v>0</v>
      </c>
      <c r="AN2064" s="21">
        <v>0</v>
      </c>
      <c r="AO2064" s="21">
        <v>0</v>
      </c>
      <c r="AP2064" s="21">
        <v>1.5</v>
      </c>
      <c r="AQ2064" s="21">
        <v>10000</v>
      </c>
      <c r="AR2064" s="21">
        <v>1</v>
      </c>
      <c r="AS2064" s="21">
        <v>5</v>
      </c>
      <c r="AT2064" s="19">
        <v>0</v>
      </c>
      <c r="AU2064" s="21" t="s">
        <v>204</v>
      </c>
      <c r="AV2064" s="21"/>
      <c r="AW2064" s="35" t="s">
        <v>623</v>
      </c>
      <c r="AX2064" s="21" t="s">
        <v>540</v>
      </c>
      <c r="AY2064" s="32">
        <v>10000007</v>
      </c>
      <c r="AZ2064" s="32">
        <v>70302003</v>
      </c>
      <c r="BA2064" s="35" t="s">
        <v>592</v>
      </c>
      <c r="BB2064" s="31">
        <v>0</v>
      </c>
      <c r="BC2064" s="31">
        <v>0</v>
      </c>
      <c r="BD2064" s="31">
        <v>0</v>
      </c>
      <c r="BE2064" s="33" t="s">
        <v>1114</v>
      </c>
      <c r="BF2064" s="33" t="s">
        <v>1115</v>
      </c>
      <c r="BG2064" s="21">
        <v>1</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20.100000000000001" customHeight="1">
      <c r="C2065" s="32">
        <v>73004201</v>
      </c>
      <c r="D2065" s="30" t="s">
        <v>671</v>
      </c>
      <c r="E2065" s="30" t="s">
        <v>612</v>
      </c>
      <c r="F2065" s="21">
        <v>1</v>
      </c>
      <c r="G2065" s="21">
        <v>60010100</v>
      </c>
      <c r="H2065" s="32">
        <v>0</v>
      </c>
      <c r="I2065" s="31">
        <v>0</v>
      </c>
      <c r="J2065" s="32">
        <v>1</v>
      </c>
      <c r="K2065" s="32">
        <v>0</v>
      </c>
      <c r="L2065" s="32">
        <v>0</v>
      </c>
      <c r="M2065" s="21">
        <v>0</v>
      </c>
      <c r="N2065" s="21">
        <v>0</v>
      </c>
      <c r="O2065" s="72">
        <v>2</v>
      </c>
      <c r="P2065" s="21">
        <v>1</v>
      </c>
      <c r="Q2065" s="21">
        <v>0.3</v>
      </c>
      <c r="R2065" s="21">
        <v>0</v>
      </c>
      <c r="S2065" s="19">
        <v>101</v>
      </c>
      <c r="T2065" s="21">
        <v>0</v>
      </c>
      <c r="U2065" s="21">
        <v>1</v>
      </c>
      <c r="V2065" s="21">
        <v>2</v>
      </c>
      <c r="W2065" s="21">
        <v>0</v>
      </c>
      <c r="X2065" s="21">
        <v>3</v>
      </c>
      <c r="Y2065" s="19">
        <v>0</v>
      </c>
      <c r="Z2065" s="21">
        <v>0</v>
      </c>
      <c r="AA2065" s="21">
        <v>0</v>
      </c>
      <c r="AB2065" s="21">
        <v>0</v>
      </c>
      <c r="AC2065" s="21">
        <v>0</v>
      </c>
      <c r="AD2065" s="21">
        <v>0</v>
      </c>
      <c r="AE2065" s="21">
        <v>0</v>
      </c>
      <c r="AF2065" s="21">
        <v>12</v>
      </c>
      <c r="AG2065" s="21">
        <v>1</v>
      </c>
      <c r="AH2065" s="21">
        <v>3</v>
      </c>
      <c r="AI2065" s="19">
        <v>6</v>
      </c>
      <c r="AJ2065" s="19">
        <v>1</v>
      </c>
      <c r="AK2065" s="19">
        <v>0</v>
      </c>
      <c r="AL2065" s="19">
        <v>1.5</v>
      </c>
      <c r="AM2065" s="21">
        <v>0</v>
      </c>
      <c r="AN2065" s="21">
        <v>0</v>
      </c>
      <c r="AO2065" s="21">
        <v>0</v>
      </c>
      <c r="AP2065" s="21">
        <v>3</v>
      </c>
      <c r="AQ2065" s="21">
        <v>5000</v>
      </c>
      <c r="AR2065" s="21">
        <v>3</v>
      </c>
      <c r="AS2065" s="21">
        <v>0</v>
      </c>
      <c r="AT2065" s="19">
        <v>0</v>
      </c>
      <c r="AU2065" s="21" t="s">
        <v>204</v>
      </c>
      <c r="AV2065" s="21"/>
      <c r="AW2065" s="35" t="s">
        <v>262</v>
      </c>
      <c r="AX2065" s="21" t="s">
        <v>540</v>
      </c>
      <c r="AY2065" s="32">
        <v>10000007</v>
      </c>
      <c r="AZ2065" s="32">
        <v>70103003</v>
      </c>
      <c r="BA2065" s="30" t="s">
        <v>206</v>
      </c>
      <c r="BB2065" s="21" t="s">
        <v>4608</v>
      </c>
      <c r="BC2065" s="31">
        <v>0</v>
      </c>
      <c r="BD2065" s="31">
        <v>0</v>
      </c>
      <c r="BE2065" s="33" t="s">
        <v>673</v>
      </c>
      <c r="BF2065" s="33" t="s">
        <v>674</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20.100000000000001" customHeight="1">
      <c r="C2066" s="32">
        <v>73004202</v>
      </c>
      <c r="D2066" s="30" t="s">
        <v>750</v>
      </c>
      <c r="E2066" s="30" t="s">
        <v>751</v>
      </c>
      <c r="F2066" s="32">
        <v>1</v>
      </c>
      <c r="G2066" s="32">
        <v>60010500</v>
      </c>
      <c r="H2066" s="32">
        <v>0</v>
      </c>
      <c r="I2066" s="31">
        <v>0</v>
      </c>
      <c r="J2066" s="32">
        <v>1</v>
      </c>
      <c r="K2066" s="32">
        <v>0</v>
      </c>
      <c r="L2066" s="32">
        <v>0</v>
      </c>
      <c r="M2066" s="32">
        <v>0</v>
      </c>
      <c r="N2066" s="32">
        <v>0</v>
      </c>
      <c r="O2066" s="72">
        <v>2</v>
      </c>
      <c r="P2066" s="32">
        <v>2</v>
      </c>
      <c r="Q2066" s="32">
        <v>0.95</v>
      </c>
      <c r="R2066" s="32">
        <v>0</v>
      </c>
      <c r="S2066" s="19">
        <v>0</v>
      </c>
      <c r="T2066" s="31">
        <v>0</v>
      </c>
      <c r="U2066" s="21">
        <v>1</v>
      </c>
      <c r="V2066" s="32">
        <v>1</v>
      </c>
      <c r="W2066" s="32">
        <v>0</v>
      </c>
      <c r="X2066" s="32">
        <v>3</v>
      </c>
      <c r="Y2066" s="19">
        <v>0</v>
      </c>
      <c r="Z2066" s="32">
        <v>0</v>
      </c>
      <c r="AA2066" s="32">
        <v>0</v>
      </c>
      <c r="AB2066" s="32">
        <v>0</v>
      </c>
      <c r="AC2066" s="32">
        <v>0</v>
      </c>
      <c r="AD2066" s="21">
        <v>0</v>
      </c>
      <c r="AE2066" s="32">
        <v>0</v>
      </c>
      <c r="AF2066" s="32">
        <v>10</v>
      </c>
      <c r="AG2066" s="32">
        <v>0</v>
      </c>
      <c r="AH2066" s="32">
        <v>0</v>
      </c>
      <c r="AI2066" s="19">
        <v>7</v>
      </c>
      <c r="AJ2066" s="19">
        <v>0</v>
      </c>
      <c r="AK2066" s="19">
        <v>0</v>
      </c>
      <c r="AL2066" s="19">
        <v>0</v>
      </c>
      <c r="AM2066" s="32">
        <v>0</v>
      </c>
      <c r="AN2066" s="32">
        <v>0</v>
      </c>
      <c r="AO2066" s="32">
        <v>0</v>
      </c>
      <c r="AP2066" s="32">
        <v>0</v>
      </c>
      <c r="AQ2066" s="32">
        <v>1000</v>
      </c>
      <c r="AR2066" s="32">
        <v>0.5</v>
      </c>
      <c r="AS2066" s="32">
        <v>0</v>
      </c>
      <c r="AT2066" s="19">
        <v>0</v>
      </c>
      <c r="AU2066" s="32">
        <v>0</v>
      </c>
      <c r="AV2066" s="32"/>
      <c r="AW2066" s="35" t="s">
        <v>747</v>
      </c>
      <c r="AX2066" s="32">
        <v>0</v>
      </c>
      <c r="AY2066" s="32">
        <v>10007001</v>
      </c>
      <c r="AZ2066" s="32">
        <v>0</v>
      </c>
      <c r="BA2066" s="35" t="s">
        <v>206</v>
      </c>
      <c r="BB2066" s="35" t="s">
        <v>204</v>
      </c>
      <c r="BC2066" s="31">
        <v>0</v>
      </c>
      <c r="BD2066" s="31">
        <v>0</v>
      </c>
      <c r="BE2066" s="60" t="s">
        <v>4603</v>
      </c>
      <c r="BF2066" s="60" t="s">
        <v>4604</v>
      </c>
      <c r="BG2066" s="32">
        <v>0</v>
      </c>
      <c r="BH2066" s="21">
        <v>0</v>
      </c>
      <c r="BI2066" s="32">
        <v>0</v>
      </c>
      <c r="BJ2066" s="32">
        <v>0</v>
      </c>
      <c r="BK2066" s="32">
        <v>0</v>
      </c>
      <c r="BL2066" s="32">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19.5" customHeight="1">
      <c r="C2067" s="32">
        <v>73004203</v>
      </c>
      <c r="D2067" s="30" t="s">
        <v>1097</v>
      </c>
      <c r="E2067" s="30" t="s">
        <v>1098</v>
      </c>
      <c r="F2067" s="32">
        <v>1</v>
      </c>
      <c r="G2067" s="21">
        <v>60010100</v>
      </c>
      <c r="H2067" s="32">
        <v>0</v>
      </c>
      <c r="I2067" s="31">
        <v>0</v>
      </c>
      <c r="J2067" s="32">
        <v>1</v>
      </c>
      <c r="K2067" s="32">
        <v>0</v>
      </c>
      <c r="L2067" s="32">
        <v>0</v>
      </c>
      <c r="M2067" s="21">
        <v>0</v>
      </c>
      <c r="N2067" s="21">
        <v>0</v>
      </c>
      <c r="O2067" s="72">
        <v>2</v>
      </c>
      <c r="P2067" s="21">
        <v>2</v>
      </c>
      <c r="Q2067" s="21">
        <v>0.9</v>
      </c>
      <c r="R2067" s="21">
        <v>0</v>
      </c>
      <c r="S2067" s="19">
        <v>101</v>
      </c>
      <c r="T2067" s="21">
        <v>0</v>
      </c>
      <c r="U2067" s="21">
        <v>1</v>
      </c>
      <c r="V2067" s="21">
        <v>2</v>
      </c>
      <c r="W2067" s="21">
        <v>0</v>
      </c>
      <c r="X2067" s="21">
        <v>3</v>
      </c>
      <c r="Y2067" s="19">
        <v>0</v>
      </c>
      <c r="Z2067" s="21">
        <v>0</v>
      </c>
      <c r="AA2067" s="21">
        <v>1</v>
      </c>
      <c r="AB2067" s="21">
        <v>0</v>
      </c>
      <c r="AC2067" s="21">
        <v>0</v>
      </c>
      <c r="AD2067" s="21">
        <v>0</v>
      </c>
      <c r="AE2067" s="21">
        <v>0</v>
      </c>
      <c r="AF2067" s="21">
        <v>15</v>
      </c>
      <c r="AG2067" s="21">
        <v>1</v>
      </c>
      <c r="AH2067" s="21" t="s">
        <v>613</v>
      </c>
      <c r="AI2067" s="19">
        <v>1</v>
      </c>
      <c r="AJ2067" s="19">
        <v>1</v>
      </c>
      <c r="AK2067" s="19">
        <v>0</v>
      </c>
      <c r="AL2067" s="19">
        <v>3</v>
      </c>
      <c r="AM2067" s="21">
        <v>0</v>
      </c>
      <c r="AN2067" s="21">
        <v>0</v>
      </c>
      <c r="AO2067" s="21">
        <v>0</v>
      </c>
      <c r="AP2067" s="21">
        <v>3</v>
      </c>
      <c r="AQ2067" s="21">
        <v>5000</v>
      </c>
      <c r="AR2067" s="21">
        <v>2.5</v>
      </c>
      <c r="AS2067" s="21">
        <v>0</v>
      </c>
      <c r="AT2067" s="19">
        <v>0</v>
      </c>
      <c r="AU2067" s="21" t="s">
        <v>665</v>
      </c>
      <c r="AV2067" s="21"/>
      <c r="AW2067" s="35" t="s">
        <v>262</v>
      </c>
      <c r="AX2067" s="21" t="s">
        <v>540</v>
      </c>
      <c r="AY2067" s="32">
        <v>10000007</v>
      </c>
      <c r="AZ2067" s="32">
        <v>70403003</v>
      </c>
      <c r="BA2067" s="30" t="s">
        <v>206</v>
      </c>
      <c r="BB2067" s="21">
        <v>0</v>
      </c>
      <c r="BC2067" s="31">
        <v>0</v>
      </c>
      <c r="BD2067" s="31">
        <v>0</v>
      </c>
      <c r="BE2067" s="33" t="s">
        <v>4500</v>
      </c>
      <c r="BF2067" s="33" t="s">
        <v>4501</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19.5" customHeight="1">
      <c r="C2068" s="32">
        <v>73004204</v>
      </c>
      <c r="D2068" s="30" t="s">
        <v>1130</v>
      </c>
      <c r="E2068" s="30" t="s">
        <v>1131</v>
      </c>
      <c r="F2068" s="32">
        <v>1</v>
      </c>
      <c r="G2068" s="21">
        <v>60010100</v>
      </c>
      <c r="H2068" s="32">
        <v>0</v>
      </c>
      <c r="I2068" s="31">
        <v>0</v>
      </c>
      <c r="J2068" s="32">
        <v>1</v>
      </c>
      <c r="K2068" s="32">
        <v>0</v>
      </c>
      <c r="L2068" s="32">
        <v>0</v>
      </c>
      <c r="M2068" s="21">
        <v>0</v>
      </c>
      <c r="N2068" s="21">
        <v>0</v>
      </c>
      <c r="O2068" s="72">
        <v>2</v>
      </c>
      <c r="P2068" s="21">
        <v>1</v>
      </c>
      <c r="Q2068" s="21">
        <v>0.3</v>
      </c>
      <c r="R2068" s="21">
        <v>0</v>
      </c>
      <c r="S2068" s="19">
        <v>101</v>
      </c>
      <c r="T2068" s="21">
        <v>0</v>
      </c>
      <c r="U2068" s="21">
        <v>1</v>
      </c>
      <c r="V2068" s="21">
        <v>2</v>
      </c>
      <c r="W2068" s="21">
        <v>0</v>
      </c>
      <c r="X2068" s="21">
        <v>1</v>
      </c>
      <c r="Y2068" s="19">
        <v>0</v>
      </c>
      <c r="Z2068" s="21">
        <v>0</v>
      </c>
      <c r="AA2068" s="21">
        <v>1</v>
      </c>
      <c r="AB2068" s="21">
        <v>0</v>
      </c>
      <c r="AC2068" s="21">
        <v>0</v>
      </c>
      <c r="AD2068" s="21">
        <v>0</v>
      </c>
      <c r="AE2068" s="21">
        <v>0</v>
      </c>
      <c r="AF2068" s="21">
        <v>30</v>
      </c>
      <c r="AG2068" s="21">
        <v>1</v>
      </c>
      <c r="AH2068" s="21" t="s">
        <v>867</v>
      </c>
      <c r="AI2068" s="19">
        <v>0</v>
      </c>
      <c r="AJ2068" s="19">
        <v>0</v>
      </c>
      <c r="AK2068" s="19">
        <v>0</v>
      </c>
      <c r="AL2068" s="19">
        <v>0</v>
      </c>
      <c r="AM2068" s="21">
        <v>0</v>
      </c>
      <c r="AN2068" s="21">
        <v>0</v>
      </c>
      <c r="AO2068" s="21">
        <v>0</v>
      </c>
      <c r="AP2068" s="21">
        <v>0.5</v>
      </c>
      <c r="AQ2068" s="21">
        <v>999999</v>
      </c>
      <c r="AR2068" s="21">
        <v>0.5</v>
      </c>
      <c r="AS2068" s="21">
        <v>0</v>
      </c>
      <c r="AT2068" s="19">
        <v>0</v>
      </c>
      <c r="AU2068" s="329" t="s">
        <v>1025</v>
      </c>
      <c r="AV2068" s="19"/>
      <c r="AW2068" s="35" t="s">
        <v>293</v>
      </c>
      <c r="AX2068" s="21" t="s">
        <v>540</v>
      </c>
      <c r="AY2068" s="32">
        <v>10000007</v>
      </c>
      <c r="AZ2068" s="32">
        <v>70202004</v>
      </c>
      <c r="BA2068" s="35" t="s">
        <v>321</v>
      </c>
      <c r="BB2068" s="35" t="s">
        <v>377</v>
      </c>
      <c r="BC2068" s="31">
        <v>0</v>
      </c>
      <c r="BD2068" s="31">
        <v>0</v>
      </c>
      <c r="BE2068" s="33" t="s">
        <v>4580</v>
      </c>
      <c r="BF2068" s="33" t="s">
        <v>4581</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73004301</v>
      </c>
      <c r="D2069" s="30" t="s">
        <v>4609</v>
      </c>
      <c r="E2069" s="30" t="s">
        <v>4610</v>
      </c>
      <c r="F2069" s="32">
        <v>1</v>
      </c>
      <c r="G2069" s="21">
        <v>60010100</v>
      </c>
      <c r="H2069" s="32">
        <v>0</v>
      </c>
      <c r="I2069" s="31">
        <v>0</v>
      </c>
      <c r="J2069" s="32">
        <v>1</v>
      </c>
      <c r="K2069" s="32">
        <v>0</v>
      </c>
      <c r="L2069" s="32">
        <v>0</v>
      </c>
      <c r="M2069" s="21">
        <v>0</v>
      </c>
      <c r="N2069" s="21">
        <v>0</v>
      </c>
      <c r="O2069" s="72">
        <v>2</v>
      </c>
      <c r="P2069" s="21">
        <v>1</v>
      </c>
      <c r="Q2069" s="21">
        <v>1</v>
      </c>
      <c r="R2069" s="21">
        <v>0</v>
      </c>
      <c r="S2069" s="19">
        <v>0</v>
      </c>
      <c r="T2069" s="21">
        <v>0</v>
      </c>
      <c r="U2069" s="21">
        <v>1</v>
      </c>
      <c r="V2069" s="21">
        <v>2</v>
      </c>
      <c r="W2069" s="21">
        <v>0</v>
      </c>
      <c r="X2069" s="21">
        <v>2</v>
      </c>
      <c r="Y2069" s="19">
        <v>0</v>
      </c>
      <c r="Z2069" s="21">
        <v>0</v>
      </c>
      <c r="AA2069" s="21">
        <v>1</v>
      </c>
      <c r="AB2069" s="21">
        <v>0</v>
      </c>
      <c r="AC2069" s="21">
        <v>0</v>
      </c>
      <c r="AD2069" s="21">
        <v>0</v>
      </c>
      <c r="AE2069" s="21">
        <v>0</v>
      </c>
      <c r="AF2069" s="21">
        <v>10</v>
      </c>
      <c r="AG2069" s="21">
        <v>2</v>
      </c>
      <c r="AH2069" s="21" t="s">
        <v>219</v>
      </c>
      <c r="AI2069" s="19">
        <v>0</v>
      </c>
      <c r="AJ2069" s="19">
        <v>2</v>
      </c>
      <c r="AK2069" s="19">
        <v>0</v>
      </c>
      <c r="AL2069" s="19">
        <v>1.5</v>
      </c>
      <c r="AM2069" s="21">
        <v>0</v>
      </c>
      <c r="AN2069" s="21">
        <v>0</v>
      </c>
      <c r="AO2069" s="21">
        <v>0</v>
      </c>
      <c r="AP2069" s="21">
        <v>1.5</v>
      </c>
      <c r="AQ2069" s="21">
        <v>10000</v>
      </c>
      <c r="AR2069" s="21">
        <v>1</v>
      </c>
      <c r="AS2069" s="21">
        <v>5</v>
      </c>
      <c r="AT2069" s="19">
        <v>0</v>
      </c>
      <c r="AU2069" s="21" t="s">
        <v>204</v>
      </c>
      <c r="AV2069" s="21"/>
      <c r="AW2069" s="35" t="s">
        <v>623</v>
      </c>
      <c r="AX2069" s="21" t="s">
        <v>540</v>
      </c>
      <c r="AY2069" s="32">
        <v>10000007</v>
      </c>
      <c r="AZ2069" s="32">
        <v>70302003</v>
      </c>
      <c r="BA2069" s="35" t="s">
        <v>592</v>
      </c>
      <c r="BB2069" s="31">
        <v>0</v>
      </c>
      <c r="BC2069" s="31">
        <v>0</v>
      </c>
      <c r="BD2069" s="31">
        <v>0</v>
      </c>
      <c r="BE2069" s="33" t="s">
        <v>1114</v>
      </c>
      <c r="BF2069" s="33" t="s">
        <v>1115</v>
      </c>
      <c r="BG2069" s="21">
        <v>0</v>
      </c>
      <c r="BH2069" s="21">
        <v>0</v>
      </c>
      <c r="BI2069" s="21">
        <v>0</v>
      </c>
      <c r="BJ2069" s="21">
        <v>0</v>
      </c>
      <c r="BK2069" s="21">
        <v>0</v>
      </c>
      <c r="BL2069" s="21">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20.100000000000001" customHeight="1">
      <c r="C2070" s="32">
        <v>73004302</v>
      </c>
      <c r="D2070" s="30" t="s">
        <v>4609</v>
      </c>
      <c r="E2070" s="30" t="s">
        <v>4610</v>
      </c>
      <c r="F2070" s="32">
        <v>1</v>
      </c>
      <c r="G2070" s="21">
        <v>60010100</v>
      </c>
      <c r="H2070" s="32">
        <v>0</v>
      </c>
      <c r="I2070" s="31">
        <v>0</v>
      </c>
      <c r="J2070" s="32">
        <v>1</v>
      </c>
      <c r="K2070" s="32">
        <v>0</v>
      </c>
      <c r="L2070" s="32">
        <v>0</v>
      </c>
      <c r="M2070" s="21">
        <v>0</v>
      </c>
      <c r="N2070" s="21">
        <v>0</v>
      </c>
      <c r="O2070" s="72">
        <v>2</v>
      </c>
      <c r="P2070" s="21">
        <v>1</v>
      </c>
      <c r="Q2070" s="21">
        <v>1</v>
      </c>
      <c r="R2070" s="21">
        <v>0</v>
      </c>
      <c r="S2070" s="19">
        <v>0</v>
      </c>
      <c r="T2070" s="21">
        <v>0</v>
      </c>
      <c r="U2070" s="21">
        <v>1</v>
      </c>
      <c r="V2070" s="21">
        <v>2</v>
      </c>
      <c r="W2070" s="21">
        <v>0</v>
      </c>
      <c r="X2070" s="21">
        <v>2</v>
      </c>
      <c r="Y2070" s="19">
        <v>0</v>
      </c>
      <c r="Z2070" s="21">
        <v>0</v>
      </c>
      <c r="AA2070" s="21">
        <v>1</v>
      </c>
      <c r="AB2070" s="21">
        <v>0</v>
      </c>
      <c r="AC2070" s="21">
        <v>0</v>
      </c>
      <c r="AD2070" s="21">
        <v>0</v>
      </c>
      <c r="AE2070" s="21">
        <v>0</v>
      </c>
      <c r="AF2070" s="21">
        <v>10</v>
      </c>
      <c r="AG2070" s="21">
        <v>2</v>
      </c>
      <c r="AH2070" s="21" t="s">
        <v>219</v>
      </c>
      <c r="AI2070" s="19">
        <v>0</v>
      </c>
      <c r="AJ2070" s="19">
        <v>2</v>
      </c>
      <c r="AK2070" s="19">
        <v>0</v>
      </c>
      <c r="AL2070" s="19">
        <v>1.5</v>
      </c>
      <c r="AM2070" s="21">
        <v>0</v>
      </c>
      <c r="AN2070" s="21">
        <v>0</v>
      </c>
      <c r="AO2070" s="21">
        <v>0</v>
      </c>
      <c r="AP2070" s="21">
        <v>1.5</v>
      </c>
      <c r="AQ2070" s="21">
        <v>10000</v>
      </c>
      <c r="AR2070" s="21">
        <v>1</v>
      </c>
      <c r="AS2070" s="21">
        <v>5</v>
      </c>
      <c r="AT2070" s="19">
        <v>0</v>
      </c>
      <c r="AU2070" s="21" t="s">
        <v>204</v>
      </c>
      <c r="AV2070" s="21"/>
      <c r="AW2070" s="35" t="s">
        <v>623</v>
      </c>
      <c r="AX2070" s="21" t="s">
        <v>540</v>
      </c>
      <c r="AY2070" s="32">
        <v>10000007</v>
      </c>
      <c r="AZ2070" s="32">
        <v>70302003</v>
      </c>
      <c r="BA2070" s="35" t="s">
        <v>592</v>
      </c>
      <c r="BB2070" s="31" t="s">
        <v>4611</v>
      </c>
      <c r="BC2070" s="31">
        <v>0</v>
      </c>
      <c r="BD2070" s="31">
        <v>0</v>
      </c>
      <c r="BE2070" s="33" t="s">
        <v>1114</v>
      </c>
      <c r="BF2070" s="33" t="s">
        <v>1115</v>
      </c>
      <c r="BG2070" s="21">
        <v>0</v>
      </c>
      <c r="BH2070" s="21">
        <v>0</v>
      </c>
      <c r="BI2070" s="21">
        <v>0</v>
      </c>
      <c r="BJ2070" s="21">
        <v>0</v>
      </c>
      <c r="BK2070" s="21">
        <v>0</v>
      </c>
      <c r="BL2070" s="21">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19.5" customHeight="1">
      <c r="C2071" s="32">
        <v>73004303</v>
      </c>
      <c r="D2071" s="30" t="s">
        <v>1097</v>
      </c>
      <c r="E2071" s="30" t="s">
        <v>1098</v>
      </c>
      <c r="F2071" s="32">
        <v>1</v>
      </c>
      <c r="G2071" s="21">
        <v>60010100</v>
      </c>
      <c r="H2071" s="32">
        <v>0</v>
      </c>
      <c r="I2071" s="31">
        <v>0</v>
      </c>
      <c r="J2071" s="32">
        <v>1</v>
      </c>
      <c r="K2071" s="32">
        <v>0</v>
      </c>
      <c r="L2071" s="32">
        <v>0</v>
      </c>
      <c r="M2071" s="21">
        <v>0</v>
      </c>
      <c r="N2071" s="21">
        <v>0</v>
      </c>
      <c r="O2071" s="72">
        <v>2</v>
      </c>
      <c r="P2071" s="21">
        <v>2</v>
      </c>
      <c r="Q2071" s="21">
        <v>0.9</v>
      </c>
      <c r="R2071" s="21">
        <v>0</v>
      </c>
      <c r="S2071" s="19">
        <v>101</v>
      </c>
      <c r="T2071" s="21">
        <v>0</v>
      </c>
      <c r="U2071" s="21">
        <v>1</v>
      </c>
      <c r="V2071" s="21">
        <v>2</v>
      </c>
      <c r="W2071" s="21">
        <v>0</v>
      </c>
      <c r="X2071" s="21">
        <v>3</v>
      </c>
      <c r="Y2071" s="19">
        <v>0</v>
      </c>
      <c r="Z2071" s="21">
        <v>0</v>
      </c>
      <c r="AA2071" s="21">
        <v>1</v>
      </c>
      <c r="AB2071" s="21">
        <v>0</v>
      </c>
      <c r="AC2071" s="21">
        <v>0</v>
      </c>
      <c r="AD2071" s="21">
        <v>0</v>
      </c>
      <c r="AE2071" s="21">
        <v>0</v>
      </c>
      <c r="AF2071" s="21">
        <v>15</v>
      </c>
      <c r="AG2071" s="21">
        <v>1</v>
      </c>
      <c r="AH2071" s="21" t="s">
        <v>613</v>
      </c>
      <c r="AI2071" s="19">
        <v>1</v>
      </c>
      <c r="AJ2071" s="19">
        <v>1</v>
      </c>
      <c r="AK2071" s="19">
        <v>0</v>
      </c>
      <c r="AL2071" s="19">
        <v>3</v>
      </c>
      <c r="AM2071" s="21">
        <v>0</v>
      </c>
      <c r="AN2071" s="21">
        <v>0</v>
      </c>
      <c r="AO2071" s="21">
        <v>0</v>
      </c>
      <c r="AP2071" s="21">
        <v>3</v>
      </c>
      <c r="AQ2071" s="21">
        <v>5000</v>
      </c>
      <c r="AR2071" s="21">
        <v>2.5</v>
      </c>
      <c r="AS2071" s="21">
        <v>0</v>
      </c>
      <c r="AT2071" s="19">
        <v>0</v>
      </c>
      <c r="AU2071" s="21" t="s">
        <v>665</v>
      </c>
      <c r="AV2071" s="21"/>
      <c r="AW2071" s="35" t="s">
        <v>262</v>
      </c>
      <c r="AX2071" s="21" t="s">
        <v>540</v>
      </c>
      <c r="AY2071" s="32">
        <v>10000007</v>
      </c>
      <c r="AZ2071" s="32">
        <v>70403003</v>
      </c>
      <c r="BA2071" s="30" t="s">
        <v>206</v>
      </c>
      <c r="BB2071" s="21">
        <v>0</v>
      </c>
      <c r="BC2071" s="31">
        <v>0</v>
      </c>
      <c r="BD2071" s="31">
        <v>0</v>
      </c>
      <c r="BE2071" s="33" t="s">
        <v>4500</v>
      </c>
      <c r="BF2071" s="33" t="s">
        <v>4501</v>
      </c>
      <c r="BG2071" s="21">
        <v>0</v>
      </c>
      <c r="BH2071" s="21">
        <v>0</v>
      </c>
      <c r="BI2071" s="21">
        <v>0</v>
      </c>
      <c r="BJ2071" s="21">
        <v>0</v>
      </c>
      <c r="BK2071" s="21">
        <v>0</v>
      </c>
      <c r="BL2071" s="21">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32">
        <v>73004304</v>
      </c>
      <c r="D2072" s="35" t="s">
        <v>679</v>
      </c>
      <c r="E2072" s="35" t="s">
        <v>680</v>
      </c>
      <c r="F2072" s="32">
        <v>1</v>
      </c>
      <c r="G2072" s="32">
        <v>60010500</v>
      </c>
      <c r="H2072" s="32">
        <v>0</v>
      </c>
      <c r="I2072" s="31">
        <v>0</v>
      </c>
      <c r="J2072" s="32">
        <v>1</v>
      </c>
      <c r="K2072" s="32">
        <v>0</v>
      </c>
      <c r="L2072" s="32">
        <v>0</v>
      </c>
      <c r="M2072" s="32">
        <v>0</v>
      </c>
      <c r="N2072" s="32">
        <v>0</v>
      </c>
      <c r="O2072" s="72">
        <v>2</v>
      </c>
      <c r="P2072" s="32">
        <v>2</v>
      </c>
      <c r="Q2072" s="32">
        <v>0.6</v>
      </c>
      <c r="R2072" s="32">
        <v>0</v>
      </c>
      <c r="S2072" s="19">
        <v>0</v>
      </c>
      <c r="T2072" s="31">
        <v>0</v>
      </c>
      <c r="U2072" s="21">
        <v>1</v>
      </c>
      <c r="V2072" s="32">
        <v>2</v>
      </c>
      <c r="W2072" s="32">
        <v>0</v>
      </c>
      <c r="X2072" s="32">
        <v>0</v>
      </c>
      <c r="Y2072" s="19">
        <v>0</v>
      </c>
      <c r="Z2072" s="32">
        <v>0</v>
      </c>
      <c r="AA2072" s="32">
        <v>0</v>
      </c>
      <c r="AB2072" s="32">
        <v>0</v>
      </c>
      <c r="AC2072" s="32">
        <v>0</v>
      </c>
      <c r="AD2072" s="32">
        <v>0</v>
      </c>
      <c r="AE2072" s="32">
        <v>0</v>
      </c>
      <c r="AF2072" s="21">
        <v>99999</v>
      </c>
      <c r="AG2072" s="32">
        <v>0</v>
      </c>
      <c r="AH2072" s="32">
        <v>0</v>
      </c>
      <c r="AI2072" s="19">
        <v>2</v>
      </c>
      <c r="AJ2072" s="19">
        <v>0</v>
      </c>
      <c r="AK2072" s="19">
        <v>0</v>
      </c>
      <c r="AL2072" s="19">
        <v>0</v>
      </c>
      <c r="AM2072" s="32">
        <v>0</v>
      </c>
      <c r="AN2072" s="32">
        <v>0</v>
      </c>
      <c r="AO2072" s="32">
        <v>0</v>
      </c>
      <c r="AP2072" s="32">
        <v>0</v>
      </c>
      <c r="AQ2072" s="32">
        <v>1000</v>
      </c>
      <c r="AR2072" s="32">
        <v>0</v>
      </c>
      <c r="AS2072" s="32">
        <v>0</v>
      </c>
      <c r="AT2072" s="19">
        <v>90104002</v>
      </c>
      <c r="AU2072" s="32" t="s">
        <v>204</v>
      </c>
      <c r="AV2072" s="32"/>
      <c r="AW2072" s="35" t="s">
        <v>205</v>
      </c>
      <c r="AX2072" s="32" t="s">
        <v>354</v>
      </c>
      <c r="AY2072" s="32">
        <v>0</v>
      </c>
      <c r="AZ2072" s="32">
        <v>0</v>
      </c>
      <c r="BA2072" s="35" t="s">
        <v>206</v>
      </c>
      <c r="BB2072" s="35" t="s">
        <v>204</v>
      </c>
      <c r="BC2072" s="31">
        <v>0</v>
      </c>
      <c r="BD2072" s="31">
        <v>0</v>
      </c>
      <c r="BE2072" s="60" t="s">
        <v>681</v>
      </c>
      <c r="BF2072" s="60" t="s">
        <v>682</v>
      </c>
      <c r="BG2072" s="32">
        <v>0</v>
      </c>
      <c r="BH2072" s="21">
        <v>0</v>
      </c>
      <c r="BI2072" s="32">
        <v>0</v>
      </c>
      <c r="BJ2072" s="32">
        <v>0</v>
      </c>
      <c r="BK2072" s="32">
        <v>0</v>
      </c>
      <c r="BL2072" s="32">
        <v>0</v>
      </c>
      <c r="BM2072" s="25">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32">
        <v>73004305</v>
      </c>
      <c r="D2073" s="35" t="s">
        <v>4590</v>
      </c>
      <c r="E2073" s="35" t="s">
        <v>4591</v>
      </c>
      <c r="F2073" s="32">
        <v>1</v>
      </c>
      <c r="G2073" s="32">
        <v>60010500</v>
      </c>
      <c r="H2073" s="32">
        <v>0</v>
      </c>
      <c r="I2073" s="31">
        <v>0</v>
      </c>
      <c r="J2073" s="32">
        <v>1</v>
      </c>
      <c r="K2073" s="32">
        <v>0</v>
      </c>
      <c r="L2073" s="32">
        <v>0</v>
      </c>
      <c r="M2073" s="32">
        <v>0</v>
      </c>
      <c r="N2073" s="32">
        <v>0</v>
      </c>
      <c r="O2073" s="72">
        <v>2</v>
      </c>
      <c r="P2073" s="32">
        <v>2</v>
      </c>
      <c r="Q2073" s="32">
        <v>0.95</v>
      </c>
      <c r="R2073" s="32">
        <v>0</v>
      </c>
      <c r="S2073" s="19">
        <v>101</v>
      </c>
      <c r="T2073" s="31">
        <v>0</v>
      </c>
      <c r="U2073" s="21">
        <v>1</v>
      </c>
      <c r="V2073" s="32">
        <v>2</v>
      </c>
      <c r="W2073" s="32">
        <v>0</v>
      </c>
      <c r="X2073" s="32">
        <v>0</v>
      </c>
      <c r="Y2073" s="19">
        <v>0</v>
      </c>
      <c r="Z2073" s="32">
        <v>0</v>
      </c>
      <c r="AA2073" s="32">
        <v>0</v>
      </c>
      <c r="AB2073" s="32">
        <v>0</v>
      </c>
      <c r="AC2073" s="32">
        <v>0</v>
      </c>
      <c r="AD2073" s="21">
        <v>0</v>
      </c>
      <c r="AE2073" s="32">
        <v>0</v>
      </c>
      <c r="AF2073" s="32">
        <v>10</v>
      </c>
      <c r="AG2073" s="32">
        <v>0</v>
      </c>
      <c r="AH2073" s="32">
        <v>0</v>
      </c>
      <c r="AI2073" s="19">
        <v>7</v>
      </c>
      <c r="AJ2073" s="19">
        <v>0</v>
      </c>
      <c r="AK2073" s="19">
        <v>0</v>
      </c>
      <c r="AL2073" s="19">
        <v>0</v>
      </c>
      <c r="AM2073" s="32">
        <v>0</v>
      </c>
      <c r="AN2073" s="32">
        <v>0</v>
      </c>
      <c r="AO2073" s="32">
        <v>0</v>
      </c>
      <c r="AP2073" s="32">
        <v>0</v>
      </c>
      <c r="AQ2073" s="32">
        <v>1000</v>
      </c>
      <c r="AR2073" s="32">
        <v>0.5</v>
      </c>
      <c r="AS2073" s="32">
        <v>0</v>
      </c>
      <c r="AT2073" s="19">
        <v>0</v>
      </c>
      <c r="AU2073" s="339" t="s">
        <v>4612</v>
      </c>
      <c r="AV2073" s="32"/>
      <c r="AW2073" s="35" t="s">
        <v>747</v>
      </c>
      <c r="AX2073" s="32">
        <v>0</v>
      </c>
      <c r="AY2073" s="32">
        <v>10007001</v>
      </c>
      <c r="AZ2073" s="32">
        <v>0</v>
      </c>
      <c r="BA2073" s="35" t="s">
        <v>206</v>
      </c>
      <c r="BB2073" s="35" t="s">
        <v>204</v>
      </c>
      <c r="BC2073" s="31">
        <v>0</v>
      </c>
      <c r="BD2073" s="31">
        <v>0</v>
      </c>
      <c r="BE2073" s="60" t="s">
        <v>4592</v>
      </c>
      <c r="BF2073" s="60" t="s">
        <v>4593</v>
      </c>
      <c r="BG2073" s="32">
        <v>0</v>
      </c>
      <c r="BH2073" s="21">
        <v>0</v>
      </c>
      <c r="BI2073" s="32">
        <v>0</v>
      </c>
      <c r="BJ2073" s="32">
        <v>0</v>
      </c>
      <c r="BK2073" s="32">
        <v>0</v>
      </c>
      <c r="BL2073" s="32">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20.100000000000001" customHeight="1">
      <c r="C2074" s="32">
        <v>73004306</v>
      </c>
      <c r="D2074" s="30" t="s">
        <v>606</v>
      </c>
      <c r="E2074" s="30" t="s">
        <v>607</v>
      </c>
      <c r="F2074" s="32">
        <v>1</v>
      </c>
      <c r="G2074" s="21">
        <v>60010300</v>
      </c>
      <c r="H2074" s="32">
        <v>0</v>
      </c>
      <c r="I2074" s="31">
        <v>0</v>
      </c>
      <c r="J2074" s="32">
        <v>1</v>
      </c>
      <c r="K2074" s="32">
        <v>0</v>
      </c>
      <c r="L2074" s="32">
        <v>0</v>
      </c>
      <c r="M2074" s="21">
        <v>0</v>
      </c>
      <c r="N2074" s="21">
        <v>0</v>
      </c>
      <c r="O2074" s="72">
        <v>2</v>
      </c>
      <c r="P2074" s="21">
        <v>2</v>
      </c>
      <c r="Q2074" s="21">
        <v>0.9</v>
      </c>
      <c r="R2074" s="21">
        <v>0</v>
      </c>
      <c r="S2074" s="19">
        <v>0</v>
      </c>
      <c r="T2074" s="21">
        <v>0</v>
      </c>
      <c r="U2074" s="21">
        <v>1</v>
      </c>
      <c r="V2074" s="21">
        <v>2</v>
      </c>
      <c r="W2074" s="21">
        <v>0</v>
      </c>
      <c r="X2074" s="21">
        <v>0</v>
      </c>
      <c r="Y2074" s="19">
        <v>0</v>
      </c>
      <c r="Z2074" s="21">
        <v>0</v>
      </c>
      <c r="AA2074" s="21">
        <v>0</v>
      </c>
      <c r="AB2074" s="21">
        <v>0</v>
      </c>
      <c r="AC2074" s="21">
        <v>0</v>
      </c>
      <c r="AD2074" s="21">
        <v>0</v>
      </c>
      <c r="AE2074" s="21">
        <v>0</v>
      </c>
      <c r="AF2074" s="21">
        <v>30</v>
      </c>
      <c r="AG2074" s="21">
        <v>0</v>
      </c>
      <c r="AH2074" s="21">
        <v>0</v>
      </c>
      <c r="AI2074" s="19">
        <v>2</v>
      </c>
      <c r="AJ2074" s="19">
        <v>2</v>
      </c>
      <c r="AK2074" s="19">
        <v>0</v>
      </c>
      <c r="AL2074" s="19">
        <v>1.5</v>
      </c>
      <c r="AM2074" s="21">
        <v>0</v>
      </c>
      <c r="AN2074" s="21">
        <v>0</v>
      </c>
      <c r="AO2074" s="21">
        <v>0</v>
      </c>
      <c r="AP2074" s="21">
        <v>1</v>
      </c>
      <c r="AQ2074" s="21">
        <v>3000</v>
      </c>
      <c r="AR2074" s="21">
        <v>0.5</v>
      </c>
      <c r="AS2074" s="21">
        <v>0</v>
      </c>
      <c r="AT2074" s="19">
        <v>0</v>
      </c>
      <c r="AU2074" s="21" t="s">
        <v>204</v>
      </c>
      <c r="AV2074" s="21"/>
      <c r="AW2074" s="35" t="s">
        <v>205</v>
      </c>
      <c r="AX2074" s="21" t="s">
        <v>551</v>
      </c>
      <c r="AY2074" s="32">
        <v>0</v>
      </c>
      <c r="AZ2074" s="32">
        <v>0</v>
      </c>
      <c r="BA2074" s="30" t="s">
        <v>534</v>
      </c>
      <c r="BB2074" s="21" t="s">
        <v>4605</v>
      </c>
      <c r="BC2074" s="31">
        <v>0</v>
      </c>
      <c r="BD2074" s="31">
        <v>0</v>
      </c>
      <c r="BE2074" s="33" t="s">
        <v>4606</v>
      </c>
      <c r="BF2074" s="33" t="s">
        <v>4607</v>
      </c>
      <c r="BG2074" s="21">
        <v>0</v>
      </c>
      <c r="BH2074" s="21">
        <v>0</v>
      </c>
      <c r="BI2074" s="21">
        <v>0</v>
      </c>
      <c r="BJ2074" s="21">
        <v>0</v>
      </c>
      <c r="BK2074" s="21">
        <v>0</v>
      </c>
      <c r="BL2074" s="21">
        <v>0</v>
      </c>
      <c r="BM2074" s="25">
        <v>0</v>
      </c>
      <c r="BN2074" s="19">
        <v>0</v>
      </c>
      <c r="BO2074" s="19">
        <v>0</v>
      </c>
      <c r="BP2074" s="19">
        <v>0</v>
      </c>
      <c r="BQ2074" s="19">
        <v>0</v>
      </c>
      <c r="BR2074" s="19">
        <v>0</v>
      </c>
      <c r="BS2074" s="19">
        <v>0</v>
      </c>
      <c r="BT2074" s="19">
        <v>0</v>
      </c>
      <c r="BU2074" s="23">
        <v>0</v>
      </c>
      <c r="BV2074" s="23"/>
      <c r="BW2074" s="23"/>
      <c r="BX2074" s="23"/>
      <c r="BY2074" s="23"/>
      <c r="BZ2074" s="23"/>
    </row>
    <row r="2075" spans="3:78" ht="20.100000000000001" customHeight="1">
      <c r="C2075" s="74">
        <v>74001001</v>
      </c>
      <c r="D2075" s="71" t="s">
        <v>766</v>
      </c>
      <c r="E2075" s="71" t="s">
        <v>767</v>
      </c>
      <c r="F2075" s="72">
        <v>2</v>
      </c>
      <c r="G2075" s="72">
        <v>61012301</v>
      </c>
      <c r="H2075" s="72">
        <v>0</v>
      </c>
      <c r="I2075" s="75">
        <v>0</v>
      </c>
      <c r="J2075" s="74">
        <v>1</v>
      </c>
      <c r="K2075" s="74">
        <v>0</v>
      </c>
      <c r="L2075" s="74">
        <v>0</v>
      </c>
      <c r="M2075" s="72">
        <v>0</v>
      </c>
      <c r="N2075" s="72">
        <v>0</v>
      </c>
      <c r="O2075" s="72">
        <v>1</v>
      </c>
      <c r="P2075" s="72">
        <v>1</v>
      </c>
      <c r="Q2075" s="72">
        <v>0.5</v>
      </c>
      <c r="R2075" s="72">
        <v>0</v>
      </c>
      <c r="S2075" s="73">
        <v>1</v>
      </c>
      <c r="T2075" s="72">
        <v>0</v>
      </c>
      <c r="U2075" s="72">
        <v>1</v>
      </c>
      <c r="V2075" s="72">
        <v>2</v>
      </c>
      <c r="W2075" s="72">
        <v>0</v>
      </c>
      <c r="X2075" s="72">
        <v>1.4</v>
      </c>
      <c r="Y2075" s="19">
        <v>0</v>
      </c>
      <c r="Z2075" s="72">
        <v>150</v>
      </c>
      <c r="AA2075" s="72">
        <v>1</v>
      </c>
      <c r="AB2075" s="72">
        <v>0</v>
      </c>
      <c r="AC2075" s="72">
        <v>0</v>
      </c>
      <c r="AD2075" s="72">
        <v>0</v>
      </c>
      <c r="AE2075" s="72">
        <v>0</v>
      </c>
      <c r="AF2075" s="72">
        <v>12</v>
      </c>
      <c r="AG2075" s="72">
        <v>2</v>
      </c>
      <c r="AH2075" s="72" t="s">
        <v>219</v>
      </c>
      <c r="AI2075" s="73">
        <v>7</v>
      </c>
      <c r="AJ2075" s="73">
        <v>2</v>
      </c>
      <c r="AK2075" s="19">
        <v>0</v>
      </c>
      <c r="AL2075" s="73">
        <v>1.5</v>
      </c>
      <c r="AM2075" s="72">
        <v>0</v>
      </c>
      <c r="AN2075" s="72">
        <v>0</v>
      </c>
      <c r="AO2075" s="72">
        <v>0</v>
      </c>
      <c r="AP2075" s="72">
        <v>1.5</v>
      </c>
      <c r="AQ2075" s="72">
        <v>1200</v>
      </c>
      <c r="AR2075" s="72">
        <v>1</v>
      </c>
      <c r="AS2075" s="72">
        <v>15</v>
      </c>
      <c r="AT2075" s="73">
        <v>0</v>
      </c>
      <c r="AU2075" s="72" t="s">
        <v>204</v>
      </c>
      <c r="AV2075" s="72"/>
      <c r="AW2075" s="71" t="s">
        <v>262</v>
      </c>
      <c r="AX2075" s="72" t="s">
        <v>221</v>
      </c>
      <c r="AY2075" s="74">
        <v>10000011</v>
      </c>
      <c r="AZ2075" s="74">
        <v>70404001</v>
      </c>
      <c r="BA2075" s="71" t="s">
        <v>222</v>
      </c>
      <c r="BB2075" s="72">
        <v>0</v>
      </c>
      <c r="BC2075" s="75">
        <v>0</v>
      </c>
      <c r="BD2075" s="75">
        <v>0</v>
      </c>
      <c r="BE2075" s="76" t="s">
        <v>804</v>
      </c>
      <c r="BF2075" s="76" t="s">
        <v>805</v>
      </c>
      <c r="BG2075" s="72">
        <v>0</v>
      </c>
      <c r="BH2075" s="72">
        <v>0</v>
      </c>
      <c r="BI2075" s="72">
        <v>0</v>
      </c>
      <c r="BJ2075" s="72">
        <v>0</v>
      </c>
      <c r="BK2075" s="72">
        <v>0</v>
      </c>
      <c r="BL2075" s="72">
        <v>0</v>
      </c>
      <c r="BM2075" s="90">
        <v>0</v>
      </c>
      <c r="BN2075" s="19">
        <v>0</v>
      </c>
      <c r="BO2075" s="19">
        <v>0</v>
      </c>
      <c r="BP2075" s="19">
        <v>0</v>
      </c>
      <c r="BQ2075" s="19">
        <v>0</v>
      </c>
      <c r="BR2075" s="19">
        <v>0</v>
      </c>
      <c r="BS2075" s="19">
        <v>0</v>
      </c>
      <c r="BT2075" s="19">
        <v>0</v>
      </c>
      <c r="BU2075" s="23">
        <v>0</v>
      </c>
      <c r="BV2075" s="23"/>
      <c r="BW2075" s="23"/>
      <c r="BX2075" s="23"/>
      <c r="BY2075" s="23"/>
      <c r="BZ2075" s="23"/>
    </row>
    <row r="2076" spans="3:78" ht="20.100000000000001" customHeight="1">
      <c r="C2076" s="74">
        <v>75001001</v>
      </c>
      <c r="D2076" s="35" t="s">
        <v>4613</v>
      </c>
      <c r="E2076" s="35" t="s">
        <v>4614</v>
      </c>
      <c r="F2076" s="32">
        <v>1</v>
      </c>
      <c r="G2076" s="32">
        <v>60010500</v>
      </c>
      <c r="H2076" s="32">
        <v>0</v>
      </c>
      <c r="I2076" s="31">
        <v>0</v>
      </c>
      <c r="J2076" s="32">
        <v>1</v>
      </c>
      <c r="K2076" s="32">
        <v>0</v>
      </c>
      <c r="L2076" s="32">
        <v>0</v>
      </c>
      <c r="M2076" s="32">
        <v>0</v>
      </c>
      <c r="N2076" s="32">
        <v>0</v>
      </c>
      <c r="O2076" s="32">
        <v>1</v>
      </c>
      <c r="P2076" s="32">
        <v>2</v>
      </c>
      <c r="Q2076" s="32">
        <v>1</v>
      </c>
      <c r="R2076" s="32">
        <v>0</v>
      </c>
      <c r="S2076" s="19">
        <v>0</v>
      </c>
      <c r="T2076" s="31">
        <v>0</v>
      </c>
      <c r="U2076" s="21">
        <v>1</v>
      </c>
      <c r="V2076" s="32">
        <v>2</v>
      </c>
      <c r="W2076" s="32">
        <v>0</v>
      </c>
      <c r="X2076" s="32">
        <v>0</v>
      </c>
      <c r="Y2076" s="19">
        <v>0</v>
      </c>
      <c r="Z2076" s="32">
        <v>0</v>
      </c>
      <c r="AA2076" s="32">
        <v>0</v>
      </c>
      <c r="AB2076" s="32">
        <v>0</v>
      </c>
      <c r="AC2076" s="32">
        <v>0</v>
      </c>
      <c r="AD2076" s="32">
        <v>0</v>
      </c>
      <c r="AE2076" s="32">
        <v>0</v>
      </c>
      <c r="AF2076" s="32">
        <v>30</v>
      </c>
      <c r="AG2076" s="32">
        <v>0</v>
      </c>
      <c r="AH2076" s="32">
        <v>0</v>
      </c>
      <c r="AI2076" s="19">
        <v>2</v>
      </c>
      <c r="AJ2076" s="19">
        <v>0</v>
      </c>
      <c r="AK2076" s="19">
        <v>0</v>
      </c>
      <c r="AL2076" s="19">
        <v>0</v>
      </c>
      <c r="AM2076" s="32">
        <v>0</v>
      </c>
      <c r="AN2076" s="32">
        <v>0</v>
      </c>
      <c r="AO2076" s="32">
        <v>0</v>
      </c>
      <c r="AP2076" s="32">
        <v>0</v>
      </c>
      <c r="AQ2076" s="32">
        <v>1000</v>
      </c>
      <c r="AR2076" s="32">
        <v>0</v>
      </c>
      <c r="AS2076" s="32">
        <v>0</v>
      </c>
      <c r="AT2076" s="19">
        <v>69000131</v>
      </c>
      <c r="AU2076" s="32" t="s">
        <v>204</v>
      </c>
      <c r="AV2076" s="32"/>
      <c r="AW2076" s="35" t="s">
        <v>205</v>
      </c>
      <c r="AX2076" s="32" t="s">
        <v>354</v>
      </c>
      <c r="AY2076" s="32">
        <v>0</v>
      </c>
      <c r="AZ2076" s="32">
        <v>40000003</v>
      </c>
      <c r="BA2076" s="35" t="s">
        <v>206</v>
      </c>
      <c r="BB2076" s="35" t="s">
        <v>204</v>
      </c>
      <c r="BC2076" s="31">
        <v>0</v>
      </c>
      <c r="BD2076" s="31">
        <v>0</v>
      </c>
      <c r="BE2076" s="60" t="s">
        <v>546</v>
      </c>
      <c r="BF2076" s="60" t="s">
        <v>547</v>
      </c>
      <c r="BG2076" s="32">
        <v>0</v>
      </c>
      <c r="BH2076" s="21">
        <v>0</v>
      </c>
      <c r="BI2076" s="32">
        <v>0</v>
      </c>
      <c r="BJ2076" s="32">
        <v>0</v>
      </c>
      <c r="BK2076" s="32">
        <v>0</v>
      </c>
      <c r="BL2076" s="32">
        <v>0</v>
      </c>
      <c r="BM2076" s="25">
        <v>0</v>
      </c>
      <c r="BN2076" s="19">
        <v>0</v>
      </c>
      <c r="BO2076" s="19">
        <v>0</v>
      </c>
      <c r="BP2076" s="19">
        <v>0</v>
      </c>
      <c r="BQ2076" s="19">
        <v>0</v>
      </c>
      <c r="BR2076" s="19">
        <v>0</v>
      </c>
      <c r="BS2076" s="19">
        <v>0</v>
      </c>
      <c r="BT2076" s="19">
        <v>0</v>
      </c>
      <c r="BU2076" s="23">
        <v>0</v>
      </c>
      <c r="BV2076" s="23"/>
      <c r="BW2076" s="23"/>
      <c r="BX2076" s="23"/>
      <c r="BY2076" s="23"/>
      <c r="BZ2076" s="23"/>
    </row>
    <row r="2077" spans="3:78" ht="19.5" customHeight="1">
      <c r="C2077" s="74">
        <v>76001001</v>
      </c>
      <c r="D2077" s="30" t="s">
        <v>4615</v>
      </c>
      <c r="E2077" s="30" t="s">
        <v>4616</v>
      </c>
      <c r="F2077" s="32">
        <v>1</v>
      </c>
      <c r="G2077" s="21">
        <v>60010100</v>
      </c>
      <c r="H2077" s="32">
        <v>0</v>
      </c>
      <c r="I2077" s="31">
        <v>0</v>
      </c>
      <c r="J2077" s="32">
        <v>1</v>
      </c>
      <c r="K2077" s="32">
        <v>0</v>
      </c>
      <c r="L2077" s="32">
        <v>0</v>
      </c>
      <c r="M2077" s="21">
        <v>0</v>
      </c>
      <c r="N2077" s="21">
        <v>0</v>
      </c>
      <c r="O2077" s="21">
        <v>1</v>
      </c>
      <c r="P2077" s="21">
        <v>0</v>
      </c>
      <c r="Q2077" s="21">
        <v>0</v>
      </c>
      <c r="R2077" s="21">
        <v>0</v>
      </c>
      <c r="S2077" s="19">
        <v>0</v>
      </c>
      <c r="T2077" s="21">
        <v>0</v>
      </c>
      <c r="U2077" s="21">
        <v>1</v>
      </c>
      <c r="V2077" s="21">
        <v>2</v>
      </c>
      <c r="W2077" s="21">
        <v>0</v>
      </c>
      <c r="X2077" s="21">
        <v>0</v>
      </c>
      <c r="Y2077" s="19">
        <v>0</v>
      </c>
      <c r="Z2077" s="21">
        <v>2000</v>
      </c>
      <c r="AA2077" s="21">
        <v>1</v>
      </c>
      <c r="AB2077" s="21">
        <v>0</v>
      </c>
      <c r="AC2077" s="21">
        <v>0</v>
      </c>
      <c r="AD2077" s="21">
        <v>0</v>
      </c>
      <c r="AE2077" s="21">
        <v>0</v>
      </c>
      <c r="AF2077" s="21">
        <v>5</v>
      </c>
      <c r="AG2077" s="21">
        <v>1</v>
      </c>
      <c r="AH2077" s="21">
        <v>3</v>
      </c>
      <c r="AI2077" s="19">
        <v>2</v>
      </c>
      <c r="AJ2077" s="19">
        <v>1</v>
      </c>
      <c r="AK2077" s="19">
        <v>0</v>
      </c>
      <c r="AL2077" s="19">
        <v>6</v>
      </c>
      <c r="AM2077" s="21">
        <v>0</v>
      </c>
      <c r="AN2077" s="21">
        <v>0</v>
      </c>
      <c r="AO2077" s="21">
        <v>0</v>
      </c>
      <c r="AP2077" s="21">
        <v>0</v>
      </c>
      <c r="AQ2077" s="21">
        <v>1000</v>
      </c>
      <c r="AR2077" s="21">
        <v>0</v>
      </c>
      <c r="AS2077" s="21">
        <v>0</v>
      </c>
      <c r="AT2077" s="19">
        <v>0</v>
      </c>
      <c r="AU2077" s="21">
        <v>0</v>
      </c>
      <c r="AV2077" s="21"/>
      <c r="AW2077" s="35" t="s">
        <v>205</v>
      </c>
      <c r="AX2077" s="72" t="s">
        <v>221</v>
      </c>
      <c r="AY2077" s="32">
        <v>10000007</v>
      </c>
      <c r="AZ2077" s="32">
        <v>70203005</v>
      </c>
      <c r="BA2077" s="30" t="s">
        <v>206</v>
      </c>
      <c r="BB2077" s="21">
        <v>0</v>
      </c>
      <c r="BC2077" s="31">
        <v>0</v>
      </c>
      <c r="BD2077" s="31">
        <v>0</v>
      </c>
      <c r="BE2077" s="33" t="s">
        <v>4617</v>
      </c>
      <c r="BF2077" s="33" t="s">
        <v>4618</v>
      </c>
      <c r="BG2077" s="21">
        <v>0</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v>72009001</v>
      </c>
      <c r="BZ2077" s="23"/>
    </row>
    <row r="2078" spans="3:78" ht="20.100000000000001" customHeight="1">
      <c r="C2078" s="32">
        <v>79000001</v>
      </c>
      <c r="D2078" s="35" t="s">
        <v>750</v>
      </c>
      <c r="E2078" s="35" t="s">
        <v>751</v>
      </c>
      <c r="F2078" s="32">
        <v>1</v>
      </c>
      <c r="G2078" s="32">
        <v>60010500</v>
      </c>
      <c r="H2078" s="32">
        <v>0</v>
      </c>
      <c r="I2078" s="31">
        <v>0</v>
      </c>
      <c r="J2078" s="32">
        <v>1</v>
      </c>
      <c r="K2078" s="32">
        <v>0</v>
      </c>
      <c r="L2078" s="32">
        <v>0</v>
      </c>
      <c r="M2078" s="32">
        <v>0</v>
      </c>
      <c r="N2078" s="32">
        <v>0</v>
      </c>
      <c r="O2078" s="21">
        <v>2</v>
      </c>
      <c r="P2078" s="32">
        <v>1</v>
      </c>
      <c r="Q2078" s="32">
        <v>0.1</v>
      </c>
      <c r="R2078" s="32">
        <v>0</v>
      </c>
      <c r="S2078" s="19">
        <v>0</v>
      </c>
      <c r="T2078" s="31">
        <v>0</v>
      </c>
      <c r="U2078" s="21">
        <v>1</v>
      </c>
      <c r="V2078" s="32">
        <v>1</v>
      </c>
      <c r="W2078" s="32">
        <v>0</v>
      </c>
      <c r="X2078" s="32">
        <v>2</v>
      </c>
      <c r="Y2078" s="19">
        <v>0</v>
      </c>
      <c r="Z2078" s="32">
        <v>0</v>
      </c>
      <c r="AA2078" s="32">
        <v>0</v>
      </c>
      <c r="AB2078" s="32">
        <v>0</v>
      </c>
      <c r="AC2078" s="32">
        <v>0</v>
      </c>
      <c r="AD2078" s="21">
        <v>0</v>
      </c>
      <c r="AE2078" s="32">
        <v>0</v>
      </c>
      <c r="AF2078" s="32">
        <v>10</v>
      </c>
      <c r="AG2078" s="32">
        <v>0</v>
      </c>
      <c r="AH2078" s="32">
        <v>0</v>
      </c>
      <c r="AI2078" s="19">
        <v>7</v>
      </c>
      <c r="AJ2078" s="19">
        <v>0</v>
      </c>
      <c r="AK2078" s="19">
        <v>0</v>
      </c>
      <c r="AL2078" s="19">
        <v>0</v>
      </c>
      <c r="AM2078" s="32">
        <v>0</v>
      </c>
      <c r="AN2078" s="32">
        <v>0</v>
      </c>
      <c r="AO2078" s="32">
        <v>0</v>
      </c>
      <c r="AP2078" s="32">
        <v>0</v>
      </c>
      <c r="AQ2078" s="32">
        <v>1000</v>
      </c>
      <c r="AR2078" s="32">
        <v>0.5</v>
      </c>
      <c r="AS2078" s="32">
        <v>0</v>
      </c>
      <c r="AT2078" s="19">
        <v>0</v>
      </c>
      <c r="AU2078" s="32" t="s">
        <v>665</v>
      </c>
      <c r="AV2078" s="32"/>
      <c r="AW2078" s="35" t="s">
        <v>747</v>
      </c>
      <c r="AX2078" s="32">
        <v>0</v>
      </c>
      <c r="AY2078" s="32">
        <v>10007001</v>
      </c>
      <c r="AZ2078" s="32">
        <v>0</v>
      </c>
      <c r="BA2078" s="35" t="s">
        <v>206</v>
      </c>
      <c r="BB2078" s="35" t="s">
        <v>204</v>
      </c>
      <c r="BC2078" s="31">
        <v>0</v>
      </c>
      <c r="BD2078" s="31">
        <v>0</v>
      </c>
      <c r="BE2078" s="60" t="s">
        <v>752</v>
      </c>
      <c r="BF2078" s="60" t="s">
        <v>753</v>
      </c>
      <c r="BG2078" s="32">
        <v>0</v>
      </c>
      <c r="BH2078" s="21">
        <v>0</v>
      </c>
      <c r="BI2078" s="32">
        <v>0</v>
      </c>
      <c r="BJ2078" s="32">
        <v>0</v>
      </c>
      <c r="BK2078" s="32">
        <v>0</v>
      </c>
      <c r="BL2078" s="32">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20.100000000000001" customHeight="1">
      <c r="C2079" s="32">
        <v>79000002</v>
      </c>
      <c r="D2079" s="30" t="s">
        <v>1330</v>
      </c>
      <c r="E2079" s="30" t="s">
        <v>1331</v>
      </c>
      <c r="F2079" s="32">
        <v>1</v>
      </c>
      <c r="G2079" s="21">
        <v>60010100</v>
      </c>
      <c r="H2079" s="32">
        <v>0</v>
      </c>
      <c r="I2079" s="31">
        <v>0</v>
      </c>
      <c r="J2079" s="32">
        <v>1</v>
      </c>
      <c r="K2079" s="32">
        <v>0</v>
      </c>
      <c r="L2079" s="32">
        <v>0</v>
      </c>
      <c r="M2079" s="21">
        <v>0</v>
      </c>
      <c r="N2079" s="21">
        <v>0</v>
      </c>
      <c r="O2079" s="72">
        <v>2</v>
      </c>
      <c r="P2079" s="21">
        <v>1</v>
      </c>
      <c r="Q2079" s="21">
        <v>1</v>
      </c>
      <c r="R2079" s="21">
        <v>0</v>
      </c>
      <c r="S2079" s="19">
        <v>0</v>
      </c>
      <c r="T2079" s="21">
        <v>0</v>
      </c>
      <c r="U2079" s="21">
        <v>1</v>
      </c>
      <c r="V2079" s="21">
        <v>2</v>
      </c>
      <c r="W2079" s="21">
        <v>0</v>
      </c>
      <c r="X2079" s="21">
        <v>2</v>
      </c>
      <c r="Y2079" s="19">
        <v>0</v>
      </c>
      <c r="Z2079" s="21">
        <v>0</v>
      </c>
      <c r="AA2079" s="21">
        <v>1</v>
      </c>
      <c r="AB2079" s="21">
        <v>0</v>
      </c>
      <c r="AC2079" s="21">
        <v>0</v>
      </c>
      <c r="AD2079" s="21">
        <v>0</v>
      </c>
      <c r="AE2079" s="21">
        <v>0</v>
      </c>
      <c r="AF2079" s="21">
        <v>10</v>
      </c>
      <c r="AG2079" s="21">
        <v>2</v>
      </c>
      <c r="AH2079" s="21" t="s">
        <v>1042</v>
      </c>
      <c r="AI2079" s="19">
        <v>0</v>
      </c>
      <c r="AJ2079" s="19">
        <v>2</v>
      </c>
      <c r="AK2079" s="19">
        <v>0</v>
      </c>
      <c r="AL2079" s="19">
        <v>1.5</v>
      </c>
      <c r="AM2079" s="21">
        <v>0</v>
      </c>
      <c r="AN2079" s="21">
        <v>0</v>
      </c>
      <c r="AO2079" s="21">
        <v>0</v>
      </c>
      <c r="AP2079" s="21">
        <v>1.5</v>
      </c>
      <c r="AQ2079" s="21">
        <v>10000</v>
      </c>
      <c r="AR2079" s="21">
        <v>1</v>
      </c>
      <c r="AS2079" s="21">
        <v>5</v>
      </c>
      <c r="AT2079" s="19">
        <v>0</v>
      </c>
      <c r="AU2079" s="21" t="s">
        <v>204</v>
      </c>
      <c r="AV2079" s="21"/>
      <c r="AW2079" s="35" t="s">
        <v>623</v>
      </c>
      <c r="AX2079" s="21" t="s">
        <v>540</v>
      </c>
      <c r="AY2079" s="32">
        <v>10000007</v>
      </c>
      <c r="AZ2079" s="32">
        <v>70302003</v>
      </c>
      <c r="BA2079" s="35" t="s">
        <v>592</v>
      </c>
      <c r="BB2079" s="31" t="s">
        <v>4602</v>
      </c>
      <c r="BC2079" s="31">
        <v>0</v>
      </c>
      <c r="BD2079" s="31">
        <v>0</v>
      </c>
      <c r="BE2079" s="33" t="s">
        <v>1114</v>
      </c>
      <c r="BF2079" s="33" t="s">
        <v>1115</v>
      </c>
      <c r="BG2079" s="21">
        <v>1</v>
      </c>
      <c r="BH2079" s="21">
        <v>0</v>
      </c>
      <c r="BI2079" s="21">
        <v>0</v>
      </c>
      <c r="BJ2079" s="21">
        <v>0</v>
      </c>
      <c r="BK2079" s="21">
        <v>0</v>
      </c>
      <c r="BL2079" s="21">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19.5" customHeight="1">
      <c r="C2080" s="32">
        <v>79000003</v>
      </c>
      <c r="D2080" s="30" t="s">
        <v>1097</v>
      </c>
      <c r="E2080" s="30" t="s">
        <v>1098</v>
      </c>
      <c r="F2080" s="32">
        <v>1</v>
      </c>
      <c r="G2080" s="21">
        <v>60010100</v>
      </c>
      <c r="H2080" s="32">
        <v>0</v>
      </c>
      <c r="I2080" s="31">
        <v>0</v>
      </c>
      <c r="J2080" s="32">
        <v>1</v>
      </c>
      <c r="K2080" s="32">
        <v>0</v>
      </c>
      <c r="L2080" s="32">
        <v>0</v>
      </c>
      <c r="M2080" s="21">
        <v>0</v>
      </c>
      <c r="N2080" s="21">
        <v>0</v>
      </c>
      <c r="O2080" s="72">
        <v>2</v>
      </c>
      <c r="P2080" s="21">
        <v>2</v>
      </c>
      <c r="Q2080" s="21">
        <v>0.9</v>
      </c>
      <c r="R2080" s="21">
        <v>0</v>
      </c>
      <c r="S2080" s="19">
        <v>1</v>
      </c>
      <c r="T2080" s="21">
        <v>0</v>
      </c>
      <c r="U2080" s="21">
        <v>1</v>
      </c>
      <c r="V2080" s="21">
        <v>2</v>
      </c>
      <c r="W2080" s="21">
        <v>0</v>
      </c>
      <c r="X2080" s="21">
        <v>2</v>
      </c>
      <c r="Y2080" s="19">
        <v>0</v>
      </c>
      <c r="Z2080" s="21">
        <v>0</v>
      </c>
      <c r="AA2080" s="21">
        <v>1</v>
      </c>
      <c r="AB2080" s="21">
        <v>0</v>
      </c>
      <c r="AC2080" s="21">
        <v>0</v>
      </c>
      <c r="AD2080" s="21">
        <v>0</v>
      </c>
      <c r="AE2080" s="21">
        <v>0</v>
      </c>
      <c r="AF2080" s="21">
        <v>15</v>
      </c>
      <c r="AG2080" s="21">
        <v>1</v>
      </c>
      <c r="AH2080" s="21" t="s">
        <v>613</v>
      </c>
      <c r="AI2080" s="19">
        <v>0</v>
      </c>
      <c r="AJ2080" s="19">
        <v>1</v>
      </c>
      <c r="AK2080" s="19">
        <v>0</v>
      </c>
      <c r="AL2080" s="19">
        <v>3</v>
      </c>
      <c r="AM2080" s="21">
        <v>0</v>
      </c>
      <c r="AN2080" s="21">
        <v>0</v>
      </c>
      <c r="AO2080" s="21">
        <v>0</v>
      </c>
      <c r="AP2080" s="21">
        <v>3</v>
      </c>
      <c r="AQ2080" s="21">
        <v>5000</v>
      </c>
      <c r="AR2080" s="21">
        <v>2.5</v>
      </c>
      <c r="AS2080" s="21">
        <v>0</v>
      </c>
      <c r="AT2080" s="19">
        <v>0</v>
      </c>
      <c r="AU2080" s="21">
        <v>90001023</v>
      </c>
      <c r="AV2080" s="21"/>
      <c r="AW2080" s="35" t="s">
        <v>262</v>
      </c>
      <c r="AX2080" s="21" t="s">
        <v>540</v>
      </c>
      <c r="AY2080" s="32">
        <v>10000007</v>
      </c>
      <c r="AZ2080" s="32">
        <v>70403003</v>
      </c>
      <c r="BA2080" s="30" t="s">
        <v>206</v>
      </c>
      <c r="BB2080" s="21">
        <v>0</v>
      </c>
      <c r="BC2080" s="31">
        <v>0</v>
      </c>
      <c r="BD2080" s="31">
        <v>0</v>
      </c>
      <c r="BE2080" s="33" t="s">
        <v>4500</v>
      </c>
      <c r="BF2080" s="33" t="s">
        <v>4501</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19.5" customHeight="1">
      <c r="C2081" s="32">
        <v>79000004</v>
      </c>
      <c r="D2081" s="30" t="s">
        <v>1097</v>
      </c>
      <c r="E2081" s="30" t="s">
        <v>1098</v>
      </c>
      <c r="F2081" s="32">
        <v>1</v>
      </c>
      <c r="G2081" s="21">
        <v>60010100</v>
      </c>
      <c r="H2081" s="32">
        <v>0</v>
      </c>
      <c r="I2081" s="31">
        <v>0</v>
      </c>
      <c r="J2081" s="32">
        <v>1</v>
      </c>
      <c r="K2081" s="32">
        <v>0</v>
      </c>
      <c r="L2081" s="32">
        <v>0</v>
      </c>
      <c r="M2081" s="21">
        <v>0</v>
      </c>
      <c r="N2081" s="21">
        <v>0</v>
      </c>
      <c r="O2081" s="21">
        <v>2</v>
      </c>
      <c r="P2081" s="21">
        <v>1</v>
      </c>
      <c r="Q2081" s="21">
        <v>0.3</v>
      </c>
      <c r="R2081" s="21">
        <v>0</v>
      </c>
      <c r="S2081" s="19">
        <v>0</v>
      </c>
      <c r="T2081" s="21">
        <v>0</v>
      </c>
      <c r="U2081" s="21">
        <v>1</v>
      </c>
      <c r="V2081" s="21">
        <v>2</v>
      </c>
      <c r="W2081" s="21">
        <v>0</v>
      </c>
      <c r="X2081" s="21">
        <v>2</v>
      </c>
      <c r="Y2081" s="19">
        <v>0</v>
      </c>
      <c r="Z2081" s="21">
        <v>0</v>
      </c>
      <c r="AA2081" s="21">
        <v>1</v>
      </c>
      <c r="AB2081" s="21">
        <v>0</v>
      </c>
      <c r="AC2081" s="21">
        <v>0</v>
      </c>
      <c r="AD2081" s="21">
        <v>0</v>
      </c>
      <c r="AE2081" s="21">
        <v>0</v>
      </c>
      <c r="AF2081" s="21">
        <v>12</v>
      </c>
      <c r="AG2081" s="21">
        <v>1</v>
      </c>
      <c r="AH2081" s="21" t="s">
        <v>613</v>
      </c>
      <c r="AI2081" s="19">
        <v>0</v>
      </c>
      <c r="AJ2081" s="19">
        <v>1</v>
      </c>
      <c r="AK2081" s="19">
        <v>0</v>
      </c>
      <c r="AL2081" s="19">
        <v>3</v>
      </c>
      <c r="AM2081" s="21">
        <v>0</v>
      </c>
      <c r="AN2081" s="21">
        <v>0</v>
      </c>
      <c r="AO2081" s="21">
        <v>0</v>
      </c>
      <c r="AP2081" s="21">
        <v>3</v>
      </c>
      <c r="AQ2081" s="21">
        <v>5000</v>
      </c>
      <c r="AR2081" s="21">
        <v>2.5</v>
      </c>
      <c r="AS2081" s="21">
        <v>0</v>
      </c>
      <c r="AT2081" s="19">
        <v>0</v>
      </c>
      <c r="AU2081" s="21">
        <v>80001030</v>
      </c>
      <c r="AV2081" s="21"/>
      <c r="AW2081" s="35" t="s">
        <v>293</v>
      </c>
      <c r="AX2081" s="21" t="s">
        <v>540</v>
      </c>
      <c r="AY2081" s="32">
        <v>10000007</v>
      </c>
      <c r="AZ2081" s="32">
        <v>70204001</v>
      </c>
      <c r="BA2081" s="30" t="s">
        <v>206</v>
      </c>
      <c r="BB2081" s="21">
        <v>0</v>
      </c>
      <c r="BC2081" s="31">
        <v>0</v>
      </c>
      <c r="BD2081" s="31">
        <v>0</v>
      </c>
      <c r="BE2081" s="33" t="s">
        <v>1099</v>
      </c>
      <c r="BF2081" s="33" t="s">
        <v>1100</v>
      </c>
      <c r="BG2081" s="21">
        <v>0</v>
      </c>
      <c r="BH2081" s="21">
        <v>0</v>
      </c>
      <c r="BI2081" s="21">
        <v>0</v>
      </c>
      <c r="BJ2081" s="21">
        <v>0</v>
      </c>
      <c r="BK2081" s="21">
        <v>0</v>
      </c>
      <c r="BL2081" s="21">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20.100000000000001" customHeight="1">
      <c r="C2082" s="32">
        <v>79000005</v>
      </c>
      <c r="D2082" s="35" t="s">
        <v>679</v>
      </c>
      <c r="E2082" s="35" t="s">
        <v>680</v>
      </c>
      <c r="F2082" s="32">
        <v>1</v>
      </c>
      <c r="G2082" s="32">
        <v>60010500</v>
      </c>
      <c r="H2082" s="32">
        <v>0</v>
      </c>
      <c r="I2082" s="31">
        <v>0</v>
      </c>
      <c r="J2082" s="32">
        <v>1</v>
      </c>
      <c r="K2082" s="32">
        <v>0</v>
      </c>
      <c r="L2082" s="32">
        <v>0</v>
      </c>
      <c r="M2082" s="32">
        <v>0</v>
      </c>
      <c r="N2082" s="32">
        <v>0</v>
      </c>
      <c r="O2082" s="72">
        <v>2</v>
      </c>
      <c r="P2082" s="32">
        <v>2</v>
      </c>
      <c r="Q2082" s="32">
        <v>0.6</v>
      </c>
      <c r="R2082" s="32">
        <v>0</v>
      </c>
      <c r="S2082" s="19">
        <v>0</v>
      </c>
      <c r="T2082" s="31">
        <v>0</v>
      </c>
      <c r="U2082" s="21">
        <v>1</v>
      </c>
      <c r="V2082" s="32">
        <v>2</v>
      </c>
      <c r="W2082" s="32">
        <v>0</v>
      </c>
      <c r="X2082" s="32">
        <v>0</v>
      </c>
      <c r="Y2082" s="19">
        <v>0</v>
      </c>
      <c r="Z2082" s="32">
        <v>0</v>
      </c>
      <c r="AA2082" s="32">
        <v>0</v>
      </c>
      <c r="AB2082" s="32">
        <v>0</v>
      </c>
      <c r="AC2082" s="32">
        <v>0</v>
      </c>
      <c r="AD2082" s="32">
        <v>0</v>
      </c>
      <c r="AE2082" s="32">
        <v>0</v>
      </c>
      <c r="AF2082" s="21">
        <v>99999</v>
      </c>
      <c r="AG2082" s="32">
        <v>0</v>
      </c>
      <c r="AH2082" s="32">
        <v>0</v>
      </c>
      <c r="AI2082" s="19">
        <v>2</v>
      </c>
      <c r="AJ2082" s="19">
        <v>0</v>
      </c>
      <c r="AK2082" s="19">
        <v>0</v>
      </c>
      <c r="AL2082" s="19">
        <v>0</v>
      </c>
      <c r="AM2082" s="32">
        <v>0</v>
      </c>
      <c r="AN2082" s="32">
        <v>0</v>
      </c>
      <c r="AO2082" s="32">
        <v>0</v>
      </c>
      <c r="AP2082" s="32">
        <v>0</v>
      </c>
      <c r="AQ2082" s="32">
        <v>1000</v>
      </c>
      <c r="AR2082" s="32">
        <v>0</v>
      </c>
      <c r="AS2082" s="32">
        <v>0</v>
      </c>
      <c r="AT2082" s="19">
        <v>90104002</v>
      </c>
      <c r="AU2082" s="32" t="s">
        <v>204</v>
      </c>
      <c r="AV2082" s="32"/>
      <c r="AW2082" s="35" t="s">
        <v>205</v>
      </c>
      <c r="AX2082" s="32" t="s">
        <v>354</v>
      </c>
      <c r="AY2082" s="32">
        <v>0</v>
      </c>
      <c r="AZ2082" s="32">
        <v>0</v>
      </c>
      <c r="BA2082" s="35" t="s">
        <v>206</v>
      </c>
      <c r="BB2082" s="35" t="s">
        <v>204</v>
      </c>
      <c r="BC2082" s="31">
        <v>0</v>
      </c>
      <c r="BD2082" s="31">
        <v>0</v>
      </c>
      <c r="BE2082" s="60" t="s">
        <v>681</v>
      </c>
      <c r="BF2082" s="60" t="s">
        <v>682</v>
      </c>
      <c r="BG2082" s="32">
        <v>0</v>
      </c>
      <c r="BH2082" s="21">
        <v>0</v>
      </c>
      <c r="BI2082" s="32">
        <v>0</v>
      </c>
      <c r="BJ2082" s="32">
        <v>0</v>
      </c>
      <c r="BK2082" s="32">
        <v>0</v>
      </c>
      <c r="BL2082" s="32">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79000006</v>
      </c>
      <c r="D2083" s="30" t="s">
        <v>538</v>
      </c>
      <c r="E2083" s="30" t="s">
        <v>261</v>
      </c>
      <c r="F2083" s="32">
        <v>1</v>
      </c>
      <c r="G2083" s="21">
        <v>0</v>
      </c>
      <c r="H2083" s="32">
        <v>0</v>
      </c>
      <c r="I2083" s="31">
        <v>0</v>
      </c>
      <c r="J2083" s="32">
        <v>1</v>
      </c>
      <c r="K2083" s="32">
        <v>0</v>
      </c>
      <c r="L2083" s="32">
        <v>0</v>
      </c>
      <c r="M2083" s="21">
        <v>0</v>
      </c>
      <c r="N2083" s="21">
        <v>0</v>
      </c>
      <c r="O2083" s="21">
        <v>2</v>
      </c>
      <c r="P2083" s="21">
        <v>1</v>
      </c>
      <c r="Q2083" s="21">
        <v>1</v>
      </c>
      <c r="R2083" s="21">
        <v>0</v>
      </c>
      <c r="S2083" s="19">
        <v>0</v>
      </c>
      <c r="T2083" s="21">
        <v>0</v>
      </c>
      <c r="U2083" s="21">
        <v>1</v>
      </c>
      <c r="V2083" s="21">
        <v>2</v>
      </c>
      <c r="W2083" s="21">
        <v>0</v>
      </c>
      <c r="X2083" s="21">
        <v>2</v>
      </c>
      <c r="Y2083" s="19">
        <v>0</v>
      </c>
      <c r="Z2083" s="21">
        <v>0</v>
      </c>
      <c r="AA2083" s="21">
        <v>1</v>
      </c>
      <c r="AB2083" s="21">
        <v>0</v>
      </c>
      <c r="AC2083" s="21">
        <v>0</v>
      </c>
      <c r="AD2083" s="21">
        <v>0</v>
      </c>
      <c r="AE2083" s="21">
        <v>0</v>
      </c>
      <c r="AF2083" s="21">
        <v>6</v>
      </c>
      <c r="AG2083" s="21">
        <v>1</v>
      </c>
      <c r="AH2083" s="21">
        <v>3</v>
      </c>
      <c r="AI2083" s="19">
        <v>0</v>
      </c>
      <c r="AJ2083" s="19">
        <v>0</v>
      </c>
      <c r="AK2083" s="19">
        <v>0</v>
      </c>
      <c r="AL2083" s="19">
        <v>1.5</v>
      </c>
      <c r="AM2083" s="21">
        <v>0</v>
      </c>
      <c r="AN2083" s="21">
        <v>0</v>
      </c>
      <c r="AO2083" s="21">
        <v>0</v>
      </c>
      <c r="AP2083" s="21">
        <v>1</v>
      </c>
      <c r="AQ2083" s="21">
        <v>5000</v>
      </c>
      <c r="AR2083" s="21">
        <v>0.5</v>
      </c>
      <c r="AS2083" s="21">
        <v>0</v>
      </c>
      <c r="AT2083" s="19">
        <v>0</v>
      </c>
      <c r="AU2083" s="21" t="s">
        <v>204</v>
      </c>
      <c r="AV2083" s="21"/>
      <c r="AW2083" s="35" t="s">
        <v>205</v>
      </c>
      <c r="AX2083" s="21" t="s">
        <v>540</v>
      </c>
      <c r="AY2083" s="32">
        <v>10000007</v>
      </c>
      <c r="AZ2083" s="32">
        <v>70105001</v>
      </c>
      <c r="BA2083" s="30" t="s">
        <v>206</v>
      </c>
      <c r="BB2083" s="21" t="s">
        <v>4418</v>
      </c>
      <c r="BC2083" s="31">
        <v>0</v>
      </c>
      <c r="BD2083" s="31">
        <v>0</v>
      </c>
      <c r="BE2083" s="33" t="s">
        <v>4419</v>
      </c>
      <c r="BF2083" s="33" t="s">
        <v>4420</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20.100000000000001" customHeight="1">
      <c r="C2084" s="32">
        <v>79000007</v>
      </c>
      <c r="D2084" s="35" t="s">
        <v>544</v>
      </c>
      <c r="E2084" s="35" t="s">
        <v>545</v>
      </c>
      <c r="F2084" s="32">
        <v>1</v>
      </c>
      <c r="G2084" s="32">
        <v>60010500</v>
      </c>
      <c r="H2084" s="32">
        <v>0</v>
      </c>
      <c r="I2084" s="31">
        <v>0</v>
      </c>
      <c r="J2084" s="32">
        <v>1</v>
      </c>
      <c r="K2084" s="32">
        <v>0</v>
      </c>
      <c r="L2084" s="32">
        <v>0</v>
      </c>
      <c r="M2084" s="32">
        <v>0</v>
      </c>
      <c r="N2084" s="32">
        <v>0</v>
      </c>
      <c r="O2084" s="21">
        <v>2</v>
      </c>
      <c r="P2084" s="32">
        <v>2</v>
      </c>
      <c r="Q2084" s="32">
        <v>0.8</v>
      </c>
      <c r="R2084" s="32">
        <v>0</v>
      </c>
      <c r="S2084" s="19">
        <v>0</v>
      </c>
      <c r="T2084" s="31">
        <v>0</v>
      </c>
      <c r="U2084" s="21">
        <v>1</v>
      </c>
      <c r="V2084" s="32">
        <v>2</v>
      </c>
      <c r="W2084" s="32">
        <v>0</v>
      </c>
      <c r="X2084" s="32">
        <v>0</v>
      </c>
      <c r="Y2084" s="19">
        <v>0</v>
      </c>
      <c r="Z2084" s="32">
        <v>0</v>
      </c>
      <c r="AA2084" s="32">
        <v>0</v>
      </c>
      <c r="AB2084" s="32">
        <v>0</v>
      </c>
      <c r="AC2084" s="32">
        <v>0</v>
      </c>
      <c r="AD2084" s="21">
        <v>0</v>
      </c>
      <c r="AE2084" s="32">
        <v>0</v>
      </c>
      <c r="AF2084" s="32">
        <v>20</v>
      </c>
      <c r="AG2084" s="32">
        <v>0</v>
      </c>
      <c r="AH2084" s="32">
        <v>0</v>
      </c>
      <c r="AI2084" s="19">
        <v>2</v>
      </c>
      <c r="AJ2084" s="19">
        <v>0</v>
      </c>
      <c r="AK2084" s="19">
        <v>0</v>
      </c>
      <c r="AL2084" s="19">
        <v>0</v>
      </c>
      <c r="AM2084" s="32">
        <v>0</v>
      </c>
      <c r="AN2084" s="32">
        <v>0</v>
      </c>
      <c r="AO2084" s="32">
        <v>0</v>
      </c>
      <c r="AP2084" s="32">
        <v>0</v>
      </c>
      <c r="AQ2084" s="32">
        <v>1000</v>
      </c>
      <c r="AR2084" s="32">
        <v>0</v>
      </c>
      <c r="AS2084" s="32">
        <v>0</v>
      </c>
      <c r="AT2084" s="19">
        <v>90401004</v>
      </c>
      <c r="AU2084" s="32" t="s">
        <v>204</v>
      </c>
      <c r="AV2084" s="32"/>
      <c r="AW2084" s="35" t="s">
        <v>205</v>
      </c>
      <c r="AX2084" s="32" t="s">
        <v>354</v>
      </c>
      <c r="AY2084" s="32">
        <v>0</v>
      </c>
      <c r="AZ2084" s="32">
        <v>40000003</v>
      </c>
      <c r="BA2084" s="35" t="s">
        <v>206</v>
      </c>
      <c r="BB2084" s="35" t="s">
        <v>204</v>
      </c>
      <c r="BC2084" s="31">
        <v>0</v>
      </c>
      <c r="BD2084" s="31">
        <v>0</v>
      </c>
      <c r="BE2084" s="60" t="s">
        <v>870</v>
      </c>
      <c r="BF2084" s="60" t="s">
        <v>871</v>
      </c>
      <c r="BG2084" s="32">
        <v>0</v>
      </c>
      <c r="BH2084" s="21">
        <v>0</v>
      </c>
      <c r="BI2084" s="32">
        <v>0</v>
      </c>
      <c r="BJ2084" s="32">
        <v>0</v>
      </c>
      <c r="BK2084" s="32">
        <v>0</v>
      </c>
      <c r="BL2084" s="32">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19.5" customHeight="1">
      <c r="C2085" s="32">
        <v>79000008</v>
      </c>
      <c r="D2085" s="30" t="s">
        <v>1130</v>
      </c>
      <c r="E2085" s="30" t="s">
        <v>1131</v>
      </c>
      <c r="F2085" s="32">
        <v>1</v>
      </c>
      <c r="G2085" s="21">
        <v>60010100</v>
      </c>
      <c r="H2085" s="32">
        <v>0</v>
      </c>
      <c r="I2085" s="31">
        <v>0</v>
      </c>
      <c r="J2085" s="32">
        <v>1</v>
      </c>
      <c r="K2085" s="32">
        <v>0</v>
      </c>
      <c r="L2085" s="32">
        <v>0</v>
      </c>
      <c r="M2085" s="21">
        <v>0</v>
      </c>
      <c r="N2085" s="21">
        <v>0</v>
      </c>
      <c r="O2085" s="21">
        <v>2</v>
      </c>
      <c r="P2085" s="21">
        <v>1</v>
      </c>
      <c r="Q2085" s="21">
        <v>0.3</v>
      </c>
      <c r="R2085" s="21">
        <v>0</v>
      </c>
      <c r="S2085" s="19">
        <v>0</v>
      </c>
      <c r="T2085" s="21">
        <v>0</v>
      </c>
      <c r="U2085" s="21">
        <v>1</v>
      </c>
      <c r="V2085" s="21">
        <v>2</v>
      </c>
      <c r="W2085" s="21">
        <v>0</v>
      </c>
      <c r="X2085" s="21">
        <v>1</v>
      </c>
      <c r="Y2085" s="19">
        <v>0</v>
      </c>
      <c r="Z2085" s="21">
        <v>0</v>
      </c>
      <c r="AA2085" s="21">
        <v>1</v>
      </c>
      <c r="AB2085" s="21">
        <v>0</v>
      </c>
      <c r="AC2085" s="21">
        <v>0</v>
      </c>
      <c r="AD2085" s="21">
        <v>0</v>
      </c>
      <c r="AE2085" s="21">
        <v>0</v>
      </c>
      <c r="AF2085" s="21">
        <v>30</v>
      </c>
      <c r="AG2085" s="21">
        <v>1</v>
      </c>
      <c r="AH2085" s="21" t="s">
        <v>867</v>
      </c>
      <c r="AI2085" s="19">
        <v>0</v>
      </c>
      <c r="AJ2085" s="19">
        <v>0</v>
      </c>
      <c r="AK2085" s="19">
        <v>0</v>
      </c>
      <c r="AL2085" s="19">
        <v>0</v>
      </c>
      <c r="AM2085" s="21">
        <v>0</v>
      </c>
      <c r="AN2085" s="21">
        <v>0</v>
      </c>
      <c r="AO2085" s="21">
        <v>0</v>
      </c>
      <c r="AP2085" s="21">
        <v>0.5</v>
      </c>
      <c r="AQ2085" s="21">
        <v>999999</v>
      </c>
      <c r="AR2085" s="21">
        <v>0.5</v>
      </c>
      <c r="AS2085" s="21">
        <v>0</v>
      </c>
      <c r="AT2085" s="19">
        <v>0</v>
      </c>
      <c r="AU2085" s="329" t="s">
        <v>1025</v>
      </c>
      <c r="AV2085" s="19"/>
      <c r="AW2085" s="35" t="s">
        <v>293</v>
      </c>
      <c r="AX2085" s="21" t="s">
        <v>540</v>
      </c>
      <c r="AY2085" s="32">
        <v>10000007</v>
      </c>
      <c r="AZ2085" s="32">
        <v>70202004</v>
      </c>
      <c r="BA2085" s="35" t="s">
        <v>321</v>
      </c>
      <c r="BB2085" s="35" t="s">
        <v>377</v>
      </c>
      <c r="BC2085" s="31">
        <v>0</v>
      </c>
      <c r="BD2085" s="31">
        <v>0</v>
      </c>
      <c r="BE2085" s="33" t="s">
        <v>4580</v>
      </c>
      <c r="BF2085" s="33" t="s">
        <v>4581</v>
      </c>
      <c r="BG2085" s="21">
        <v>0</v>
      </c>
      <c r="BH2085" s="21">
        <v>0</v>
      </c>
      <c r="BI2085" s="21">
        <v>0</v>
      </c>
      <c r="BJ2085" s="21">
        <v>0</v>
      </c>
      <c r="BK2085" s="21">
        <v>0</v>
      </c>
      <c r="BL2085" s="21">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20.100000000000001" customHeight="1">
      <c r="C2086" s="32">
        <v>79000009</v>
      </c>
      <c r="D2086" s="30" t="s">
        <v>549</v>
      </c>
      <c r="E2086" s="30" t="s">
        <v>550</v>
      </c>
      <c r="F2086" s="32">
        <v>1</v>
      </c>
      <c r="G2086" s="21">
        <v>60010300</v>
      </c>
      <c r="H2086" s="32">
        <v>0</v>
      </c>
      <c r="I2086" s="31">
        <v>0</v>
      </c>
      <c r="J2086" s="32">
        <v>1</v>
      </c>
      <c r="K2086" s="32">
        <v>0</v>
      </c>
      <c r="L2086" s="32">
        <v>0</v>
      </c>
      <c r="M2086" s="21">
        <v>0</v>
      </c>
      <c r="N2086" s="21">
        <v>0</v>
      </c>
      <c r="O2086" s="21">
        <v>2</v>
      </c>
      <c r="P2086" s="21">
        <v>1</v>
      </c>
      <c r="Q2086" s="21">
        <v>0.5</v>
      </c>
      <c r="R2086" s="21">
        <v>0</v>
      </c>
      <c r="S2086" s="19">
        <v>0</v>
      </c>
      <c r="T2086" s="21">
        <v>0</v>
      </c>
      <c r="U2086" s="21">
        <v>1</v>
      </c>
      <c r="V2086" s="21">
        <v>2</v>
      </c>
      <c r="W2086" s="21">
        <v>0</v>
      </c>
      <c r="X2086" s="21">
        <v>2</v>
      </c>
      <c r="Y2086" s="19">
        <v>0</v>
      </c>
      <c r="Z2086" s="21">
        <v>0</v>
      </c>
      <c r="AA2086" s="21">
        <v>0</v>
      </c>
      <c r="AB2086" s="21">
        <v>0</v>
      </c>
      <c r="AC2086" s="21">
        <v>0</v>
      </c>
      <c r="AD2086" s="21">
        <v>0</v>
      </c>
      <c r="AE2086" s="21">
        <v>0</v>
      </c>
      <c r="AF2086" s="21">
        <v>12</v>
      </c>
      <c r="AG2086" s="21">
        <v>2</v>
      </c>
      <c r="AH2086" s="21" t="s">
        <v>219</v>
      </c>
      <c r="AI2086" s="19">
        <v>0</v>
      </c>
      <c r="AJ2086" s="19">
        <v>2</v>
      </c>
      <c r="AK2086" s="19">
        <v>0</v>
      </c>
      <c r="AL2086" s="19">
        <v>1.5</v>
      </c>
      <c r="AM2086" s="21">
        <v>0</v>
      </c>
      <c r="AN2086" s="21">
        <v>0</v>
      </c>
      <c r="AO2086" s="21">
        <v>0</v>
      </c>
      <c r="AP2086" s="21">
        <v>2.5</v>
      </c>
      <c r="AQ2086" s="21">
        <v>4000</v>
      </c>
      <c r="AR2086" s="21">
        <v>2</v>
      </c>
      <c r="AS2086" s="21">
        <v>0</v>
      </c>
      <c r="AT2086" s="19">
        <v>0</v>
      </c>
      <c r="AU2086" s="21" t="s">
        <v>204</v>
      </c>
      <c r="AV2086" s="21"/>
      <c r="AW2086" s="35" t="s">
        <v>293</v>
      </c>
      <c r="AX2086" s="21" t="s">
        <v>551</v>
      </c>
      <c r="AY2086" s="32">
        <v>10001007</v>
      </c>
      <c r="AZ2086" s="32">
        <v>70103001</v>
      </c>
      <c r="BA2086" s="30" t="s">
        <v>206</v>
      </c>
      <c r="BB2086" s="21">
        <v>0</v>
      </c>
      <c r="BC2086" s="31">
        <v>0</v>
      </c>
      <c r="BD2086" s="31">
        <v>0</v>
      </c>
      <c r="BE2086" s="33" t="s">
        <v>552</v>
      </c>
      <c r="BF2086" s="33" t="s">
        <v>553</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19.5" customHeight="1">
      <c r="C2087" s="32">
        <v>79000010</v>
      </c>
      <c r="D2087" s="30" t="s">
        <v>4549</v>
      </c>
      <c r="E2087" s="30" t="s">
        <v>4550</v>
      </c>
      <c r="F2087" s="32">
        <v>1</v>
      </c>
      <c r="G2087" s="21">
        <v>60010100</v>
      </c>
      <c r="H2087" s="32">
        <v>0</v>
      </c>
      <c r="I2087" s="31">
        <v>0</v>
      </c>
      <c r="J2087" s="32">
        <v>1</v>
      </c>
      <c r="K2087" s="32">
        <v>0</v>
      </c>
      <c r="L2087" s="32">
        <v>0</v>
      </c>
      <c r="M2087" s="21">
        <v>0</v>
      </c>
      <c r="N2087" s="21">
        <v>0</v>
      </c>
      <c r="O2087" s="21">
        <v>2</v>
      </c>
      <c r="P2087" s="21">
        <v>1</v>
      </c>
      <c r="Q2087" s="21">
        <v>0.3</v>
      </c>
      <c r="R2087" s="21">
        <v>0</v>
      </c>
      <c r="S2087" s="19">
        <v>0</v>
      </c>
      <c r="T2087" s="21">
        <v>0</v>
      </c>
      <c r="U2087" s="21">
        <v>1</v>
      </c>
      <c r="V2087" s="21">
        <v>2</v>
      </c>
      <c r="W2087" s="21">
        <v>0</v>
      </c>
      <c r="X2087" s="21">
        <v>2</v>
      </c>
      <c r="Y2087" s="19">
        <v>0</v>
      </c>
      <c r="Z2087" s="21">
        <v>0</v>
      </c>
      <c r="AA2087" s="21">
        <v>1</v>
      </c>
      <c r="AB2087" s="21">
        <v>0</v>
      </c>
      <c r="AC2087" s="21">
        <v>0</v>
      </c>
      <c r="AD2087" s="21">
        <v>0</v>
      </c>
      <c r="AE2087" s="21">
        <v>0</v>
      </c>
      <c r="AF2087" s="21">
        <v>20</v>
      </c>
      <c r="AG2087" s="21">
        <v>1</v>
      </c>
      <c r="AH2087" s="21" t="s">
        <v>867</v>
      </c>
      <c r="AI2087" s="19">
        <v>1</v>
      </c>
      <c r="AJ2087" s="19">
        <v>0</v>
      </c>
      <c r="AK2087" s="19">
        <v>0</v>
      </c>
      <c r="AL2087" s="19">
        <v>0</v>
      </c>
      <c r="AM2087" s="21">
        <v>0</v>
      </c>
      <c r="AN2087" s="21">
        <v>0</v>
      </c>
      <c r="AO2087" s="21">
        <v>0</v>
      </c>
      <c r="AP2087" s="21">
        <v>0.5</v>
      </c>
      <c r="AQ2087" s="21">
        <v>999999</v>
      </c>
      <c r="AR2087" s="21">
        <v>2</v>
      </c>
      <c r="AS2087" s="21">
        <v>0</v>
      </c>
      <c r="AT2087" s="19">
        <v>0</v>
      </c>
      <c r="AU2087" s="21" t="s">
        <v>860</v>
      </c>
      <c r="AV2087" s="21"/>
      <c r="AW2087" s="35" t="s">
        <v>293</v>
      </c>
      <c r="AX2087" s="21" t="s">
        <v>540</v>
      </c>
      <c r="AY2087" s="32">
        <v>10000007</v>
      </c>
      <c r="AZ2087" s="32">
        <v>70405007</v>
      </c>
      <c r="BA2087" s="35" t="s">
        <v>321</v>
      </c>
      <c r="BB2087" s="35" t="s">
        <v>377</v>
      </c>
      <c r="BC2087" s="31">
        <v>0</v>
      </c>
      <c r="BD2087" s="31">
        <v>0</v>
      </c>
      <c r="BE2087" s="33" t="s">
        <v>4551</v>
      </c>
      <c r="BF2087" s="33" t="s">
        <v>4552</v>
      </c>
      <c r="BG2087" s="21">
        <v>0</v>
      </c>
      <c r="BH2087" s="21">
        <v>0</v>
      </c>
      <c r="BI2087" s="21">
        <v>0</v>
      </c>
      <c r="BJ2087" s="21">
        <v>0</v>
      </c>
      <c r="BK2087" s="21">
        <v>0</v>
      </c>
      <c r="BL2087" s="21">
        <v>0</v>
      </c>
      <c r="BM2087" s="25">
        <v>0</v>
      </c>
      <c r="BN2087" s="19">
        <v>0</v>
      </c>
      <c r="BO2087" s="19">
        <v>0</v>
      </c>
      <c r="BP2087" s="19">
        <v>0</v>
      </c>
      <c r="BQ2087" s="19">
        <v>0</v>
      </c>
      <c r="BR2087" s="19">
        <v>0</v>
      </c>
      <c r="BS2087" s="19">
        <v>0</v>
      </c>
      <c r="BT2087" s="19">
        <v>0</v>
      </c>
      <c r="BU2087" s="23">
        <v>0</v>
      </c>
      <c r="BV2087" s="23"/>
      <c r="BW2087" s="23"/>
      <c r="BX2087" s="23"/>
      <c r="BY2087" s="23"/>
      <c r="BZ2087" s="23"/>
    </row>
    <row r="2088" spans="3:78" ht="20.100000000000001" customHeight="1">
      <c r="C2088" s="32">
        <v>79000011</v>
      </c>
      <c r="D2088" s="35" t="s">
        <v>4590</v>
      </c>
      <c r="E2088" s="35" t="s">
        <v>4591</v>
      </c>
      <c r="F2088" s="32">
        <v>1</v>
      </c>
      <c r="G2088" s="32">
        <v>60010500</v>
      </c>
      <c r="H2088" s="32">
        <v>0</v>
      </c>
      <c r="I2088" s="31">
        <v>0</v>
      </c>
      <c r="J2088" s="32">
        <v>1</v>
      </c>
      <c r="K2088" s="32">
        <v>0</v>
      </c>
      <c r="L2088" s="32">
        <v>0</v>
      </c>
      <c r="M2088" s="32">
        <v>0</v>
      </c>
      <c r="N2088" s="32">
        <v>0</v>
      </c>
      <c r="O2088" s="21">
        <v>2</v>
      </c>
      <c r="P2088" s="32">
        <v>2</v>
      </c>
      <c r="Q2088" s="32">
        <v>0.95</v>
      </c>
      <c r="R2088" s="32">
        <v>0</v>
      </c>
      <c r="S2088" s="19">
        <v>0</v>
      </c>
      <c r="T2088" s="31">
        <v>0</v>
      </c>
      <c r="U2088" s="21">
        <v>1</v>
      </c>
      <c r="V2088" s="32">
        <v>2</v>
      </c>
      <c r="W2088" s="32">
        <v>0</v>
      </c>
      <c r="X2088" s="32">
        <v>0</v>
      </c>
      <c r="Y2088" s="19">
        <v>0</v>
      </c>
      <c r="Z2088" s="32">
        <v>0</v>
      </c>
      <c r="AA2088" s="32">
        <v>0</v>
      </c>
      <c r="AB2088" s="32">
        <v>0</v>
      </c>
      <c r="AC2088" s="32">
        <v>0</v>
      </c>
      <c r="AD2088" s="21">
        <v>0</v>
      </c>
      <c r="AE2088" s="32">
        <v>0</v>
      </c>
      <c r="AF2088" s="32">
        <v>20</v>
      </c>
      <c r="AG2088" s="32">
        <v>0</v>
      </c>
      <c r="AH2088" s="32">
        <v>0</v>
      </c>
      <c r="AI2088" s="19">
        <v>7</v>
      </c>
      <c r="AJ2088" s="19">
        <v>0</v>
      </c>
      <c r="AK2088" s="19">
        <v>0</v>
      </c>
      <c r="AL2088" s="19">
        <v>0</v>
      </c>
      <c r="AM2088" s="32">
        <v>0</v>
      </c>
      <c r="AN2088" s="32">
        <v>0</v>
      </c>
      <c r="AO2088" s="32">
        <v>0</v>
      </c>
      <c r="AP2088" s="32">
        <v>0</v>
      </c>
      <c r="AQ2088" s="32">
        <v>1000</v>
      </c>
      <c r="AR2088" s="32">
        <v>0.5</v>
      </c>
      <c r="AS2088" s="32">
        <v>0</v>
      </c>
      <c r="AT2088" s="19">
        <v>0</v>
      </c>
      <c r="AU2088" s="32">
        <v>83000001</v>
      </c>
      <c r="AV2088" s="32"/>
      <c r="AW2088" s="35" t="s">
        <v>747</v>
      </c>
      <c r="AX2088" s="32">
        <v>0</v>
      </c>
      <c r="AY2088" s="32">
        <v>10007001</v>
      </c>
      <c r="AZ2088" s="32">
        <v>0</v>
      </c>
      <c r="BA2088" s="35" t="s">
        <v>206</v>
      </c>
      <c r="BB2088" s="35" t="s">
        <v>204</v>
      </c>
      <c r="BC2088" s="31">
        <v>0</v>
      </c>
      <c r="BD2088" s="31">
        <v>0</v>
      </c>
      <c r="BE2088" s="60" t="s">
        <v>4592</v>
      </c>
      <c r="BF2088" s="60" t="s">
        <v>4593</v>
      </c>
      <c r="BG2088" s="32">
        <v>0</v>
      </c>
      <c r="BH2088" s="21">
        <v>0</v>
      </c>
      <c r="BI2088" s="32">
        <v>0</v>
      </c>
      <c r="BJ2088" s="32">
        <v>0</v>
      </c>
      <c r="BK2088" s="32">
        <v>0</v>
      </c>
      <c r="BL2088" s="32">
        <v>0</v>
      </c>
      <c r="BM2088" s="25">
        <v>0</v>
      </c>
      <c r="BN2088" s="19">
        <v>0</v>
      </c>
      <c r="BO2088" s="19">
        <v>0</v>
      </c>
      <c r="BP2088" s="19">
        <v>0</v>
      </c>
      <c r="BQ2088" s="19">
        <v>0</v>
      </c>
      <c r="BR2088" s="19">
        <v>0</v>
      </c>
      <c r="BS2088" s="19">
        <v>0</v>
      </c>
      <c r="BT2088" s="19">
        <v>0</v>
      </c>
      <c r="BU2088" s="23">
        <v>0</v>
      </c>
      <c r="BV2088" s="23"/>
      <c r="BW2088" s="23"/>
      <c r="BX2088" s="23"/>
      <c r="BY2088" s="23"/>
      <c r="BZ2088" s="23"/>
    </row>
    <row r="2089" spans="3:78" ht="20.100000000000001" customHeight="1">
      <c r="C2089" s="32">
        <v>79000012</v>
      </c>
      <c r="D2089" s="30" t="s">
        <v>766</v>
      </c>
      <c r="E2089" s="30" t="s">
        <v>767</v>
      </c>
      <c r="F2089" s="21">
        <v>2</v>
      </c>
      <c r="G2089" s="21">
        <v>61012301</v>
      </c>
      <c r="H2089" s="21">
        <v>0</v>
      </c>
      <c r="I2089" s="31">
        <v>0</v>
      </c>
      <c r="J2089" s="32">
        <v>1</v>
      </c>
      <c r="K2089" s="32">
        <v>0</v>
      </c>
      <c r="L2089" s="32">
        <v>0</v>
      </c>
      <c r="M2089" s="21">
        <v>0</v>
      </c>
      <c r="N2089" s="21">
        <v>0</v>
      </c>
      <c r="O2089" s="21">
        <v>2</v>
      </c>
      <c r="P2089" s="21">
        <v>1</v>
      </c>
      <c r="Q2089" s="21">
        <v>0.5</v>
      </c>
      <c r="R2089" s="21">
        <v>0</v>
      </c>
      <c r="S2089" s="19">
        <v>0</v>
      </c>
      <c r="T2089" s="21">
        <v>0</v>
      </c>
      <c r="U2089" s="21">
        <v>1</v>
      </c>
      <c r="V2089" s="21">
        <v>2</v>
      </c>
      <c r="W2089" s="21">
        <v>0</v>
      </c>
      <c r="X2089" s="21">
        <v>1.4</v>
      </c>
      <c r="Y2089" s="19">
        <v>0</v>
      </c>
      <c r="Z2089" s="21">
        <v>150</v>
      </c>
      <c r="AA2089" s="21">
        <v>1</v>
      </c>
      <c r="AB2089" s="21">
        <v>0</v>
      </c>
      <c r="AC2089" s="21">
        <v>0</v>
      </c>
      <c r="AD2089" s="21">
        <v>0</v>
      </c>
      <c r="AE2089" s="21">
        <v>0</v>
      </c>
      <c r="AF2089" s="21">
        <v>12</v>
      </c>
      <c r="AG2089" s="21">
        <v>2</v>
      </c>
      <c r="AH2089" s="21" t="s">
        <v>219</v>
      </c>
      <c r="AI2089" s="19">
        <v>0</v>
      </c>
      <c r="AJ2089" s="19">
        <v>2</v>
      </c>
      <c r="AK2089" s="19">
        <v>0</v>
      </c>
      <c r="AL2089" s="19">
        <v>1.5</v>
      </c>
      <c r="AM2089" s="21">
        <v>0</v>
      </c>
      <c r="AN2089" s="21">
        <v>0</v>
      </c>
      <c r="AO2089" s="21">
        <v>0</v>
      </c>
      <c r="AP2089" s="21">
        <v>1.5</v>
      </c>
      <c r="AQ2089" s="21">
        <v>1200</v>
      </c>
      <c r="AR2089" s="21">
        <v>1</v>
      </c>
      <c r="AS2089" s="21">
        <v>15</v>
      </c>
      <c r="AT2089" s="19">
        <v>0</v>
      </c>
      <c r="AU2089" s="21" t="s">
        <v>204</v>
      </c>
      <c r="AV2089" s="21"/>
      <c r="AW2089" s="30" t="s">
        <v>262</v>
      </c>
      <c r="AX2089" s="21" t="s">
        <v>221</v>
      </c>
      <c r="AY2089" s="32">
        <v>10000011</v>
      </c>
      <c r="AZ2089" s="32">
        <v>70404001</v>
      </c>
      <c r="BA2089" s="30" t="s">
        <v>222</v>
      </c>
      <c r="BB2089" s="21">
        <v>0</v>
      </c>
      <c r="BC2089" s="31">
        <v>0</v>
      </c>
      <c r="BD2089" s="31">
        <v>0</v>
      </c>
      <c r="BE2089" s="33" t="s">
        <v>804</v>
      </c>
      <c r="BF2089" s="33" t="s">
        <v>805</v>
      </c>
      <c r="BG2089" s="21">
        <v>0</v>
      </c>
      <c r="BH2089" s="21">
        <v>0</v>
      </c>
      <c r="BI2089" s="21">
        <v>0</v>
      </c>
      <c r="BJ2089" s="21">
        <v>0</v>
      </c>
      <c r="BK2089" s="21">
        <v>0</v>
      </c>
      <c r="BL2089" s="21">
        <v>0</v>
      </c>
      <c r="BM2089" s="25">
        <v>0</v>
      </c>
      <c r="BN2089" s="19">
        <v>0</v>
      </c>
      <c r="BO2089" s="19">
        <v>0</v>
      </c>
      <c r="BP2089" s="19">
        <v>0</v>
      </c>
      <c r="BQ2089" s="19">
        <v>0</v>
      </c>
      <c r="BR2089" s="19">
        <v>0</v>
      </c>
      <c r="BS2089" s="19">
        <v>0</v>
      </c>
      <c r="BT2089" s="19">
        <v>0</v>
      </c>
      <c r="BU2089" s="23">
        <v>0</v>
      </c>
      <c r="BV2089" s="23"/>
      <c r="BW2089" s="23"/>
      <c r="BX2089" s="23"/>
      <c r="BY2089" s="23"/>
      <c r="BZ2089" s="23"/>
    </row>
    <row r="2090" spans="3:78" ht="20.100000000000001" customHeight="1">
      <c r="C2090" s="107">
        <v>79000013</v>
      </c>
      <c r="D2090" s="110" t="s">
        <v>775</v>
      </c>
      <c r="E2090" s="110" t="s">
        <v>776</v>
      </c>
      <c r="F2090" s="100">
        <v>1</v>
      </c>
      <c r="G2090" s="100">
        <v>61012201</v>
      </c>
      <c r="H2090" s="100">
        <v>0</v>
      </c>
      <c r="I2090" s="105">
        <v>0</v>
      </c>
      <c r="J2090" s="107">
        <v>1</v>
      </c>
      <c r="K2090" s="100">
        <v>0</v>
      </c>
      <c r="L2090" s="100">
        <v>0</v>
      </c>
      <c r="M2090" s="100">
        <v>0</v>
      </c>
      <c r="N2090" s="100">
        <v>0</v>
      </c>
      <c r="O2090" s="100">
        <v>2</v>
      </c>
      <c r="P2090" s="100">
        <v>2</v>
      </c>
      <c r="Q2090" s="100">
        <v>0.8</v>
      </c>
      <c r="R2090" s="100">
        <v>0</v>
      </c>
      <c r="S2090" s="99">
        <v>0</v>
      </c>
      <c r="T2090" s="100">
        <v>0</v>
      </c>
      <c r="U2090" s="100">
        <v>1</v>
      </c>
      <c r="V2090" s="100">
        <v>2</v>
      </c>
      <c r="W2090" s="100">
        <v>0</v>
      </c>
      <c r="X2090" s="100">
        <v>3</v>
      </c>
      <c r="Y2090" s="19">
        <v>0</v>
      </c>
      <c r="Z2090" s="100">
        <v>0</v>
      </c>
      <c r="AA2090" s="100">
        <v>1</v>
      </c>
      <c r="AB2090" s="100">
        <v>0</v>
      </c>
      <c r="AC2090" s="100">
        <v>0</v>
      </c>
      <c r="AD2090" s="100">
        <v>0</v>
      </c>
      <c r="AE2090" s="100">
        <v>0</v>
      </c>
      <c r="AF2090" s="100">
        <v>12</v>
      </c>
      <c r="AG2090" s="100">
        <v>1</v>
      </c>
      <c r="AH2090" s="100">
        <v>3</v>
      </c>
      <c r="AI2090" s="99">
        <v>0</v>
      </c>
      <c r="AJ2090" s="99">
        <v>1</v>
      </c>
      <c r="AK2090" s="99">
        <v>0</v>
      </c>
      <c r="AL2090" s="99">
        <v>1.5</v>
      </c>
      <c r="AM2090" s="100">
        <v>0</v>
      </c>
      <c r="AN2090" s="100">
        <v>0</v>
      </c>
      <c r="AO2090" s="100">
        <v>0</v>
      </c>
      <c r="AP2090" s="100">
        <v>1</v>
      </c>
      <c r="AQ2090" s="100">
        <v>4000</v>
      </c>
      <c r="AR2090" s="100">
        <v>1</v>
      </c>
      <c r="AS2090" s="100">
        <v>0</v>
      </c>
      <c r="AT2090" s="99">
        <v>90104021</v>
      </c>
      <c r="AU2090" s="100">
        <v>90104022</v>
      </c>
      <c r="AV2090" s="100"/>
      <c r="AW2090" s="110" t="s">
        <v>768</v>
      </c>
      <c r="AX2090" s="100" t="s">
        <v>540</v>
      </c>
      <c r="AY2090" s="107">
        <v>10000001</v>
      </c>
      <c r="AZ2090" s="107">
        <v>62001403</v>
      </c>
      <c r="BA2090" s="110" t="s">
        <v>777</v>
      </c>
      <c r="BB2090" s="100">
        <v>0</v>
      </c>
      <c r="BC2090" s="105">
        <v>0</v>
      </c>
      <c r="BD2090" s="105">
        <v>0</v>
      </c>
      <c r="BE2090" s="136" t="s">
        <v>4619</v>
      </c>
      <c r="BF2090" s="136" t="s">
        <v>4620</v>
      </c>
      <c r="BG2090" s="100">
        <v>0</v>
      </c>
      <c r="BH2090" s="100">
        <v>0</v>
      </c>
      <c r="BI2090" s="100">
        <v>0</v>
      </c>
      <c r="BJ2090" s="100">
        <v>0</v>
      </c>
      <c r="BK2090" s="100">
        <v>0</v>
      </c>
      <c r="BL2090" s="100">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20.100000000000001" customHeight="1">
      <c r="C2091" s="107">
        <v>79000014</v>
      </c>
      <c r="D2091" s="108" t="s">
        <v>737</v>
      </c>
      <c r="E2091" s="108" t="s">
        <v>680</v>
      </c>
      <c r="F2091" s="97">
        <v>1</v>
      </c>
      <c r="G2091" s="97">
        <v>60010002</v>
      </c>
      <c r="H2091" s="97">
        <v>0</v>
      </c>
      <c r="I2091" s="98">
        <v>0</v>
      </c>
      <c r="J2091" s="97">
        <v>1</v>
      </c>
      <c r="K2091" s="97">
        <v>0</v>
      </c>
      <c r="L2091" s="98">
        <v>0</v>
      </c>
      <c r="M2091" s="98">
        <v>0</v>
      </c>
      <c r="N2091" s="97">
        <v>0</v>
      </c>
      <c r="O2091" s="97">
        <v>2</v>
      </c>
      <c r="P2091" s="97">
        <v>2</v>
      </c>
      <c r="Q2091" s="100">
        <v>0.8</v>
      </c>
      <c r="R2091" s="97">
        <v>1</v>
      </c>
      <c r="S2091" s="99">
        <v>0</v>
      </c>
      <c r="T2091" s="97">
        <v>0</v>
      </c>
      <c r="U2091" s="100">
        <v>1</v>
      </c>
      <c r="V2091" s="97">
        <v>1</v>
      </c>
      <c r="W2091" s="98">
        <v>0</v>
      </c>
      <c r="X2091" s="97">
        <v>2</v>
      </c>
      <c r="Y2091" s="19">
        <v>0</v>
      </c>
      <c r="Z2091" s="97">
        <v>0</v>
      </c>
      <c r="AA2091" s="97">
        <v>0</v>
      </c>
      <c r="AB2091" s="97">
        <v>0</v>
      </c>
      <c r="AC2091" s="98">
        <v>0</v>
      </c>
      <c r="AD2091" s="97">
        <v>0</v>
      </c>
      <c r="AE2091" s="97">
        <v>0</v>
      </c>
      <c r="AF2091" s="97">
        <v>10</v>
      </c>
      <c r="AG2091" s="97">
        <v>1</v>
      </c>
      <c r="AH2091" s="97">
        <v>5</v>
      </c>
      <c r="AI2091" s="101">
        <v>0</v>
      </c>
      <c r="AJ2091" s="101">
        <v>1</v>
      </c>
      <c r="AK2091" s="99">
        <v>0</v>
      </c>
      <c r="AL2091" s="97">
        <v>2.5</v>
      </c>
      <c r="AM2091" s="102">
        <v>0</v>
      </c>
      <c r="AN2091" s="97">
        <v>1</v>
      </c>
      <c r="AO2091" s="97">
        <v>0</v>
      </c>
      <c r="AP2091" s="97">
        <v>1</v>
      </c>
      <c r="AQ2091" s="97">
        <v>3000</v>
      </c>
      <c r="AR2091" s="97">
        <v>1</v>
      </c>
      <c r="AS2091" s="97">
        <v>0</v>
      </c>
      <c r="AT2091" s="323" t="s">
        <v>738</v>
      </c>
      <c r="AU2091" s="324" t="s">
        <v>739</v>
      </c>
      <c r="AV2091" s="109"/>
      <c r="AW2091" s="97" t="s">
        <v>293</v>
      </c>
      <c r="AX2091" s="98">
        <v>0</v>
      </c>
      <c r="AY2091" s="98">
        <v>0</v>
      </c>
      <c r="AZ2091" s="98">
        <v>62001401</v>
      </c>
      <c r="BA2091" s="104" t="s">
        <v>206</v>
      </c>
      <c r="BB2091" s="100">
        <v>0</v>
      </c>
      <c r="BC2091" s="105">
        <v>0</v>
      </c>
      <c r="BD2091" s="105">
        <v>0</v>
      </c>
      <c r="BE2091" s="106" t="s">
        <v>4621</v>
      </c>
      <c r="BF2091" s="106" t="s">
        <v>4622</v>
      </c>
      <c r="BG2091" s="97">
        <v>0</v>
      </c>
      <c r="BH2091" s="97">
        <v>0</v>
      </c>
      <c r="BI2091" s="107">
        <v>0</v>
      </c>
      <c r="BJ2091" s="97">
        <v>0</v>
      </c>
      <c r="BK2091" s="97">
        <v>0</v>
      </c>
      <c r="BL2091" s="102">
        <v>0</v>
      </c>
      <c r="BM2091" s="97">
        <v>0</v>
      </c>
      <c r="BN2091" s="99">
        <v>0</v>
      </c>
      <c r="BO2091" s="99">
        <v>0</v>
      </c>
      <c r="BP2091" s="99">
        <v>0</v>
      </c>
      <c r="BQ2091" s="99">
        <v>0</v>
      </c>
      <c r="BR2091" s="99">
        <v>0</v>
      </c>
      <c r="BS2091" s="99">
        <v>0</v>
      </c>
      <c r="BT2091" s="19">
        <v>0</v>
      </c>
      <c r="BU2091" s="23">
        <v>0</v>
      </c>
      <c r="BV2091" s="23"/>
      <c r="BW2091" s="23"/>
      <c r="BX2091" s="23"/>
      <c r="BY2091" s="23"/>
      <c r="BZ2091" s="23"/>
    </row>
    <row r="2092" spans="3:78" ht="20.100000000000001" customHeight="1">
      <c r="C2092" s="107">
        <v>79000015</v>
      </c>
      <c r="D2092" s="110" t="s">
        <v>816</v>
      </c>
      <c r="E2092" s="110" t="s">
        <v>817</v>
      </c>
      <c r="F2092" s="100">
        <v>2</v>
      </c>
      <c r="G2092" s="100">
        <v>61012301</v>
      </c>
      <c r="H2092" s="100">
        <v>0</v>
      </c>
      <c r="I2092" s="105">
        <v>0</v>
      </c>
      <c r="J2092" s="107">
        <v>1</v>
      </c>
      <c r="K2092" s="107">
        <v>0</v>
      </c>
      <c r="L2092" s="107">
        <v>0</v>
      </c>
      <c r="M2092" s="100">
        <v>0</v>
      </c>
      <c r="N2092" s="100">
        <v>0</v>
      </c>
      <c r="O2092" s="100">
        <v>2</v>
      </c>
      <c r="P2092" s="100">
        <v>2</v>
      </c>
      <c r="Q2092" s="100">
        <v>0.8</v>
      </c>
      <c r="R2092" s="100">
        <v>0</v>
      </c>
      <c r="S2092" s="99">
        <v>0</v>
      </c>
      <c r="T2092" s="100">
        <v>0</v>
      </c>
      <c r="U2092" s="100">
        <v>1</v>
      </c>
      <c r="V2092" s="100">
        <v>2</v>
      </c>
      <c r="W2092" s="100">
        <v>0</v>
      </c>
      <c r="X2092" s="100">
        <v>3</v>
      </c>
      <c r="Y2092" s="19">
        <v>0</v>
      </c>
      <c r="Z2092" s="100">
        <v>0</v>
      </c>
      <c r="AA2092" s="100">
        <v>1</v>
      </c>
      <c r="AB2092" s="100">
        <v>0</v>
      </c>
      <c r="AC2092" s="100">
        <v>0</v>
      </c>
      <c r="AD2092" s="100">
        <v>0</v>
      </c>
      <c r="AE2092" s="100">
        <v>1</v>
      </c>
      <c r="AF2092" s="100">
        <v>12</v>
      </c>
      <c r="AG2092" s="100">
        <v>1</v>
      </c>
      <c r="AH2092" s="100">
        <v>6</v>
      </c>
      <c r="AI2092" s="99">
        <v>0</v>
      </c>
      <c r="AJ2092" s="99">
        <v>1</v>
      </c>
      <c r="AK2092" s="99">
        <v>0</v>
      </c>
      <c r="AL2092" s="99">
        <v>3</v>
      </c>
      <c r="AM2092" s="100">
        <v>0</v>
      </c>
      <c r="AN2092" s="100">
        <v>1</v>
      </c>
      <c r="AO2092" s="100">
        <v>0</v>
      </c>
      <c r="AP2092" s="100">
        <v>1</v>
      </c>
      <c r="AQ2092" s="100">
        <v>3000</v>
      </c>
      <c r="AR2092" s="100">
        <v>1</v>
      </c>
      <c r="AS2092" s="100">
        <v>0</v>
      </c>
      <c r="AT2092" s="99">
        <v>0</v>
      </c>
      <c r="AU2092" s="327" t="s">
        <v>813</v>
      </c>
      <c r="AV2092" s="118"/>
      <c r="AW2092" s="110" t="s">
        <v>623</v>
      </c>
      <c r="AX2092" s="100" t="s">
        <v>221</v>
      </c>
      <c r="AY2092" s="107">
        <v>10000011</v>
      </c>
      <c r="AZ2092" s="107">
        <v>62001502</v>
      </c>
      <c r="BA2092" s="104" t="s">
        <v>206</v>
      </c>
      <c r="BB2092" s="100">
        <v>0</v>
      </c>
      <c r="BC2092" s="105">
        <v>0</v>
      </c>
      <c r="BD2092" s="105">
        <v>0</v>
      </c>
      <c r="BE2092" s="111" t="s">
        <v>818</v>
      </c>
      <c r="BF2092" s="111" t="s">
        <v>819</v>
      </c>
      <c r="BG2092" s="100">
        <v>0</v>
      </c>
      <c r="BH2092" s="100">
        <v>0</v>
      </c>
      <c r="BI2092" s="100">
        <v>0</v>
      </c>
      <c r="BJ2092" s="100">
        <v>0</v>
      </c>
      <c r="BK2092" s="100">
        <v>0</v>
      </c>
      <c r="BL2092" s="100">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20.100000000000001" customHeight="1">
      <c r="C2093" s="107">
        <v>79000016</v>
      </c>
      <c r="D2093" s="119" t="s">
        <v>820</v>
      </c>
      <c r="E2093" s="119" t="s">
        <v>821</v>
      </c>
      <c r="F2093" s="97">
        <v>1</v>
      </c>
      <c r="G2093" s="97">
        <v>60010002</v>
      </c>
      <c r="H2093" s="97">
        <v>0</v>
      </c>
      <c r="I2093" s="98">
        <v>0</v>
      </c>
      <c r="J2093" s="97">
        <v>0</v>
      </c>
      <c r="K2093" s="97">
        <v>0</v>
      </c>
      <c r="L2093" s="98">
        <v>0</v>
      </c>
      <c r="M2093" s="98">
        <v>0</v>
      </c>
      <c r="N2093" s="97">
        <v>0</v>
      </c>
      <c r="O2093" s="100">
        <v>2</v>
      </c>
      <c r="P2093" s="100">
        <v>2</v>
      </c>
      <c r="Q2093" s="97">
        <v>0.8</v>
      </c>
      <c r="R2093" s="97">
        <v>0</v>
      </c>
      <c r="S2093" s="99">
        <v>0</v>
      </c>
      <c r="T2093" s="97">
        <v>0</v>
      </c>
      <c r="U2093" s="100">
        <v>1</v>
      </c>
      <c r="V2093" s="97">
        <v>2</v>
      </c>
      <c r="W2093" s="98">
        <v>0</v>
      </c>
      <c r="X2093" s="97">
        <v>3</v>
      </c>
      <c r="Y2093" s="19">
        <v>0</v>
      </c>
      <c r="Z2093" s="97">
        <v>0</v>
      </c>
      <c r="AA2093" s="97">
        <v>0</v>
      </c>
      <c r="AB2093" s="97">
        <v>0</v>
      </c>
      <c r="AC2093" s="98">
        <v>0</v>
      </c>
      <c r="AD2093" s="97">
        <v>0</v>
      </c>
      <c r="AE2093" s="97">
        <v>0</v>
      </c>
      <c r="AF2093" s="97">
        <v>8</v>
      </c>
      <c r="AG2093" s="97">
        <v>2</v>
      </c>
      <c r="AH2093" s="97" t="s">
        <v>1042</v>
      </c>
      <c r="AI2093" s="101">
        <v>0</v>
      </c>
      <c r="AJ2093" s="101">
        <v>2</v>
      </c>
      <c r="AK2093" s="99">
        <v>0</v>
      </c>
      <c r="AL2093" s="97">
        <v>1.5</v>
      </c>
      <c r="AM2093" s="102">
        <v>0</v>
      </c>
      <c r="AN2093" s="97">
        <v>0</v>
      </c>
      <c r="AO2093" s="97">
        <v>0</v>
      </c>
      <c r="AP2093" s="97">
        <v>2.5</v>
      </c>
      <c r="AQ2093" s="100">
        <v>8000</v>
      </c>
      <c r="AR2093" s="97">
        <v>1.5</v>
      </c>
      <c r="AS2093" s="97">
        <v>10</v>
      </c>
      <c r="AT2093" s="99">
        <v>0</v>
      </c>
      <c r="AU2093" s="328" t="s">
        <v>813</v>
      </c>
      <c r="AV2093" s="100"/>
      <c r="AW2093" s="104" t="s">
        <v>293</v>
      </c>
      <c r="AX2093" s="98">
        <v>0</v>
      </c>
      <c r="AY2093" s="98">
        <v>0</v>
      </c>
      <c r="AZ2093" s="98">
        <v>62001503</v>
      </c>
      <c r="BA2093" s="104" t="s">
        <v>592</v>
      </c>
      <c r="BB2093" s="100" t="s">
        <v>822</v>
      </c>
      <c r="BC2093" s="105">
        <v>0</v>
      </c>
      <c r="BD2093" s="105">
        <v>0</v>
      </c>
      <c r="BE2093" s="111" t="s">
        <v>823</v>
      </c>
      <c r="BF2093" s="120" t="s">
        <v>824</v>
      </c>
      <c r="BG2093" s="97">
        <v>2</v>
      </c>
      <c r="BH2093" s="97">
        <v>0</v>
      </c>
      <c r="BI2093" s="107">
        <v>0</v>
      </c>
      <c r="BJ2093" s="97">
        <v>1</v>
      </c>
      <c r="BK2093" s="97">
        <v>2</v>
      </c>
      <c r="BL2093" s="102">
        <v>0</v>
      </c>
      <c r="BM2093" s="97">
        <v>0</v>
      </c>
      <c r="BN2093" s="99">
        <v>0</v>
      </c>
      <c r="BO2093" s="99">
        <v>0</v>
      </c>
      <c r="BP2093" s="99">
        <v>0</v>
      </c>
      <c r="BQ2093" s="99">
        <v>0</v>
      </c>
      <c r="BR2093" s="99">
        <v>0</v>
      </c>
      <c r="BS2093" s="99">
        <v>0</v>
      </c>
      <c r="BT2093" s="19">
        <v>0</v>
      </c>
      <c r="BU2093" s="23">
        <v>0</v>
      </c>
      <c r="BV2093" s="23"/>
      <c r="BW2093" s="23"/>
      <c r="BX2093" s="23"/>
      <c r="BY2093" s="23"/>
      <c r="BZ2093" s="23"/>
    </row>
    <row r="2094" spans="3:78" ht="19.5" customHeight="1">
      <c r="C2094" s="107">
        <v>79000017</v>
      </c>
      <c r="D2094" s="110" t="s">
        <v>1308</v>
      </c>
      <c r="E2094" s="110" t="s">
        <v>1309</v>
      </c>
      <c r="F2094" s="107">
        <v>1</v>
      </c>
      <c r="G2094" s="107">
        <v>80004009</v>
      </c>
      <c r="H2094" s="107">
        <v>0</v>
      </c>
      <c r="I2094" s="105">
        <v>0</v>
      </c>
      <c r="J2094" s="107">
        <v>1</v>
      </c>
      <c r="K2094" s="107">
        <v>0</v>
      </c>
      <c r="L2094" s="107">
        <v>0</v>
      </c>
      <c r="M2094" s="100">
        <v>0</v>
      </c>
      <c r="N2094" s="100">
        <v>0</v>
      </c>
      <c r="O2094" s="100">
        <v>2</v>
      </c>
      <c r="P2094" s="100">
        <v>16</v>
      </c>
      <c r="Q2094" s="100">
        <v>5</v>
      </c>
      <c r="R2094" s="100">
        <v>0</v>
      </c>
      <c r="S2094" s="99">
        <v>0</v>
      </c>
      <c r="T2094" s="100">
        <v>0</v>
      </c>
      <c r="U2094" s="100">
        <v>1</v>
      </c>
      <c r="V2094" s="100">
        <v>2</v>
      </c>
      <c r="W2094" s="100">
        <v>0</v>
      </c>
      <c r="X2094" s="100">
        <v>1</v>
      </c>
      <c r="Y2094" s="19">
        <v>0</v>
      </c>
      <c r="Z2094" s="100">
        <v>0</v>
      </c>
      <c r="AA2094" s="100">
        <v>0</v>
      </c>
      <c r="AB2094" s="100">
        <v>0</v>
      </c>
      <c r="AC2094" s="100">
        <v>0</v>
      </c>
      <c r="AD2094" s="100">
        <v>0</v>
      </c>
      <c r="AE2094" s="100">
        <v>1</v>
      </c>
      <c r="AF2094" s="100">
        <v>0</v>
      </c>
      <c r="AG2094" s="100">
        <v>1</v>
      </c>
      <c r="AH2094" s="100">
        <v>2</v>
      </c>
      <c r="AI2094" s="99">
        <v>0</v>
      </c>
      <c r="AJ2094" s="99">
        <v>2</v>
      </c>
      <c r="AK2094" s="99">
        <v>0</v>
      </c>
      <c r="AL2094" s="99">
        <v>2</v>
      </c>
      <c r="AM2094" s="100">
        <v>0</v>
      </c>
      <c r="AN2094" s="100">
        <v>0</v>
      </c>
      <c r="AO2094" s="100">
        <v>0</v>
      </c>
      <c r="AP2094" s="100">
        <v>2</v>
      </c>
      <c r="AQ2094" s="100">
        <v>5000</v>
      </c>
      <c r="AR2094" s="100">
        <v>0</v>
      </c>
      <c r="AS2094" s="100">
        <v>10</v>
      </c>
      <c r="AT2094" s="117">
        <v>0</v>
      </c>
      <c r="AU2094" s="327" t="s">
        <v>204</v>
      </c>
      <c r="AV2094" s="118"/>
      <c r="AW2094" s="110" t="s">
        <v>205</v>
      </c>
      <c r="AX2094" s="100" t="s">
        <v>540</v>
      </c>
      <c r="AY2094" s="107">
        <v>10000007</v>
      </c>
      <c r="AZ2094" s="325" t="s">
        <v>1310</v>
      </c>
      <c r="BA2094" s="110" t="s">
        <v>592</v>
      </c>
      <c r="BB2094" s="100" t="s">
        <v>1311</v>
      </c>
      <c r="BC2094" s="105">
        <v>0</v>
      </c>
      <c r="BD2094" s="105">
        <v>1</v>
      </c>
      <c r="BE2094" s="111" t="s">
        <v>1312</v>
      </c>
      <c r="BF2094" s="111" t="s">
        <v>1313</v>
      </c>
      <c r="BG2094" s="100">
        <v>0</v>
      </c>
      <c r="BH2094" s="100">
        <v>0</v>
      </c>
      <c r="BI2094" s="100">
        <v>0</v>
      </c>
      <c r="BJ2094" s="100">
        <v>0</v>
      </c>
      <c r="BK2094" s="100">
        <v>0</v>
      </c>
      <c r="BL2094" s="100">
        <v>0</v>
      </c>
      <c r="BM2094" s="97">
        <v>0</v>
      </c>
      <c r="BN2094" s="99">
        <v>0</v>
      </c>
      <c r="BO2094" s="99">
        <v>0</v>
      </c>
      <c r="BP2094" s="99">
        <v>0</v>
      </c>
      <c r="BQ2094" s="99">
        <v>0</v>
      </c>
      <c r="BR2094" s="99">
        <v>0</v>
      </c>
      <c r="BS2094" s="99">
        <v>1</v>
      </c>
      <c r="BT2094" s="19">
        <v>0</v>
      </c>
      <c r="BU2094" s="23">
        <v>0</v>
      </c>
      <c r="BV2094" s="23"/>
      <c r="BW2094" s="23"/>
      <c r="BX2094" s="23"/>
      <c r="BY2094" s="23"/>
      <c r="BZ2094" s="23"/>
    </row>
    <row r="2095" spans="3:78" ht="20.100000000000001" customHeight="1">
      <c r="C2095" s="107">
        <v>79000018</v>
      </c>
      <c r="D2095" s="110" t="s">
        <v>810</v>
      </c>
      <c r="E2095" s="110" t="s">
        <v>811</v>
      </c>
      <c r="F2095" s="100">
        <v>2</v>
      </c>
      <c r="G2095" s="100">
        <v>61012301</v>
      </c>
      <c r="H2095" s="100">
        <v>0</v>
      </c>
      <c r="I2095" s="105">
        <v>0</v>
      </c>
      <c r="J2095" s="107">
        <v>1</v>
      </c>
      <c r="K2095" s="107">
        <v>0</v>
      </c>
      <c r="L2095" s="107">
        <v>0</v>
      </c>
      <c r="M2095" s="100">
        <v>0</v>
      </c>
      <c r="N2095" s="100">
        <v>0</v>
      </c>
      <c r="O2095" s="100">
        <v>2</v>
      </c>
      <c r="P2095" s="100">
        <v>2</v>
      </c>
      <c r="Q2095" s="100">
        <v>0.99</v>
      </c>
      <c r="R2095" s="100">
        <v>0</v>
      </c>
      <c r="S2095" s="99">
        <v>0</v>
      </c>
      <c r="T2095" s="100">
        <v>0</v>
      </c>
      <c r="U2095" s="100">
        <v>1</v>
      </c>
      <c r="V2095" s="100">
        <v>2</v>
      </c>
      <c r="W2095" s="100">
        <v>0</v>
      </c>
      <c r="X2095" s="100">
        <v>2</v>
      </c>
      <c r="Y2095" s="19">
        <v>0</v>
      </c>
      <c r="Z2095" s="100">
        <v>150</v>
      </c>
      <c r="AA2095" s="100">
        <v>1</v>
      </c>
      <c r="AB2095" s="100">
        <v>0</v>
      </c>
      <c r="AC2095" s="100">
        <v>0</v>
      </c>
      <c r="AD2095" s="100">
        <v>0</v>
      </c>
      <c r="AE2095" s="100">
        <v>1</v>
      </c>
      <c r="AF2095" s="100">
        <v>10</v>
      </c>
      <c r="AG2095" s="100">
        <v>2</v>
      </c>
      <c r="AH2095" s="100" t="s">
        <v>219</v>
      </c>
      <c r="AI2095" s="99">
        <v>0</v>
      </c>
      <c r="AJ2095" s="99">
        <v>2</v>
      </c>
      <c r="AK2095" s="99">
        <v>0</v>
      </c>
      <c r="AL2095" s="99">
        <v>1.5</v>
      </c>
      <c r="AM2095" s="100">
        <v>0</v>
      </c>
      <c r="AN2095" s="100">
        <v>0</v>
      </c>
      <c r="AO2095" s="100">
        <v>0</v>
      </c>
      <c r="AP2095" s="100">
        <v>1.5</v>
      </c>
      <c r="AQ2095" s="100">
        <v>1600</v>
      </c>
      <c r="AR2095" s="100">
        <v>1</v>
      </c>
      <c r="AS2095" s="100">
        <v>15</v>
      </c>
      <c r="AT2095" s="326" t="s">
        <v>812</v>
      </c>
      <c r="AU2095" s="327" t="s">
        <v>813</v>
      </c>
      <c r="AV2095" s="118"/>
      <c r="AW2095" s="110" t="s">
        <v>262</v>
      </c>
      <c r="AX2095" s="100" t="s">
        <v>221</v>
      </c>
      <c r="AY2095" s="107">
        <v>10000011</v>
      </c>
      <c r="AZ2095" s="107">
        <v>62001501</v>
      </c>
      <c r="BA2095" s="110" t="s">
        <v>222</v>
      </c>
      <c r="BB2095" s="100">
        <v>0</v>
      </c>
      <c r="BC2095" s="105">
        <v>0</v>
      </c>
      <c r="BD2095" s="105">
        <v>0</v>
      </c>
      <c r="BE2095" s="111" t="s">
        <v>814</v>
      </c>
      <c r="BF2095" s="111" t="s">
        <v>815</v>
      </c>
      <c r="BG2095" s="100">
        <v>0</v>
      </c>
      <c r="BH2095" s="100">
        <v>0</v>
      </c>
      <c r="BI2095" s="100">
        <v>0</v>
      </c>
      <c r="BJ2095" s="100">
        <v>0</v>
      </c>
      <c r="BK2095" s="100">
        <v>0</v>
      </c>
      <c r="BL2095" s="100">
        <v>0</v>
      </c>
      <c r="BM2095" s="97">
        <v>0</v>
      </c>
      <c r="BN2095" s="99">
        <v>0</v>
      </c>
      <c r="BO2095" s="99">
        <v>0</v>
      </c>
      <c r="BP2095" s="99">
        <v>0</v>
      </c>
      <c r="BQ2095" s="99">
        <v>0</v>
      </c>
      <c r="BR2095" s="99">
        <v>0</v>
      </c>
      <c r="BS2095" s="99">
        <v>0</v>
      </c>
      <c r="BT2095" s="19">
        <v>0</v>
      </c>
      <c r="BU2095" s="23">
        <v>0</v>
      </c>
      <c r="BV2095" s="23"/>
      <c r="BW2095" s="23"/>
      <c r="BX2095" s="23"/>
      <c r="BY2095" s="23"/>
      <c r="BZ2095" s="23"/>
    </row>
    <row r="2096" spans="3:78" ht="20.100000000000001" customHeight="1">
      <c r="C2096" s="107">
        <v>79000019</v>
      </c>
      <c r="D2096" s="110" t="s">
        <v>1287</v>
      </c>
      <c r="E2096" s="110" t="s">
        <v>1288</v>
      </c>
      <c r="F2096" s="100">
        <v>1</v>
      </c>
      <c r="G2096" s="100">
        <v>61012201</v>
      </c>
      <c r="H2096" s="100">
        <v>0</v>
      </c>
      <c r="I2096" s="105">
        <v>0</v>
      </c>
      <c r="J2096" s="107">
        <v>1</v>
      </c>
      <c r="K2096" s="100">
        <v>0</v>
      </c>
      <c r="L2096" s="100">
        <v>0</v>
      </c>
      <c r="M2096" s="100">
        <v>0</v>
      </c>
      <c r="N2096" s="100">
        <v>0</v>
      </c>
      <c r="O2096" s="100">
        <v>2</v>
      </c>
      <c r="P2096" s="100">
        <v>2</v>
      </c>
      <c r="Q2096" s="100">
        <v>0.99</v>
      </c>
      <c r="R2096" s="100">
        <v>0</v>
      </c>
      <c r="S2096" s="99">
        <v>0</v>
      </c>
      <c r="T2096" s="100">
        <v>0</v>
      </c>
      <c r="U2096" s="100">
        <v>1</v>
      </c>
      <c r="V2096" s="100">
        <v>2</v>
      </c>
      <c r="W2096" s="100">
        <v>0</v>
      </c>
      <c r="X2096" s="100">
        <v>0</v>
      </c>
      <c r="Y2096" s="19">
        <v>0</v>
      </c>
      <c r="Z2096" s="100">
        <v>0</v>
      </c>
      <c r="AA2096" s="100">
        <v>1</v>
      </c>
      <c r="AB2096" s="100">
        <v>0</v>
      </c>
      <c r="AC2096" s="100">
        <v>0</v>
      </c>
      <c r="AD2096" s="100">
        <v>0</v>
      </c>
      <c r="AE2096" s="100">
        <v>1</v>
      </c>
      <c r="AF2096" s="100">
        <v>8</v>
      </c>
      <c r="AG2096" s="100">
        <v>1</v>
      </c>
      <c r="AH2096" s="100">
        <v>1</v>
      </c>
      <c r="AI2096" s="99">
        <v>0</v>
      </c>
      <c r="AJ2096" s="99">
        <v>1</v>
      </c>
      <c r="AK2096" s="99">
        <v>0</v>
      </c>
      <c r="AL2096" s="99">
        <v>1.5</v>
      </c>
      <c r="AM2096" s="100">
        <v>0</v>
      </c>
      <c r="AN2096" s="100">
        <v>0</v>
      </c>
      <c r="AO2096" s="100">
        <v>0</v>
      </c>
      <c r="AP2096" s="100">
        <v>0</v>
      </c>
      <c r="AQ2096" s="100">
        <v>300</v>
      </c>
      <c r="AR2096" s="100">
        <v>0</v>
      </c>
      <c r="AS2096" s="100">
        <v>0</v>
      </c>
      <c r="AT2096" s="323" t="s">
        <v>1289</v>
      </c>
      <c r="AU2096" s="100">
        <v>0</v>
      </c>
      <c r="AV2096" s="100"/>
      <c r="AW2096" s="110" t="s">
        <v>205</v>
      </c>
      <c r="AX2096" s="100" t="s">
        <v>540</v>
      </c>
      <c r="AY2096" s="107">
        <v>0</v>
      </c>
      <c r="AZ2096" s="107">
        <v>0</v>
      </c>
      <c r="BA2096" s="110" t="s">
        <v>777</v>
      </c>
      <c r="BB2096" s="100">
        <v>0</v>
      </c>
      <c r="BC2096" s="105">
        <v>0</v>
      </c>
      <c r="BD2096" s="105">
        <v>0</v>
      </c>
      <c r="BE2096" s="136" t="s">
        <v>1295</v>
      </c>
      <c r="BF2096" s="136" t="s">
        <v>1296</v>
      </c>
      <c r="BG2096" s="100">
        <v>0</v>
      </c>
      <c r="BH2096" s="100">
        <v>0</v>
      </c>
      <c r="BI2096" s="100">
        <v>0</v>
      </c>
      <c r="BJ2096" s="100">
        <v>0</v>
      </c>
      <c r="BK2096" s="100">
        <v>0</v>
      </c>
      <c r="BL2096" s="100">
        <v>0</v>
      </c>
      <c r="BM2096" s="97">
        <v>0</v>
      </c>
      <c r="BN2096" s="99">
        <v>0</v>
      </c>
      <c r="BO2096" s="99">
        <v>0</v>
      </c>
      <c r="BP2096" s="99">
        <v>0</v>
      </c>
      <c r="BQ2096" s="99">
        <v>0</v>
      </c>
      <c r="BR2096" s="99">
        <v>0</v>
      </c>
      <c r="BS2096" s="99">
        <v>1</v>
      </c>
      <c r="BT2096" s="19">
        <v>0</v>
      </c>
      <c r="BU2096" s="23">
        <v>0</v>
      </c>
      <c r="BV2096" s="23"/>
      <c r="BW2096" s="23"/>
      <c r="BX2096" s="23"/>
      <c r="BY2096" s="23"/>
      <c r="BZ2096" s="23"/>
    </row>
    <row r="2097" spans="3:78" ht="20.100000000000001" customHeight="1">
      <c r="C2097" s="107">
        <v>79000020</v>
      </c>
      <c r="D2097" s="104" t="s">
        <v>579</v>
      </c>
      <c r="E2097" s="104" t="s">
        <v>580</v>
      </c>
      <c r="F2097" s="107">
        <v>1</v>
      </c>
      <c r="G2097" s="107">
        <v>60010300</v>
      </c>
      <c r="H2097" s="107">
        <v>0</v>
      </c>
      <c r="I2097" s="105">
        <v>0</v>
      </c>
      <c r="J2097" s="107">
        <v>1</v>
      </c>
      <c r="K2097" s="107">
        <v>0</v>
      </c>
      <c r="L2097" s="107">
        <v>0</v>
      </c>
      <c r="M2097" s="107">
        <v>0</v>
      </c>
      <c r="N2097" s="107">
        <v>0</v>
      </c>
      <c r="O2097" s="100">
        <v>2</v>
      </c>
      <c r="P2097" s="107">
        <v>2</v>
      </c>
      <c r="Q2097" s="107">
        <v>0.6</v>
      </c>
      <c r="R2097" s="107">
        <v>0</v>
      </c>
      <c r="S2097" s="99">
        <v>0</v>
      </c>
      <c r="T2097" s="105">
        <v>0</v>
      </c>
      <c r="U2097" s="100">
        <v>1</v>
      </c>
      <c r="V2097" s="107">
        <v>2</v>
      </c>
      <c r="W2097" s="107">
        <v>0</v>
      </c>
      <c r="X2097" s="107">
        <v>0.5</v>
      </c>
      <c r="Y2097" s="19">
        <v>0</v>
      </c>
      <c r="Z2097" s="107">
        <v>0</v>
      </c>
      <c r="AA2097" s="107">
        <v>0</v>
      </c>
      <c r="AB2097" s="107">
        <v>0</v>
      </c>
      <c r="AC2097" s="107">
        <v>0</v>
      </c>
      <c r="AD2097" s="107">
        <v>0</v>
      </c>
      <c r="AE2097" s="107">
        <v>0</v>
      </c>
      <c r="AF2097" s="107">
        <v>12</v>
      </c>
      <c r="AG2097" s="107">
        <v>1</v>
      </c>
      <c r="AH2097" s="107">
        <v>3</v>
      </c>
      <c r="AI2097" s="99">
        <v>1</v>
      </c>
      <c r="AJ2097" s="99">
        <v>0</v>
      </c>
      <c r="AK2097" s="99">
        <v>0</v>
      </c>
      <c r="AL2097" s="99">
        <v>1.5</v>
      </c>
      <c r="AM2097" s="107">
        <v>0</v>
      </c>
      <c r="AN2097" s="107">
        <v>0</v>
      </c>
      <c r="AO2097" s="107">
        <v>0</v>
      </c>
      <c r="AP2097" s="107">
        <v>1</v>
      </c>
      <c r="AQ2097" s="107">
        <v>360000</v>
      </c>
      <c r="AR2097" s="107">
        <v>0.5</v>
      </c>
      <c r="AS2097" s="107">
        <v>0</v>
      </c>
      <c r="AT2097" s="99">
        <v>0</v>
      </c>
      <c r="AU2097" s="107" t="s">
        <v>581</v>
      </c>
      <c r="AV2097" s="107"/>
      <c r="AW2097" s="104" t="s">
        <v>205</v>
      </c>
      <c r="AX2097" s="107" t="s">
        <v>551</v>
      </c>
      <c r="AY2097" s="107">
        <v>10002001</v>
      </c>
      <c r="AZ2097" s="107">
        <v>70106001</v>
      </c>
      <c r="BA2097" s="104" t="s">
        <v>321</v>
      </c>
      <c r="BB2097" s="104" t="s">
        <v>582</v>
      </c>
      <c r="BC2097" s="105">
        <v>0</v>
      </c>
      <c r="BD2097" s="105">
        <v>0</v>
      </c>
      <c r="BE2097" s="112" t="s">
        <v>583</v>
      </c>
      <c r="BF2097" s="112" t="s">
        <v>584</v>
      </c>
      <c r="BG2097" s="107">
        <v>0</v>
      </c>
      <c r="BH2097" s="100">
        <v>0</v>
      </c>
      <c r="BI2097" s="107">
        <v>0</v>
      </c>
      <c r="BJ2097" s="107">
        <v>0</v>
      </c>
      <c r="BK2097" s="107">
        <v>0</v>
      </c>
      <c r="BL2097" s="107">
        <v>0</v>
      </c>
      <c r="BM2097" s="97">
        <v>0</v>
      </c>
      <c r="BN2097" s="99">
        <v>0</v>
      </c>
      <c r="BO2097" s="99">
        <v>0</v>
      </c>
      <c r="BP2097" s="99">
        <v>0</v>
      </c>
      <c r="BQ2097" s="99">
        <v>0</v>
      </c>
      <c r="BR2097" s="99">
        <v>0</v>
      </c>
      <c r="BS2097" s="99">
        <v>0</v>
      </c>
      <c r="BT2097" s="19">
        <v>0</v>
      </c>
      <c r="BU2097" s="23">
        <v>0</v>
      </c>
      <c r="BV2097" s="23"/>
      <c r="BW2097" s="23"/>
      <c r="BX2097" s="23"/>
      <c r="BY2097" s="23"/>
      <c r="BZ2097" s="23"/>
    </row>
    <row r="2098" spans="3:78" ht="20.100000000000001" customHeight="1">
      <c r="C2098" s="32">
        <v>79001001</v>
      </c>
      <c r="D2098" s="30" t="s">
        <v>1330</v>
      </c>
      <c r="E2098" s="30" t="s">
        <v>1331</v>
      </c>
      <c r="F2098" s="32">
        <v>1</v>
      </c>
      <c r="G2098" s="21">
        <v>60010100</v>
      </c>
      <c r="H2098" s="32">
        <v>0</v>
      </c>
      <c r="I2098" s="31">
        <v>0</v>
      </c>
      <c r="J2098" s="32">
        <v>1</v>
      </c>
      <c r="K2098" s="32">
        <v>0</v>
      </c>
      <c r="L2098" s="32">
        <v>0</v>
      </c>
      <c r="M2098" s="21">
        <v>0</v>
      </c>
      <c r="N2098" s="21">
        <v>0</v>
      </c>
      <c r="O2098" s="72">
        <v>2</v>
      </c>
      <c r="P2098" s="21">
        <v>1</v>
      </c>
      <c r="Q2098" s="21">
        <v>1</v>
      </c>
      <c r="R2098" s="21">
        <v>0</v>
      </c>
      <c r="S2098" s="19">
        <v>0</v>
      </c>
      <c r="T2098" s="21">
        <v>0</v>
      </c>
      <c r="U2098" s="21">
        <v>1</v>
      </c>
      <c r="V2098" s="21">
        <v>2</v>
      </c>
      <c r="W2098" s="21">
        <v>0</v>
      </c>
      <c r="X2098" s="21">
        <v>2</v>
      </c>
      <c r="Y2098" s="19">
        <v>0</v>
      </c>
      <c r="Z2098" s="21">
        <v>0</v>
      </c>
      <c r="AA2098" s="21">
        <v>1</v>
      </c>
      <c r="AB2098" s="21">
        <v>0</v>
      </c>
      <c r="AC2098" s="21">
        <v>0</v>
      </c>
      <c r="AD2098" s="21">
        <v>0</v>
      </c>
      <c r="AE2098" s="21">
        <v>0</v>
      </c>
      <c r="AF2098" s="21">
        <v>3</v>
      </c>
      <c r="AG2098" s="21">
        <v>2</v>
      </c>
      <c r="AH2098" s="21" t="s">
        <v>219</v>
      </c>
      <c r="AI2098" s="19">
        <v>0</v>
      </c>
      <c r="AJ2098" s="19">
        <v>2</v>
      </c>
      <c r="AK2098" s="19">
        <v>0</v>
      </c>
      <c r="AL2098" s="19">
        <v>1.5</v>
      </c>
      <c r="AM2098" s="21">
        <v>0</v>
      </c>
      <c r="AN2098" s="21">
        <v>0</v>
      </c>
      <c r="AO2098" s="21">
        <v>0</v>
      </c>
      <c r="AP2098" s="21">
        <v>1.5</v>
      </c>
      <c r="AQ2098" s="21">
        <v>10000</v>
      </c>
      <c r="AR2098" s="21">
        <v>1</v>
      </c>
      <c r="AS2098" s="21">
        <v>5</v>
      </c>
      <c r="AT2098" s="19">
        <v>0</v>
      </c>
      <c r="AU2098" s="21" t="s">
        <v>204</v>
      </c>
      <c r="AV2098" s="21"/>
      <c r="AW2098" s="35" t="s">
        <v>623</v>
      </c>
      <c r="AX2098" s="21" t="s">
        <v>540</v>
      </c>
      <c r="AY2098" s="32">
        <v>10000007</v>
      </c>
      <c r="AZ2098" s="32">
        <v>70302003</v>
      </c>
      <c r="BA2098" s="35" t="s">
        <v>592</v>
      </c>
      <c r="BB2098" s="31">
        <v>0</v>
      </c>
      <c r="BC2098" s="31">
        <v>0</v>
      </c>
      <c r="BD2098" s="31">
        <v>0</v>
      </c>
      <c r="BE2098" s="33" t="s">
        <v>1114</v>
      </c>
      <c r="BF2098" s="33" t="s">
        <v>1115</v>
      </c>
      <c r="BG2098" s="21">
        <v>1</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19.5" customHeight="1">
      <c r="C2099" s="32">
        <v>79002001</v>
      </c>
      <c r="D2099" s="30" t="s">
        <v>1097</v>
      </c>
      <c r="E2099" s="30" t="s">
        <v>1098</v>
      </c>
      <c r="F2099" s="32">
        <v>1</v>
      </c>
      <c r="G2099" s="21">
        <v>60010100</v>
      </c>
      <c r="H2099" s="32">
        <v>0</v>
      </c>
      <c r="I2099" s="31">
        <v>0</v>
      </c>
      <c r="J2099" s="32">
        <v>1</v>
      </c>
      <c r="K2099" s="32">
        <v>0</v>
      </c>
      <c r="L2099" s="32">
        <v>0</v>
      </c>
      <c r="M2099" s="21">
        <v>0</v>
      </c>
      <c r="N2099" s="21">
        <v>0</v>
      </c>
      <c r="O2099" s="72">
        <v>2</v>
      </c>
      <c r="P2099" s="21">
        <v>2</v>
      </c>
      <c r="Q2099" s="21">
        <v>0.9</v>
      </c>
      <c r="R2099" s="21">
        <v>0</v>
      </c>
      <c r="S2099" s="19">
        <v>101</v>
      </c>
      <c r="T2099" s="21">
        <v>0</v>
      </c>
      <c r="U2099" s="21">
        <v>1</v>
      </c>
      <c r="V2099" s="21">
        <v>2</v>
      </c>
      <c r="W2099" s="21">
        <v>0</v>
      </c>
      <c r="X2099" s="21">
        <v>3</v>
      </c>
      <c r="Y2099" s="19">
        <v>0</v>
      </c>
      <c r="Z2099" s="21">
        <v>0</v>
      </c>
      <c r="AA2099" s="21">
        <v>1</v>
      </c>
      <c r="AB2099" s="21">
        <v>0</v>
      </c>
      <c r="AC2099" s="21">
        <v>0</v>
      </c>
      <c r="AD2099" s="21">
        <v>0</v>
      </c>
      <c r="AE2099" s="21">
        <v>0</v>
      </c>
      <c r="AF2099" s="21">
        <v>10</v>
      </c>
      <c r="AG2099" s="21">
        <v>1</v>
      </c>
      <c r="AH2099" s="21" t="s">
        <v>613</v>
      </c>
      <c r="AI2099" s="19">
        <v>1</v>
      </c>
      <c r="AJ2099" s="19">
        <v>1</v>
      </c>
      <c r="AK2099" s="19">
        <v>0</v>
      </c>
      <c r="AL2099" s="19">
        <v>3</v>
      </c>
      <c r="AM2099" s="21">
        <v>0</v>
      </c>
      <c r="AN2099" s="21">
        <v>0</v>
      </c>
      <c r="AO2099" s="21">
        <v>0</v>
      </c>
      <c r="AP2099" s="21">
        <v>3</v>
      </c>
      <c r="AQ2099" s="21">
        <v>5000</v>
      </c>
      <c r="AR2099" s="21">
        <v>2.5</v>
      </c>
      <c r="AS2099" s="21">
        <v>0</v>
      </c>
      <c r="AT2099" s="19">
        <v>0</v>
      </c>
      <c r="AU2099" s="21" t="s">
        <v>665</v>
      </c>
      <c r="AV2099" s="21"/>
      <c r="AW2099" s="35" t="s">
        <v>262</v>
      </c>
      <c r="AX2099" s="21" t="s">
        <v>540</v>
      </c>
      <c r="AY2099" s="32">
        <v>10000007</v>
      </c>
      <c r="AZ2099" s="32">
        <v>70403003</v>
      </c>
      <c r="BA2099" s="30" t="s">
        <v>206</v>
      </c>
      <c r="BB2099" s="21">
        <v>0</v>
      </c>
      <c r="BC2099" s="31">
        <v>0</v>
      </c>
      <c r="BD2099" s="31">
        <v>0</v>
      </c>
      <c r="BE2099" s="33" t="s">
        <v>4500</v>
      </c>
      <c r="BF2099" s="33" t="s">
        <v>4501</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20.100000000000001" customHeight="1">
      <c r="C2100" s="32">
        <v>79003001</v>
      </c>
      <c r="D2100" s="30" t="s">
        <v>671</v>
      </c>
      <c r="E2100" s="30" t="s">
        <v>612</v>
      </c>
      <c r="F2100" s="21">
        <v>1</v>
      </c>
      <c r="G2100" s="21">
        <v>60010100</v>
      </c>
      <c r="H2100" s="32">
        <v>0</v>
      </c>
      <c r="I2100" s="31">
        <v>0</v>
      </c>
      <c r="J2100" s="32">
        <v>1</v>
      </c>
      <c r="K2100" s="32">
        <v>0</v>
      </c>
      <c r="L2100" s="32">
        <v>0</v>
      </c>
      <c r="M2100" s="21">
        <v>0</v>
      </c>
      <c r="N2100" s="21">
        <v>0</v>
      </c>
      <c r="O2100" s="21">
        <v>2</v>
      </c>
      <c r="P2100" s="21">
        <v>1</v>
      </c>
      <c r="Q2100" s="21">
        <v>0.5</v>
      </c>
      <c r="R2100" s="21">
        <v>0</v>
      </c>
      <c r="S2100" s="19">
        <v>0</v>
      </c>
      <c r="T2100" s="21">
        <v>0</v>
      </c>
      <c r="U2100" s="21">
        <v>1</v>
      </c>
      <c r="V2100" s="21">
        <v>2</v>
      </c>
      <c r="W2100" s="21">
        <v>0</v>
      </c>
      <c r="X2100" s="21">
        <v>3</v>
      </c>
      <c r="Y2100" s="19">
        <v>0</v>
      </c>
      <c r="Z2100" s="21">
        <v>0</v>
      </c>
      <c r="AA2100" s="21">
        <v>0</v>
      </c>
      <c r="AB2100" s="21">
        <v>0</v>
      </c>
      <c r="AC2100" s="21">
        <v>0</v>
      </c>
      <c r="AD2100" s="21">
        <v>0</v>
      </c>
      <c r="AE2100" s="21">
        <v>0</v>
      </c>
      <c r="AF2100" s="21">
        <v>10</v>
      </c>
      <c r="AG2100" s="21">
        <v>1</v>
      </c>
      <c r="AH2100" s="21">
        <v>3</v>
      </c>
      <c r="AI2100" s="19">
        <v>6</v>
      </c>
      <c r="AJ2100" s="19">
        <v>1</v>
      </c>
      <c r="AK2100" s="19">
        <v>0</v>
      </c>
      <c r="AL2100" s="19">
        <v>1.5</v>
      </c>
      <c r="AM2100" s="21">
        <v>0</v>
      </c>
      <c r="AN2100" s="21">
        <v>0</v>
      </c>
      <c r="AO2100" s="21">
        <v>0</v>
      </c>
      <c r="AP2100" s="21">
        <v>3</v>
      </c>
      <c r="AQ2100" s="21">
        <v>5000</v>
      </c>
      <c r="AR2100" s="21">
        <v>3</v>
      </c>
      <c r="AS2100" s="21">
        <v>0</v>
      </c>
      <c r="AT2100" s="19">
        <v>0</v>
      </c>
      <c r="AU2100" s="21" t="s">
        <v>204</v>
      </c>
      <c r="AV2100" s="21"/>
      <c r="AW2100" s="35" t="s">
        <v>262</v>
      </c>
      <c r="AX2100" s="21" t="s">
        <v>540</v>
      </c>
      <c r="AY2100" s="32">
        <v>10000007</v>
      </c>
      <c r="AZ2100" s="32">
        <v>70103003</v>
      </c>
      <c r="BA2100" s="30" t="s">
        <v>206</v>
      </c>
      <c r="BB2100" s="21" t="s">
        <v>4583</v>
      </c>
      <c r="BC2100" s="31">
        <v>0</v>
      </c>
      <c r="BD2100" s="31">
        <v>0</v>
      </c>
      <c r="BE2100" s="33" t="s">
        <v>673</v>
      </c>
      <c r="BF2100" s="33" t="s">
        <v>674</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19.5" customHeight="1">
      <c r="C2101" s="32">
        <v>79003002</v>
      </c>
      <c r="D2101" s="30" t="s">
        <v>1130</v>
      </c>
      <c r="E2101" s="30" t="s">
        <v>1131</v>
      </c>
      <c r="F2101" s="32">
        <v>1</v>
      </c>
      <c r="G2101" s="21">
        <v>60010100</v>
      </c>
      <c r="H2101" s="32">
        <v>0</v>
      </c>
      <c r="I2101" s="31">
        <v>0</v>
      </c>
      <c r="J2101" s="32">
        <v>1</v>
      </c>
      <c r="K2101" s="32">
        <v>0</v>
      </c>
      <c r="L2101" s="32">
        <v>0</v>
      </c>
      <c r="M2101" s="21">
        <v>0</v>
      </c>
      <c r="N2101" s="21">
        <v>0</v>
      </c>
      <c r="O2101" s="72">
        <v>2</v>
      </c>
      <c r="P2101" s="21">
        <v>1</v>
      </c>
      <c r="Q2101" s="21">
        <v>0.25</v>
      </c>
      <c r="R2101" s="21">
        <v>0</v>
      </c>
      <c r="S2101" s="19">
        <v>101</v>
      </c>
      <c r="T2101" s="21">
        <v>0</v>
      </c>
      <c r="U2101" s="21">
        <v>1</v>
      </c>
      <c r="V2101" s="21">
        <v>2</v>
      </c>
      <c r="W2101" s="21">
        <v>0</v>
      </c>
      <c r="X2101" s="21">
        <v>1.5</v>
      </c>
      <c r="Y2101" s="19">
        <v>0</v>
      </c>
      <c r="Z2101" s="21">
        <v>0</v>
      </c>
      <c r="AA2101" s="21">
        <v>1</v>
      </c>
      <c r="AB2101" s="21">
        <v>0</v>
      </c>
      <c r="AC2101" s="21">
        <v>0</v>
      </c>
      <c r="AD2101" s="21">
        <v>0</v>
      </c>
      <c r="AE2101" s="21">
        <v>0</v>
      </c>
      <c r="AF2101" s="21">
        <v>15</v>
      </c>
      <c r="AG2101" s="21">
        <v>1</v>
      </c>
      <c r="AH2101" s="21" t="s">
        <v>867</v>
      </c>
      <c r="AI2101" s="19">
        <v>0</v>
      </c>
      <c r="AJ2101" s="19">
        <v>0</v>
      </c>
      <c r="AK2101" s="19">
        <v>0</v>
      </c>
      <c r="AL2101" s="19">
        <v>0</v>
      </c>
      <c r="AM2101" s="21">
        <v>0</v>
      </c>
      <c r="AN2101" s="21">
        <v>0</v>
      </c>
      <c r="AO2101" s="21">
        <v>0</v>
      </c>
      <c r="AP2101" s="21">
        <v>0.5</v>
      </c>
      <c r="AQ2101" s="21">
        <v>100000</v>
      </c>
      <c r="AR2101" s="21">
        <v>0.5</v>
      </c>
      <c r="AS2101" s="21">
        <v>0</v>
      </c>
      <c r="AT2101" s="19">
        <v>0</v>
      </c>
      <c r="AU2101" s="329" t="s">
        <v>1025</v>
      </c>
      <c r="AV2101" s="19"/>
      <c r="AW2101" s="35" t="s">
        <v>293</v>
      </c>
      <c r="AX2101" s="21" t="s">
        <v>540</v>
      </c>
      <c r="AY2101" s="32">
        <v>10000007</v>
      </c>
      <c r="AZ2101" s="32">
        <v>70202004</v>
      </c>
      <c r="BA2101" s="35" t="s">
        <v>321</v>
      </c>
      <c r="BB2101" s="35" t="s">
        <v>377</v>
      </c>
      <c r="BC2101" s="31">
        <v>0</v>
      </c>
      <c r="BD2101" s="31">
        <v>0</v>
      </c>
      <c r="BE2101" s="33" t="s">
        <v>4580</v>
      </c>
      <c r="BF2101" s="33" t="s">
        <v>4581</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80000001</v>
      </c>
      <c r="D2102" s="30" t="s">
        <v>4623</v>
      </c>
      <c r="E2102" s="30" t="s">
        <v>4624</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4625</v>
      </c>
      <c r="BC2102" s="31">
        <v>0</v>
      </c>
      <c r="BD2102" s="31">
        <v>0</v>
      </c>
      <c r="BE2102" s="33" t="s">
        <v>4626</v>
      </c>
      <c r="BF2102" s="33" t="s">
        <v>4627</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80000002</v>
      </c>
      <c r="D2103" s="30" t="s">
        <v>4628</v>
      </c>
      <c r="E2103" s="30" t="s">
        <v>4629</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4625</v>
      </c>
      <c r="BC2103" s="31">
        <v>0</v>
      </c>
      <c r="BD2103" s="31">
        <v>0</v>
      </c>
      <c r="BE2103" s="33" t="s">
        <v>544</v>
      </c>
      <c r="BF2103" s="33" t="s">
        <v>545</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80000003</v>
      </c>
      <c r="D2104" s="30" t="s">
        <v>4630</v>
      </c>
      <c r="E2104" s="30" t="s">
        <v>4631</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4625</v>
      </c>
      <c r="BC2104" s="31">
        <v>0</v>
      </c>
      <c r="BD2104" s="31">
        <v>0</v>
      </c>
      <c r="BE2104" s="33" t="s">
        <v>4632</v>
      </c>
      <c r="BF2104" s="33" t="s">
        <v>4633</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80000004</v>
      </c>
      <c r="D2105" s="30" t="s">
        <v>4634</v>
      </c>
      <c r="E2105" s="30" t="s">
        <v>4635</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4625</v>
      </c>
      <c r="BC2105" s="31">
        <v>0</v>
      </c>
      <c r="BD2105" s="31">
        <v>0</v>
      </c>
      <c r="BE2105" s="33" t="s">
        <v>4636</v>
      </c>
      <c r="BF2105" s="33" t="s">
        <v>4637</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80000005</v>
      </c>
      <c r="D2106" s="30" t="s">
        <v>4638</v>
      </c>
      <c r="E2106" s="30" t="s">
        <v>4639</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4625</v>
      </c>
      <c r="BC2106" s="31">
        <v>0</v>
      </c>
      <c r="BD2106" s="31">
        <v>0</v>
      </c>
      <c r="BE2106" s="33" t="s">
        <v>4640</v>
      </c>
      <c r="BF2106" s="33" t="s">
        <v>4641</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80000006</v>
      </c>
      <c r="D2107" s="30" t="s">
        <v>4642</v>
      </c>
      <c r="E2107" s="30" t="s">
        <v>4643</v>
      </c>
      <c r="F2107" s="21">
        <v>1</v>
      </c>
      <c r="G2107" s="21">
        <v>80000001</v>
      </c>
      <c r="H2107" s="32">
        <v>0</v>
      </c>
      <c r="I2107" s="31">
        <v>0</v>
      </c>
      <c r="J2107" s="32">
        <v>1</v>
      </c>
      <c r="K2107" s="32">
        <v>0</v>
      </c>
      <c r="L2107" s="32">
        <v>0</v>
      </c>
      <c r="M2107" s="21">
        <v>0</v>
      </c>
      <c r="N2107" s="21">
        <v>0</v>
      </c>
      <c r="O2107" s="21">
        <v>1</v>
      </c>
      <c r="P2107" s="21">
        <v>0</v>
      </c>
      <c r="Q2107" s="21">
        <v>0</v>
      </c>
      <c r="R2107" s="21">
        <v>0</v>
      </c>
      <c r="S2107" s="19">
        <v>0</v>
      </c>
      <c r="T2107" s="21">
        <v>0</v>
      </c>
      <c r="U2107" s="21">
        <v>1</v>
      </c>
      <c r="V2107" s="21">
        <v>2</v>
      </c>
      <c r="W2107" s="21">
        <v>0</v>
      </c>
      <c r="X2107" s="21">
        <v>1.2</v>
      </c>
      <c r="Y2107" s="19">
        <v>0</v>
      </c>
      <c r="Z2107" s="21">
        <v>100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4625</v>
      </c>
      <c r="BC2107" s="31">
        <v>0</v>
      </c>
      <c r="BD2107" s="31">
        <v>0</v>
      </c>
      <c r="BE2107" s="33" t="s">
        <v>4644</v>
      </c>
      <c r="BF2107" s="33" t="s">
        <v>4645</v>
      </c>
      <c r="BG2107" s="21">
        <v>0</v>
      </c>
      <c r="BH2107" s="21">
        <v>0</v>
      </c>
      <c r="BI2107" s="21">
        <v>0</v>
      </c>
      <c r="BJ2107" s="21">
        <v>0</v>
      </c>
      <c r="BK2107" s="21">
        <v>0</v>
      </c>
      <c r="BL2107" s="21">
        <v>0</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80000007</v>
      </c>
      <c r="D2108" s="30" t="s">
        <v>4646</v>
      </c>
      <c r="E2108" s="30" t="s">
        <v>4647</v>
      </c>
      <c r="F2108" s="21">
        <v>1</v>
      </c>
      <c r="G2108" s="21">
        <v>80000001</v>
      </c>
      <c r="H2108" s="32">
        <v>0</v>
      </c>
      <c r="I2108" s="31">
        <v>0</v>
      </c>
      <c r="J2108" s="32">
        <v>1</v>
      </c>
      <c r="K2108" s="32">
        <v>0</v>
      </c>
      <c r="L2108" s="32">
        <v>0</v>
      </c>
      <c r="M2108" s="21">
        <v>0</v>
      </c>
      <c r="N2108" s="21">
        <v>0</v>
      </c>
      <c r="O2108" s="21">
        <v>1</v>
      </c>
      <c r="P2108" s="21">
        <v>0</v>
      </c>
      <c r="Q2108" s="21">
        <v>0</v>
      </c>
      <c r="R2108" s="21">
        <v>0</v>
      </c>
      <c r="S2108" s="19">
        <v>0</v>
      </c>
      <c r="T2108" s="21">
        <v>0</v>
      </c>
      <c r="U2108" s="21">
        <v>1</v>
      </c>
      <c r="V2108" s="21">
        <v>2</v>
      </c>
      <c r="W2108" s="21">
        <v>0</v>
      </c>
      <c r="X2108" s="21">
        <v>1.2</v>
      </c>
      <c r="Y2108" s="19">
        <v>0</v>
      </c>
      <c r="Z2108" s="21">
        <v>100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4625</v>
      </c>
      <c r="BC2108" s="31">
        <v>0</v>
      </c>
      <c r="BD2108" s="31">
        <v>0</v>
      </c>
      <c r="BE2108" s="33" t="s">
        <v>4648</v>
      </c>
      <c r="BF2108" s="33" t="s">
        <v>4649</v>
      </c>
      <c r="BG2108" s="21">
        <v>0</v>
      </c>
      <c r="BH2108" s="21">
        <v>0</v>
      </c>
      <c r="BI2108" s="21">
        <v>0</v>
      </c>
      <c r="BJ2108" s="21">
        <v>0</v>
      </c>
      <c r="BK2108" s="21">
        <v>0</v>
      </c>
      <c r="BL2108" s="21">
        <v>0</v>
      </c>
      <c r="BM2108" s="25">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80000008</v>
      </c>
      <c r="D2109" s="30" t="s">
        <v>4650</v>
      </c>
      <c r="E2109" s="30" t="s">
        <v>4651</v>
      </c>
      <c r="F2109" s="21">
        <v>1</v>
      </c>
      <c r="G2109" s="21">
        <v>80000001</v>
      </c>
      <c r="H2109" s="32">
        <v>0</v>
      </c>
      <c r="I2109" s="31">
        <v>0</v>
      </c>
      <c r="J2109" s="32">
        <v>1</v>
      </c>
      <c r="K2109" s="32">
        <v>0</v>
      </c>
      <c r="L2109" s="32">
        <v>0</v>
      </c>
      <c r="M2109" s="21">
        <v>0</v>
      </c>
      <c r="N2109" s="21">
        <v>0</v>
      </c>
      <c r="O2109" s="21">
        <v>1</v>
      </c>
      <c r="P2109" s="21">
        <v>0</v>
      </c>
      <c r="Q2109" s="21">
        <v>0</v>
      </c>
      <c r="R2109" s="21">
        <v>0</v>
      </c>
      <c r="S2109" s="19">
        <v>0</v>
      </c>
      <c r="T2109" s="21">
        <v>0</v>
      </c>
      <c r="U2109" s="21">
        <v>1</v>
      </c>
      <c r="V2109" s="21">
        <v>2</v>
      </c>
      <c r="W2109" s="21">
        <v>0</v>
      </c>
      <c r="X2109" s="21">
        <v>1.2</v>
      </c>
      <c r="Y2109" s="19">
        <v>0</v>
      </c>
      <c r="Z2109" s="21">
        <v>100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4625</v>
      </c>
      <c r="BC2109" s="31">
        <v>0</v>
      </c>
      <c r="BD2109" s="31">
        <v>0</v>
      </c>
      <c r="BE2109" s="33" t="s">
        <v>1733</v>
      </c>
      <c r="BF2109" s="33" t="s">
        <v>1734</v>
      </c>
      <c r="BG2109" s="21">
        <v>0</v>
      </c>
      <c r="BH2109" s="21">
        <v>0</v>
      </c>
      <c r="BI2109" s="21">
        <v>0</v>
      </c>
      <c r="BJ2109" s="21">
        <v>0</v>
      </c>
      <c r="BK2109" s="21">
        <v>0</v>
      </c>
      <c r="BL2109" s="21">
        <v>0</v>
      </c>
      <c r="BM2109" s="25">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80001001</v>
      </c>
      <c r="D2110" s="30" t="s">
        <v>4652</v>
      </c>
      <c r="E2110" s="279" t="s">
        <v>3391</v>
      </c>
      <c r="F2110" s="21">
        <v>1</v>
      </c>
      <c r="G2110" s="21">
        <v>80001001</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4653</v>
      </c>
      <c r="BC2110" s="31">
        <v>0</v>
      </c>
      <c r="BD2110" s="31">
        <v>0</v>
      </c>
      <c r="BE2110" s="33" t="s">
        <v>4654</v>
      </c>
      <c r="BF2110" s="33" t="s">
        <v>4655</v>
      </c>
      <c r="BG2110" s="21">
        <v>0</v>
      </c>
      <c r="BH2110" s="21">
        <v>0</v>
      </c>
      <c r="BI2110" s="21"/>
      <c r="BJ2110" s="21"/>
      <c r="BK2110" s="21"/>
      <c r="BL2110" s="21">
        <v>80002001</v>
      </c>
      <c r="BM2110" s="25">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80001002</v>
      </c>
      <c r="D2111" s="30" t="s">
        <v>4656</v>
      </c>
      <c r="E2111" s="279" t="s">
        <v>4657</v>
      </c>
      <c r="F2111" s="21">
        <v>1</v>
      </c>
      <c r="G2111" s="21">
        <v>80001002</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4658</v>
      </c>
      <c r="BC2111" s="31">
        <v>0</v>
      </c>
      <c r="BD2111" s="31">
        <v>0</v>
      </c>
      <c r="BE2111" s="33" t="s">
        <v>4659</v>
      </c>
      <c r="BF2111" s="33" t="s">
        <v>4660</v>
      </c>
      <c r="BG2111" s="21"/>
      <c r="BH2111" s="21">
        <v>0</v>
      </c>
      <c r="BI2111" s="21"/>
      <c r="BJ2111" s="21"/>
      <c r="BK2111" s="21"/>
      <c r="BL2111" s="21">
        <v>80002002</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32">
        <v>80001003</v>
      </c>
      <c r="D2112" s="30" t="s">
        <v>4661</v>
      </c>
      <c r="E2112" s="279" t="s">
        <v>4662</v>
      </c>
      <c r="F2112" s="21">
        <v>1</v>
      </c>
      <c r="G2112" s="21">
        <v>80001003</v>
      </c>
      <c r="H2112" s="32">
        <v>0</v>
      </c>
      <c r="I2112" s="31">
        <v>0</v>
      </c>
      <c r="J2112" s="32">
        <v>1</v>
      </c>
      <c r="K2112" s="32">
        <v>0</v>
      </c>
      <c r="L2112" s="32">
        <v>0</v>
      </c>
      <c r="M2112" s="21">
        <v>0</v>
      </c>
      <c r="N2112" s="21">
        <v>0</v>
      </c>
      <c r="O2112" s="21">
        <v>5</v>
      </c>
      <c r="P2112" s="21">
        <v>0</v>
      </c>
      <c r="Q2112" s="21">
        <v>0</v>
      </c>
      <c r="R2112" s="21">
        <v>0</v>
      </c>
      <c r="S2112" s="19">
        <v>0</v>
      </c>
      <c r="T2112" s="21">
        <v>0</v>
      </c>
      <c r="U2112" s="21">
        <v>1</v>
      </c>
      <c r="V2112" s="21">
        <v>2</v>
      </c>
      <c r="W2112" s="21">
        <v>0</v>
      </c>
      <c r="X2112" s="21">
        <v>0</v>
      </c>
      <c r="Y2112" s="19">
        <v>0</v>
      </c>
      <c r="Z2112" s="21">
        <v>0</v>
      </c>
      <c r="AA2112" s="21">
        <v>0</v>
      </c>
      <c r="AB2112" s="21">
        <v>0</v>
      </c>
      <c r="AC2112" s="21">
        <v>0</v>
      </c>
      <c r="AD2112" s="21">
        <v>0</v>
      </c>
      <c r="AE2112" s="21">
        <v>0</v>
      </c>
      <c r="AF2112" s="21">
        <v>9</v>
      </c>
      <c r="AG2112" s="21">
        <v>2</v>
      </c>
      <c r="AH2112" s="21" t="s">
        <v>219</v>
      </c>
      <c r="AI2112" s="19">
        <v>2</v>
      </c>
      <c r="AJ2112" s="19">
        <v>2</v>
      </c>
      <c r="AK2112" s="19">
        <v>0</v>
      </c>
      <c r="AL2112" s="19">
        <v>1.5</v>
      </c>
      <c r="AM2112" s="21">
        <v>0</v>
      </c>
      <c r="AN2112" s="21">
        <v>0</v>
      </c>
      <c r="AO2112" s="21">
        <v>0</v>
      </c>
      <c r="AP2112" s="21">
        <v>1</v>
      </c>
      <c r="AQ2112" s="21">
        <v>3000</v>
      </c>
      <c r="AR2112" s="21">
        <v>0.5</v>
      </c>
      <c r="AS2112" s="21">
        <v>0</v>
      </c>
      <c r="AT2112" s="19">
        <v>0</v>
      </c>
      <c r="AU2112" s="21" t="s">
        <v>204</v>
      </c>
      <c r="AV2112" s="21"/>
      <c r="AW2112" s="30" t="s">
        <v>293</v>
      </c>
      <c r="AX2112" s="21">
        <v>0</v>
      </c>
      <c r="AY2112" s="32">
        <v>0</v>
      </c>
      <c r="AZ2112" s="32">
        <v>0</v>
      </c>
      <c r="BA2112" s="30" t="s">
        <v>206</v>
      </c>
      <c r="BB2112" s="21" t="s">
        <v>4663</v>
      </c>
      <c r="BC2112" s="31">
        <v>0</v>
      </c>
      <c r="BD2112" s="31">
        <v>0</v>
      </c>
      <c r="BE2112" s="33" t="s">
        <v>4664</v>
      </c>
      <c r="BF2112" s="33" t="s">
        <v>4665</v>
      </c>
      <c r="BG2112" s="21"/>
      <c r="BH2112" s="21">
        <v>0</v>
      </c>
      <c r="BI2112" s="21"/>
      <c r="BJ2112" s="21"/>
      <c r="BK2112" s="21"/>
      <c r="BL2112" s="21">
        <v>80002003</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80001004</v>
      </c>
      <c r="D2113" s="30" t="s">
        <v>4666</v>
      </c>
      <c r="E2113" s="279" t="s">
        <v>4667</v>
      </c>
      <c r="F2113" s="21">
        <v>1</v>
      </c>
      <c r="G2113" s="21">
        <v>80001004</v>
      </c>
      <c r="H2113" s="32">
        <v>0</v>
      </c>
      <c r="I2113" s="31">
        <v>0</v>
      </c>
      <c r="J2113" s="32">
        <v>1</v>
      </c>
      <c r="K2113" s="32">
        <v>0</v>
      </c>
      <c r="L2113" s="32">
        <v>0</v>
      </c>
      <c r="M2113" s="21">
        <v>0</v>
      </c>
      <c r="N2113" s="21">
        <v>0</v>
      </c>
      <c r="O2113" s="21">
        <v>5</v>
      </c>
      <c r="P2113" s="21">
        <v>0</v>
      </c>
      <c r="Q2113" s="21">
        <v>0</v>
      </c>
      <c r="R2113" s="21">
        <v>0</v>
      </c>
      <c r="S2113" s="19">
        <v>0</v>
      </c>
      <c r="T2113" s="21">
        <v>0</v>
      </c>
      <c r="U2113" s="21">
        <v>1</v>
      </c>
      <c r="V2113" s="21">
        <v>2</v>
      </c>
      <c r="W2113" s="21">
        <v>0</v>
      </c>
      <c r="X2113" s="21">
        <v>0</v>
      </c>
      <c r="Y2113" s="19">
        <v>0</v>
      </c>
      <c r="Z2113" s="21">
        <v>0</v>
      </c>
      <c r="AA2113" s="21">
        <v>0</v>
      </c>
      <c r="AB2113" s="21">
        <v>0</v>
      </c>
      <c r="AC2113" s="21">
        <v>0</v>
      </c>
      <c r="AD2113" s="21">
        <v>0</v>
      </c>
      <c r="AE2113" s="21">
        <v>0</v>
      </c>
      <c r="AF2113" s="21">
        <v>9</v>
      </c>
      <c r="AG2113" s="21">
        <v>2</v>
      </c>
      <c r="AH2113" s="21" t="s">
        <v>219</v>
      </c>
      <c r="AI2113" s="19">
        <v>2</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t="s">
        <v>4668</v>
      </c>
      <c r="BC2113" s="31">
        <v>0</v>
      </c>
      <c r="BD2113" s="31">
        <v>0</v>
      </c>
      <c r="BE2113" s="33" t="s">
        <v>4669</v>
      </c>
      <c r="BF2113" s="33" t="s">
        <v>4670</v>
      </c>
      <c r="BG2113" s="21"/>
      <c r="BH2113" s="21">
        <v>0</v>
      </c>
      <c r="BI2113" s="21"/>
      <c r="BJ2113" s="21"/>
      <c r="BK2113" s="21"/>
      <c r="BL2113" s="21">
        <v>80002004</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32">
        <v>80001005</v>
      </c>
      <c r="D2114" s="30" t="s">
        <v>4671</v>
      </c>
      <c r="E2114" s="279" t="s">
        <v>4672</v>
      </c>
      <c r="F2114" s="21">
        <v>1</v>
      </c>
      <c r="G2114" s="21">
        <v>80001005</v>
      </c>
      <c r="H2114" s="32">
        <v>0</v>
      </c>
      <c r="I2114" s="31">
        <v>0</v>
      </c>
      <c r="J2114" s="32">
        <v>1</v>
      </c>
      <c r="K2114" s="32">
        <v>0</v>
      </c>
      <c r="L2114" s="32">
        <v>0</v>
      </c>
      <c r="M2114" s="21">
        <v>0</v>
      </c>
      <c r="N2114" s="21">
        <v>0</v>
      </c>
      <c r="O2114" s="21">
        <v>5</v>
      </c>
      <c r="P2114" s="21">
        <v>0</v>
      </c>
      <c r="Q2114" s="21">
        <v>0</v>
      </c>
      <c r="R2114" s="21">
        <v>0</v>
      </c>
      <c r="S2114" s="19">
        <v>0</v>
      </c>
      <c r="T2114" s="21">
        <v>0</v>
      </c>
      <c r="U2114" s="21">
        <v>1</v>
      </c>
      <c r="V2114" s="21">
        <v>2</v>
      </c>
      <c r="W2114" s="21">
        <v>0</v>
      </c>
      <c r="X2114" s="21">
        <v>0</v>
      </c>
      <c r="Y2114" s="19">
        <v>0</v>
      </c>
      <c r="Z2114" s="21">
        <v>0</v>
      </c>
      <c r="AA2114" s="21">
        <v>0</v>
      </c>
      <c r="AB2114" s="21">
        <v>0</v>
      </c>
      <c r="AC2114" s="21">
        <v>0</v>
      </c>
      <c r="AD2114" s="21">
        <v>0</v>
      </c>
      <c r="AE2114" s="21">
        <v>0</v>
      </c>
      <c r="AF2114" s="21">
        <v>9</v>
      </c>
      <c r="AG2114" s="21">
        <v>2</v>
      </c>
      <c r="AH2114" s="21" t="s">
        <v>219</v>
      </c>
      <c r="AI2114" s="19">
        <v>2</v>
      </c>
      <c r="AJ2114" s="19">
        <v>2</v>
      </c>
      <c r="AK2114" s="19">
        <v>0</v>
      </c>
      <c r="AL2114" s="19">
        <v>1.5</v>
      </c>
      <c r="AM2114" s="21">
        <v>0</v>
      </c>
      <c r="AN2114" s="21">
        <v>0</v>
      </c>
      <c r="AO2114" s="21">
        <v>0</v>
      </c>
      <c r="AP2114" s="21">
        <v>1</v>
      </c>
      <c r="AQ2114" s="21">
        <v>3000</v>
      </c>
      <c r="AR2114" s="21">
        <v>0.5</v>
      </c>
      <c r="AS2114" s="21">
        <v>0</v>
      </c>
      <c r="AT2114" s="19">
        <v>0</v>
      </c>
      <c r="AU2114" s="21" t="s">
        <v>204</v>
      </c>
      <c r="AV2114" s="21"/>
      <c r="AW2114" s="30" t="s">
        <v>293</v>
      </c>
      <c r="AX2114" s="21">
        <v>0</v>
      </c>
      <c r="AY2114" s="32">
        <v>0</v>
      </c>
      <c r="AZ2114" s="32">
        <v>0</v>
      </c>
      <c r="BA2114" s="30" t="s">
        <v>206</v>
      </c>
      <c r="BB2114" s="21" t="s">
        <v>4673</v>
      </c>
      <c r="BC2114" s="31">
        <v>0</v>
      </c>
      <c r="BD2114" s="31">
        <v>0</v>
      </c>
      <c r="BE2114" s="33" t="s">
        <v>4674</v>
      </c>
      <c r="BF2114" s="33" t="s">
        <v>4675</v>
      </c>
      <c r="BG2114" s="21"/>
      <c r="BH2114" s="21">
        <v>0</v>
      </c>
      <c r="BI2114" s="21"/>
      <c r="BJ2114" s="21"/>
      <c r="BK2114" s="21"/>
      <c r="BL2114" s="21">
        <v>80002005</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180">
        <v>80001006</v>
      </c>
      <c r="D2115" s="179" t="s">
        <v>2029</v>
      </c>
      <c r="E2115" s="279" t="s">
        <v>4676</v>
      </c>
      <c r="F2115" s="180">
        <v>1</v>
      </c>
      <c r="G2115" s="180">
        <v>80001006</v>
      </c>
      <c r="H2115" s="180">
        <v>0</v>
      </c>
      <c r="I2115" s="180">
        <v>0</v>
      </c>
      <c r="J2115" s="32">
        <v>1</v>
      </c>
      <c r="K2115" s="32">
        <v>0</v>
      </c>
      <c r="L2115" s="180">
        <v>0</v>
      </c>
      <c r="M2115" s="180">
        <v>0</v>
      </c>
      <c r="N2115" s="180">
        <v>0</v>
      </c>
      <c r="O2115" s="180">
        <v>5</v>
      </c>
      <c r="P2115" s="180">
        <v>0</v>
      </c>
      <c r="Q2115" s="180">
        <v>0</v>
      </c>
      <c r="R2115" s="180">
        <v>0</v>
      </c>
      <c r="S2115" s="19">
        <v>0</v>
      </c>
      <c r="T2115" s="180">
        <v>0</v>
      </c>
      <c r="U2115" s="180">
        <v>1</v>
      </c>
      <c r="V2115" s="180">
        <v>2</v>
      </c>
      <c r="W2115" s="180">
        <v>0</v>
      </c>
      <c r="X2115" s="21">
        <v>1</v>
      </c>
      <c r="Y2115" s="19">
        <v>0</v>
      </c>
      <c r="Z2115" s="21">
        <v>0</v>
      </c>
      <c r="AA2115" s="180">
        <v>0</v>
      </c>
      <c r="AB2115" s="180">
        <v>0</v>
      </c>
      <c r="AC2115" s="180">
        <v>0</v>
      </c>
      <c r="AD2115" s="180">
        <v>0</v>
      </c>
      <c r="AE2115" s="180">
        <v>0</v>
      </c>
      <c r="AF2115" s="180">
        <v>9</v>
      </c>
      <c r="AG2115" s="180">
        <v>2</v>
      </c>
      <c r="AH2115" s="180" t="s">
        <v>219</v>
      </c>
      <c r="AI2115" s="180">
        <v>2</v>
      </c>
      <c r="AJ2115" s="180">
        <v>2</v>
      </c>
      <c r="AK2115" s="19">
        <v>0</v>
      </c>
      <c r="AL2115" s="180">
        <v>1.5</v>
      </c>
      <c r="AM2115" s="180">
        <v>0</v>
      </c>
      <c r="AN2115" s="180">
        <v>0</v>
      </c>
      <c r="AO2115" s="180">
        <v>0</v>
      </c>
      <c r="AP2115" s="180">
        <v>1</v>
      </c>
      <c r="AQ2115" s="180">
        <v>3000</v>
      </c>
      <c r="AR2115" s="180">
        <v>0.5</v>
      </c>
      <c r="AS2115" s="180">
        <v>0</v>
      </c>
      <c r="AT2115" s="180">
        <v>0</v>
      </c>
      <c r="AU2115" s="180" t="s">
        <v>204</v>
      </c>
      <c r="AV2115" s="180"/>
      <c r="AW2115" s="179" t="s">
        <v>293</v>
      </c>
      <c r="AX2115" s="180">
        <v>0</v>
      </c>
      <c r="AY2115" s="180">
        <v>0</v>
      </c>
      <c r="AZ2115" s="180">
        <v>0</v>
      </c>
      <c r="BA2115" s="179" t="s">
        <v>206</v>
      </c>
      <c r="BB2115" s="180" t="s">
        <v>4677</v>
      </c>
      <c r="BC2115" s="180">
        <v>0</v>
      </c>
      <c r="BD2115" s="180">
        <v>0</v>
      </c>
      <c r="BE2115" s="243" t="s">
        <v>4678</v>
      </c>
      <c r="BF2115" s="243" t="s">
        <v>4679</v>
      </c>
      <c r="BG2115" s="180"/>
      <c r="BH2115" s="21">
        <v>0</v>
      </c>
      <c r="BI2115" s="180"/>
      <c r="BJ2115" s="180"/>
      <c r="BK2115" s="180"/>
      <c r="BL2115" s="180">
        <v>80002006</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80001007</v>
      </c>
      <c r="D2116" s="30" t="s">
        <v>3842</v>
      </c>
      <c r="E2116" s="279" t="s">
        <v>3843</v>
      </c>
      <c r="F2116" s="21">
        <v>1</v>
      </c>
      <c r="G2116" s="21">
        <v>80001007</v>
      </c>
      <c r="H2116" s="32">
        <v>0</v>
      </c>
      <c r="I2116" s="31">
        <v>0</v>
      </c>
      <c r="J2116" s="32">
        <v>1</v>
      </c>
      <c r="K2116" s="32">
        <v>0</v>
      </c>
      <c r="L2116" s="32">
        <v>0</v>
      </c>
      <c r="M2116" s="21">
        <v>0</v>
      </c>
      <c r="N2116" s="21">
        <v>0</v>
      </c>
      <c r="O2116" s="21">
        <v>2</v>
      </c>
      <c r="P2116" s="21">
        <v>3</v>
      </c>
      <c r="Q2116" s="21">
        <v>0.1</v>
      </c>
      <c r="R2116" s="21">
        <v>0</v>
      </c>
      <c r="S2116" s="19">
        <v>0</v>
      </c>
      <c r="T2116" s="21">
        <v>0</v>
      </c>
      <c r="U2116" s="21">
        <v>1</v>
      </c>
      <c r="V2116" s="21">
        <v>2</v>
      </c>
      <c r="W2116" s="21">
        <v>0</v>
      </c>
      <c r="X2116" s="21">
        <v>1</v>
      </c>
      <c r="Y2116" s="19">
        <v>0</v>
      </c>
      <c r="Z2116" s="21">
        <v>0</v>
      </c>
      <c r="AA2116" s="21">
        <v>0</v>
      </c>
      <c r="AB2116" s="21">
        <v>0</v>
      </c>
      <c r="AC2116" s="21">
        <v>0</v>
      </c>
      <c r="AD2116" s="21">
        <v>0</v>
      </c>
      <c r="AE2116" s="21">
        <v>0</v>
      </c>
      <c r="AF2116" s="21">
        <v>9</v>
      </c>
      <c r="AG2116" s="21">
        <v>1</v>
      </c>
      <c r="AH2116" s="21">
        <v>0</v>
      </c>
      <c r="AI2116" s="19">
        <v>1</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c r="BC2116" s="31">
        <v>0</v>
      </c>
      <c r="BD2116" s="31">
        <v>0</v>
      </c>
      <c r="BE2116" s="33" t="s">
        <v>5808</v>
      </c>
      <c r="BF2116" s="33" t="s">
        <v>4681</v>
      </c>
      <c r="BG2116" s="21"/>
      <c r="BH2116" s="21">
        <v>0</v>
      </c>
      <c r="BI2116" s="21"/>
      <c r="BJ2116" s="21"/>
      <c r="BK2116" s="21"/>
      <c r="BL2116" s="21">
        <v>80002007</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80001008</v>
      </c>
      <c r="D2117" s="30" t="s">
        <v>4682</v>
      </c>
      <c r="E2117" s="279" t="s">
        <v>1331</v>
      </c>
      <c r="F2117" s="21">
        <v>1</v>
      </c>
      <c r="G2117" s="21">
        <v>80001008</v>
      </c>
      <c r="H2117" s="32">
        <v>0</v>
      </c>
      <c r="I2117" s="31">
        <v>0</v>
      </c>
      <c r="J2117" s="32">
        <v>1</v>
      </c>
      <c r="K2117" s="32">
        <v>0</v>
      </c>
      <c r="L2117" s="32">
        <v>0</v>
      </c>
      <c r="M2117" s="21">
        <v>0</v>
      </c>
      <c r="N2117" s="21">
        <v>0</v>
      </c>
      <c r="O2117" s="21">
        <v>2</v>
      </c>
      <c r="P2117" s="21">
        <v>3</v>
      </c>
      <c r="Q2117" s="21">
        <v>0.2</v>
      </c>
      <c r="R2117" s="21">
        <v>0</v>
      </c>
      <c r="S2117" s="19">
        <v>0</v>
      </c>
      <c r="T2117" s="21">
        <v>0</v>
      </c>
      <c r="U2117" s="21">
        <v>1</v>
      </c>
      <c r="V2117" s="21">
        <v>2</v>
      </c>
      <c r="W2117" s="21">
        <v>0</v>
      </c>
      <c r="X2117" s="21">
        <v>0.5</v>
      </c>
      <c r="Y2117" s="19">
        <v>0</v>
      </c>
      <c r="Z2117" s="21">
        <v>0</v>
      </c>
      <c r="AA2117" s="21">
        <v>0</v>
      </c>
      <c r="AB2117" s="21">
        <v>0</v>
      </c>
      <c r="AC2117" s="21">
        <v>0</v>
      </c>
      <c r="AD2117" s="21">
        <v>0</v>
      </c>
      <c r="AE2117" s="21">
        <v>0</v>
      </c>
      <c r="AF2117" s="21">
        <v>9</v>
      </c>
      <c r="AG2117" s="21">
        <v>1</v>
      </c>
      <c r="AH2117" s="21">
        <v>0</v>
      </c>
      <c r="AI2117" s="19">
        <v>1</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c r="BC2117" s="31">
        <v>0</v>
      </c>
      <c r="BD2117" s="31">
        <v>0</v>
      </c>
      <c r="BE2117" s="33" t="s">
        <v>4683</v>
      </c>
      <c r="BF2117" s="33" t="s">
        <v>4684</v>
      </c>
      <c r="BG2117" s="21"/>
      <c r="BH2117" s="21">
        <v>0</v>
      </c>
      <c r="BI2117" s="21"/>
      <c r="BJ2117" s="21"/>
      <c r="BK2117" s="21"/>
      <c r="BL2117" s="21">
        <v>80002008</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80001009</v>
      </c>
      <c r="D2118" s="30" t="s">
        <v>3847</v>
      </c>
      <c r="E2118" s="279" t="s">
        <v>3848</v>
      </c>
      <c r="F2118" s="21">
        <v>1</v>
      </c>
      <c r="G2118" s="21">
        <v>80001009</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4685</v>
      </c>
      <c r="BC2118" s="31">
        <v>0</v>
      </c>
      <c r="BD2118" s="31">
        <v>0</v>
      </c>
      <c r="BE2118" s="33" t="s">
        <v>4686</v>
      </c>
      <c r="BF2118" s="33" t="s">
        <v>4687</v>
      </c>
      <c r="BG2118" s="21"/>
      <c r="BH2118" s="21">
        <v>0</v>
      </c>
      <c r="BI2118" s="21"/>
      <c r="BJ2118" s="21"/>
      <c r="BK2118" s="21"/>
      <c r="BL2118" s="21">
        <v>80002009</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80001010</v>
      </c>
      <c r="D2119" s="30" t="s">
        <v>2033</v>
      </c>
      <c r="E2119" s="279" t="s">
        <v>4688</v>
      </c>
      <c r="F2119" s="21">
        <v>1</v>
      </c>
      <c r="G2119" s="21">
        <v>80001010</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4689</v>
      </c>
      <c r="BC2119" s="31">
        <v>0</v>
      </c>
      <c r="BD2119" s="31">
        <v>0</v>
      </c>
      <c r="BE2119" s="33" t="s">
        <v>4690</v>
      </c>
      <c r="BF2119" s="33" t="s">
        <v>4691</v>
      </c>
      <c r="BG2119" s="21"/>
      <c r="BH2119" s="21">
        <v>0</v>
      </c>
      <c r="BI2119" s="21"/>
      <c r="BJ2119" s="21"/>
      <c r="BK2119" s="21"/>
      <c r="BL2119" s="21">
        <v>80002010</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80001011</v>
      </c>
      <c r="D2120" s="30" t="s">
        <v>4692</v>
      </c>
      <c r="E2120" s="279" t="s">
        <v>4693</v>
      </c>
      <c r="F2120" s="21">
        <v>1</v>
      </c>
      <c r="G2120" s="21">
        <v>80001011</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4694</v>
      </c>
      <c r="BC2120" s="31">
        <v>0</v>
      </c>
      <c r="BD2120" s="31">
        <v>0</v>
      </c>
      <c r="BE2120" s="33" t="s">
        <v>4695</v>
      </c>
      <c r="BF2120" s="33" t="s">
        <v>4696</v>
      </c>
      <c r="BG2120" s="21"/>
      <c r="BH2120" s="21">
        <v>0</v>
      </c>
      <c r="BI2120" s="21"/>
      <c r="BJ2120" s="21"/>
      <c r="BK2120" s="21"/>
      <c r="BL2120" s="21">
        <v>80002011</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32">
        <v>80001012</v>
      </c>
      <c r="D2121" s="30" t="s">
        <v>4697</v>
      </c>
      <c r="E2121" s="279" t="s">
        <v>4698</v>
      </c>
      <c r="F2121" s="21">
        <v>1</v>
      </c>
      <c r="G2121" s="21">
        <v>80001012</v>
      </c>
      <c r="H2121" s="32">
        <v>0</v>
      </c>
      <c r="I2121" s="31">
        <v>0</v>
      </c>
      <c r="J2121" s="32">
        <v>1</v>
      </c>
      <c r="K2121" s="32">
        <v>0</v>
      </c>
      <c r="L2121" s="32">
        <v>0</v>
      </c>
      <c r="M2121" s="21">
        <v>0</v>
      </c>
      <c r="N2121" s="21">
        <v>0</v>
      </c>
      <c r="O2121" s="21">
        <v>5</v>
      </c>
      <c r="P2121" s="21">
        <v>0</v>
      </c>
      <c r="Q2121" s="21">
        <v>0</v>
      </c>
      <c r="R2121" s="21">
        <v>0</v>
      </c>
      <c r="S2121" s="19">
        <v>0</v>
      </c>
      <c r="T2121" s="21">
        <v>0</v>
      </c>
      <c r="U2121" s="21">
        <v>1</v>
      </c>
      <c r="V2121" s="21">
        <v>2</v>
      </c>
      <c r="W2121" s="21">
        <v>0</v>
      </c>
      <c r="X2121" s="21">
        <v>0</v>
      </c>
      <c r="Y2121" s="19">
        <v>0</v>
      </c>
      <c r="Z2121" s="21">
        <v>0</v>
      </c>
      <c r="AA2121" s="21">
        <v>0</v>
      </c>
      <c r="AB2121" s="21">
        <v>0</v>
      </c>
      <c r="AC2121" s="21">
        <v>0</v>
      </c>
      <c r="AD2121" s="21">
        <v>0</v>
      </c>
      <c r="AE2121" s="21">
        <v>0</v>
      </c>
      <c r="AF2121" s="21">
        <v>9</v>
      </c>
      <c r="AG2121" s="21">
        <v>2</v>
      </c>
      <c r="AH2121" s="21" t="s">
        <v>219</v>
      </c>
      <c r="AI2121" s="19">
        <v>2</v>
      </c>
      <c r="AJ2121" s="19">
        <v>2</v>
      </c>
      <c r="AK2121" s="19">
        <v>0</v>
      </c>
      <c r="AL2121" s="19">
        <v>1.5</v>
      </c>
      <c r="AM2121" s="21">
        <v>0</v>
      </c>
      <c r="AN2121" s="21">
        <v>0</v>
      </c>
      <c r="AO2121" s="21">
        <v>0</v>
      </c>
      <c r="AP2121" s="21">
        <v>1</v>
      </c>
      <c r="AQ2121" s="21">
        <v>3000</v>
      </c>
      <c r="AR2121" s="21">
        <v>0.5</v>
      </c>
      <c r="AS2121" s="21">
        <v>0</v>
      </c>
      <c r="AT2121" s="19">
        <v>0</v>
      </c>
      <c r="AU2121" s="21" t="s">
        <v>204</v>
      </c>
      <c r="AV2121" s="21"/>
      <c r="AW2121" s="30" t="s">
        <v>293</v>
      </c>
      <c r="AX2121" s="21">
        <v>0</v>
      </c>
      <c r="AY2121" s="32">
        <v>0</v>
      </c>
      <c r="AZ2121" s="32">
        <v>0</v>
      </c>
      <c r="BA2121" s="30" t="s">
        <v>206</v>
      </c>
      <c r="BB2121" s="21" t="s">
        <v>4699</v>
      </c>
      <c r="BC2121" s="31">
        <v>0</v>
      </c>
      <c r="BD2121" s="31">
        <v>0</v>
      </c>
      <c r="BE2121" s="33" t="s">
        <v>4700</v>
      </c>
      <c r="BF2121" s="33" t="s">
        <v>4701</v>
      </c>
      <c r="BG2121" s="21"/>
      <c r="BH2121" s="21">
        <v>0</v>
      </c>
      <c r="BI2121" s="21"/>
      <c r="BJ2121" s="21"/>
      <c r="BK2121" s="21"/>
      <c r="BL2121" s="21">
        <v>80002012</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80001013</v>
      </c>
      <c r="D2122" s="30" t="s">
        <v>4702</v>
      </c>
      <c r="E2122" s="279" t="s">
        <v>4703</v>
      </c>
      <c r="F2122" s="21">
        <v>1</v>
      </c>
      <c r="G2122" s="21">
        <v>80001013</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4375</v>
      </c>
      <c r="BC2122" s="31">
        <v>0</v>
      </c>
      <c r="BD2122" s="31">
        <v>0</v>
      </c>
      <c r="BE2122" s="33" t="s">
        <v>4704</v>
      </c>
      <c r="BF2122" s="33" t="s">
        <v>4705</v>
      </c>
      <c r="BG2122" s="21"/>
      <c r="BH2122" s="21">
        <v>0</v>
      </c>
      <c r="BI2122" s="21"/>
      <c r="BJ2122" s="21"/>
      <c r="BK2122" s="21"/>
      <c r="BL2122" s="21">
        <v>80002013</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32">
        <v>80001014</v>
      </c>
      <c r="D2123" s="30" t="s">
        <v>3138</v>
      </c>
      <c r="E2123" s="279" t="s">
        <v>3139</v>
      </c>
      <c r="F2123" s="21">
        <v>1</v>
      </c>
      <c r="G2123" s="21">
        <v>80001014</v>
      </c>
      <c r="H2123" s="32">
        <v>0</v>
      </c>
      <c r="I2123" s="31">
        <v>0</v>
      </c>
      <c r="J2123" s="32">
        <v>1</v>
      </c>
      <c r="K2123" s="32">
        <v>0</v>
      </c>
      <c r="L2123" s="32">
        <v>0</v>
      </c>
      <c r="M2123" s="21">
        <v>0</v>
      </c>
      <c r="N2123" s="21">
        <v>0</v>
      </c>
      <c r="O2123" s="21">
        <v>5</v>
      </c>
      <c r="P2123" s="21">
        <v>0</v>
      </c>
      <c r="Q2123" s="21">
        <v>0</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219</v>
      </c>
      <c r="AI2123" s="19">
        <v>2</v>
      </c>
      <c r="AJ2123" s="19">
        <v>2</v>
      </c>
      <c r="AK2123" s="19">
        <v>0</v>
      </c>
      <c r="AL2123" s="19">
        <v>1.5</v>
      </c>
      <c r="AM2123" s="21">
        <v>0</v>
      </c>
      <c r="AN2123" s="21">
        <v>0</v>
      </c>
      <c r="AO2123" s="21">
        <v>0</v>
      </c>
      <c r="AP2123" s="21">
        <v>1</v>
      </c>
      <c r="AQ2123" s="21">
        <v>3000</v>
      </c>
      <c r="AR2123" s="21">
        <v>0.5</v>
      </c>
      <c r="AS2123" s="21">
        <v>0</v>
      </c>
      <c r="AT2123" s="19">
        <v>0</v>
      </c>
      <c r="AU2123" s="21" t="s">
        <v>204</v>
      </c>
      <c r="AV2123" s="21"/>
      <c r="AW2123" s="30" t="s">
        <v>293</v>
      </c>
      <c r="AX2123" s="21">
        <v>0</v>
      </c>
      <c r="AY2123" s="32">
        <v>0</v>
      </c>
      <c r="AZ2123" s="32">
        <v>0</v>
      </c>
      <c r="BA2123" s="30" t="s">
        <v>206</v>
      </c>
      <c r="BB2123" s="21" t="s">
        <v>4706</v>
      </c>
      <c r="BC2123" s="31">
        <v>0</v>
      </c>
      <c r="BD2123" s="31">
        <v>0</v>
      </c>
      <c r="BE2123" s="33" t="s">
        <v>4707</v>
      </c>
      <c r="BF2123" s="33" t="s">
        <v>4708</v>
      </c>
      <c r="BG2123" s="21"/>
      <c r="BH2123" s="21">
        <v>0</v>
      </c>
      <c r="BI2123" s="21"/>
      <c r="BJ2123" s="21"/>
      <c r="BK2123" s="21"/>
      <c r="BL2123" s="21">
        <v>80002014</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180">
        <v>80001015</v>
      </c>
      <c r="D2124" s="179" t="s">
        <v>4709</v>
      </c>
      <c r="E2124" s="279" t="s">
        <v>4710</v>
      </c>
      <c r="F2124" s="180">
        <v>1</v>
      </c>
      <c r="G2124" s="180">
        <v>80001015</v>
      </c>
      <c r="H2124" s="180">
        <v>0</v>
      </c>
      <c r="I2124" s="180">
        <v>0</v>
      </c>
      <c r="J2124" s="32">
        <v>1</v>
      </c>
      <c r="K2124" s="32">
        <v>0</v>
      </c>
      <c r="L2124" s="180">
        <v>0</v>
      </c>
      <c r="M2124" s="180">
        <v>0</v>
      </c>
      <c r="N2124" s="180">
        <v>0</v>
      </c>
      <c r="O2124" s="180">
        <v>2</v>
      </c>
      <c r="P2124" s="180">
        <v>0</v>
      </c>
      <c r="Q2124" s="180">
        <v>0</v>
      </c>
      <c r="R2124" s="180">
        <v>0</v>
      </c>
      <c r="S2124" s="19">
        <v>0</v>
      </c>
      <c r="T2124" s="180">
        <v>0</v>
      </c>
      <c r="U2124" s="180">
        <v>1</v>
      </c>
      <c r="V2124" s="180">
        <v>2</v>
      </c>
      <c r="W2124" s="180">
        <v>0</v>
      </c>
      <c r="X2124" s="180">
        <v>0</v>
      </c>
      <c r="Y2124" s="19">
        <v>0</v>
      </c>
      <c r="Z2124" s="180">
        <v>0</v>
      </c>
      <c r="AA2124" s="180">
        <v>0</v>
      </c>
      <c r="AB2124" s="180">
        <v>0</v>
      </c>
      <c r="AC2124" s="180">
        <v>0</v>
      </c>
      <c r="AD2124" s="180">
        <v>0</v>
      </c>
      <c r="AE2124" s="180">
        <v>0</v>
      </c>
      <c r="AF2124" s="180">
        <v>9</v>
      </c>
      <c r="AG2124" s="180">
        <v>2</v>
      </c>
      <c r="AH2124" s="180" t="s">
        <v>219</v>
      </c>
      <c r="AI2124" s="180">
        <v>2</v>
      </c>
      <c r="AJ2124" s="180">
        <v>2</v>
      </c>
      <c r="AK2124" s="19">
        <v>0</v>
      </c>
      <c r="AL2124" s="180">
        <v>1.5</v>
      </c>
      <c r="AM2124" s="180">
        <v>0</v>
      </c>
      <c r="AN2124" s="180">
        <v>0</v>
      </c>
      <c r="AO2124" s="180">
        <v>0</v>
      </c>
      <c r="AP2124" s="180">
        <v>1</v>
      </c>
      <c r="AQ2124" s="180">
        <v>3000</v>
      </c>
      <c r="AR2124" s="180">
        <v>0.5</v>
      </c>
      <c r="AS2124" s="180">
        <v>0</v>
      </c>
      <c r="AT2124" s="180">
        <v>0</v>
      </c>
      <c r="AU2124" s="180" t="s">
        <v>204</v>
      </c>
      <c r="AV2124" s="180"/>
      <c r="AW2124" s="179" t="s">
        <v>293</v>
      </c>
      <c r="AX2124" s="180">
        <v>0</v>
      </c>
      <c r="AY2124" s="180">
        <v>0</v>
      </c>
      <c r="AZ2124" s="180">
        <v>0</v>
      </c>
      <c r="BA2124" s="179" t="s">
        <v>206</v>
      </c>
      <c r="BB2124" s="180" t="s">
        <v>4711</v>
      </c>
      <c r="BC2124" s="180">
        <v>0</v>
      </c>
      <c r="BD2124" s="180">
        <v>0</v>
      </c>
      <c r="BE2124" s="243" t="s">
        <v>4712</v>
      </c>
      <c r="BF2124" s="243" t="s">
        <v>4713</v>
      </c>
      <c r="BG2124" s="180"/>
      <c r="BH2124" s="21">
        <v>0</v>
      </c>
      <c r="BI2124" s="180"/>
      <c r="BJ2124" s="180"/>
      <c r="BK2124" s="180"/>
      <c r="BL2124" s="180">
        <v>80002015</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80001016</v>
      </c>
      <c r="D2125" s="30" t="s">
        <v>4714</v>
      </c>
      <c r="E2125" s="279" t="s">
        <v>4715</v>
      </c>
      <c r="F2125" s="21">
        <v>1</v>
      </c>
      <c r="G2125" s="21">
        <v>80001016</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0</v>
      </c>
      <c r="AU2125" s="21" t="s">
        <v>204</v>
      </c>
      <c r="AV2125" s="21"/>
      <c r="AW2125" s="30" t="s">
        <v>293</v>
      </c>
      <c r="AX2125" s="21">
        <v>0</v>
      </c>
      <c r="AY2125" s="32">
        <v>0</v>
      </c>
      <c r="AZ2125" s="32">
        <v>0</v>
      </c>
      <c r="BA2125" s="30" t="s">
        <v>206</v>
      </c>
      <c r="BB2125" s="21" t="s">
        <v>4716</v>
      </c>
      <c r="BC2125" s="31">
        <v>0</v>
      </c>
      <c r="BD2125" s="31">
        <v>0</v>
      </c>
      <c r="BE2125" s="33" t="s">
        <v>4717</v>
      </c>
      <c r="BF2125" s="33" t="s">
        <v>4718</v>
      </c>
      <c r="BG2125" s="21"/>
      <c r="BH2125" s="21">
        <v>0</v>
      </c>
      <c r="BI2125" s="21"/>
      <c r="BJ2125" s="21"/>
      <c r="BK2125" s="21"/>
      <c r="BL2125" s="21">
        <v>80002016</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80001017</v>
      </c>
      <c r="D2126" s="30" t="s">
        <v>4719</v>
      </c>
      <c r="E2126" s="279" t="s">
        <v>4720</v>
      </c>
      <c r="F2126" s="21">
        <v>1</v>
      </c>
      <c r="G2126" s="21">
        <v>80001017</v>
      </c>
      <c r="H2126" s="32">
        <v>0</v>
      </c>
      <c r="I2126" s="31">
        <v>0</v>
      </c>
      <c r="J2126" s="32">
        <v>1</v>
      </c>
      <c r="K2126" s="32">
        <v>0</v>
      </c>
      <c r="L2126" s="32">
        <v>0</v>
      </c>
      <c r="M2126" s="21">
        <v>0</v>
      </c>
      <c r="N2126" s="21">
        <v>0</v>
      </c>
      <c r="O2126" s="21">
        <v>2</v>
      </c>
      <c r="P2126" s="21">
        <v>3</v>
      </c>
      <c r="Q2126" s="21">
        <v>0.1</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80010171</v>
      </c>
      <c r="AU2126" s="21" t="s">
        <v>204</v>
      </c>
      <c r="AV2126" s="21"/>
      <c r="AW2126" s="30" t="s">
        <v>293</v>
      </c>
      <c r="AX2126" s="21">
        <v>0</v>
      </c>
      <c r="AY2126" s="32">
        <v>0</v>
      </c>
      <c r="AZ2126" s="32">
        <v>0</v>
      </c>
      <c r="BA2126" s="30" t="s">
        <v>206</v>
      </c>
      <c r="BB2126" s="21"/>
      <c r="BC2126" s="31">
        <v>0</v>
      </c>
      <c r="BD2126" s="31">
        <v>0</v>
      </c>
      <c r="BE2126" s="243" t="s">
        <v>4721</v>
      </c>
      <c r="BF2126" s="243" t="s">
        <v>4722</v>
      </c>
      <c r="BG2126" s="21"/>
      <c r="BH2126" s="21">
        <v>0</v>
      </c>
      <c r="BI2126" s="21"/>
      <c r="BJ2126" s="21"/>
      <c r="BK2126" s="21"/>
      <c r="BL2126" s="21">
        <v>80002017</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100000000000001" customHeight="1">
      <c r="C2127" s="32">
        <v>80001018</v>
      </c>
      <c r="D2127" s="30" t="s">
        <v>4723</v>
      </c>
      <c r="E2127" s="279" t="s">
        <v>4724</v>
      </c>
      <c r="F2127" s="21">
        <v>1</v>
      </c>
      <c r="G2127" s="21">
        <v>80001018</v>
      </c>
      <c r="H2127" s="32">
        <v>0</v>
      </c>
      <c r="I2127" s="31">
        <v>0</v>
      </c>
      <c r="J2127" s="32">
        <v>1</v>
      </c>
      <c r="K2127" s="32">
        <v>0</v>
      </c>
      <c r="L2127" s="32">
        <v>0</v>
      </c>
      <c r="M2127" s="21">
        <v>0</v>
      </c>
      <c r="N2127" s="21">
        <v>0</v>
      </c>
      <c r="O2127" s="21">
        <v>5</v>
      </c>
      <c r="P2127" s="21">
        <v>0</v>
      </c>
      <c r="Q2127" s="21">
        <v>0</v>
      </c>
      <c r="R2127" s="21">
        <v>0</v>
      </c>
      <c r="S2127" s="19">
        <v>0</v>
      </c>
      <c r="T2127" s="21">
        <v>0</v>
      </c>
      <c r="U2127" s="21">
        <v>1</v>
      </c>
      <c r="V2127" s="21">
        <v>2</v>
      </c>
      <c r="W2127" s="21">
        <v>0</v>
      </c>
      <c r="X2127" s="21">
        <v>0</v>
      </c>
      <c r="Y2127" s="19">
        <v>0</v>
      </c>
      <c r="Z2127" s="21">
        <v>0</v>
      </c>
      <c r="AA2127" s="21">
        <v>0</v>
      </c>
      <c r="AB2127" s="21">
        <v>0</v>
      </c>
      <c r="AC2127" s="21">
        <v>0</v>
      </c>
      <c r="AD2127" s="21">
        <v>0</v>
      </c>
      <c r="AE2127" s="21">
        <v>0</v>
      </c>
      <c r="AF2127" s="21">
        <v>9</v>
      </c>
      <c r="AG2127" s="21">
        <v>2</v>
      </c>
      <c r="AH2127" s="21" t="s">
        <v>219</v>
      </c>
      <c r="AI2127" s="19">
        <v>2</v>
      </c>
      <c r="AJ2127" s="19">
        <v>2</v>
      </c>
      <c r="AK2127" s="19">
        <v>0</v>
      </c>
      <c r="AL2127" s="19">
        <v>1.5</v>
      </c>
      <c r="AM2127" s="21">
        <v>0</v>
      </c>
      <c r="AN2127" s="21">
        <v>0</v>
      </c>
      <c r="AO2127" s="21">
        <v>0</v>
      </c>
      <c r="AP2127" s="21">
        <v>1</v>
      </c>
      <c r="AQ2127" s="21">
        <v>3000</v>
      </c>
      <c r="AR2127" s="21">
        <v>0.5</v>
      </c>
      <c r="AS2127" s="21">
        <v>0</v>
      </c>
      <c r="AT2127" s="19">
        <v>0</v>
      </c>
      <c r="AU2127" s="21" t="s">
        <v>204</v>
      </c>
      <c r="AV2127" s="21"/>
      <c r="AW2127" s="30" t="s">
        <v>293</v>
      </c>
      <c r="AX2127" s="21">
        <v>0</v>
      </c>
      <c r="AY2127" s="32">
        <v>0</v>
      </c>
      <c r="AZ2127" s="32">
        <v>0</v>
      </c>
      <c r="BA2127" s="30" t="s">
        <v>206</v>
      </c>
      <c r="BB2127" s="21" t="s">
        <v>4725</v>
      </c>
      <c r="BC2127" s="31">
        <v>0</v>
      </c>
      <c r="BD2127" s="31">
        <v>0</v>
      </c>
      <c r="BE2127" s="33" t="s">
        <v>4726</v>
      </c>
      <c r="BF2127" s="33" t="s">
        <v>4727</v>
      </c>
      <c r="BG2127" s="21"/>
      <c r="BH2127" s="21">
        <v>0</v>
      </c>
      <c r="BI2127" s="21"/>
      <c r="BJ2127" s="21"/>
      <c r="BK2127" s="21"/>
      <c r="BL2127" s="21">
        <v>80002018</v>
      </c>
      <c r="BM2127" s="21">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80001019</v>
      </c>
      <c r="D2128" s="30" t="s">
        <v>414</v>
      </c>
      <c r="E2128" s="279" t="s">
        <v>415</v>
      </c>
      <c r="F2128" s="21">
        <v>1</v>
      </c>
      <c r="G2128" s="21">
        <v>80001019</v>
      </c>
      <c r="H2128" s="32">
        <v>0</v>
      </c>
      <c r="I2128" s="31">
        <v>0</v>
      </c>
      <c r="J2128" s="32">
        <v>1</v>
      </c>
      <c r="K2128" s="32">
        <v>0</v>
      </c>
      <c r="L2128" s="32">
        <v>0</v>
      </c>
      <c r="M2128" s="21">
        <v>0</v>
      </c>
      <c r="N2128" s="21">
        <v>0</v>
      </c>
      <c r="O2128" s="21">
        <v>5</v>
      </c>
      <c r="P2128" s="21">
        <v>0</v>
      </c>
      <c r="Q2128" s="21">
        <v>0</v>
      </c>
      <c r="R2128" s="21">
        <v>0</v>
      </c>
      <c r="S2128" s="19">
        <v>0</v>
      </c>
      <c r="T2128" s="21">
        <v>0</v>
      </c>
      <c r="U2128" s="21">
        <v>1</v>
      </c>
      <c r="V2128" s="21">
        <v>2</v>
      </c>
      <c r="W2128" s="21">
        <v>0</v>
      </c>
      <c r="X2128" s="21">
        <v>0</v>
      </c>
      <c r="Y2128" s="19">
        <v>0</v>
      </c>
      <c r="Z2128" s="21">
        <v>0</v>
      </c>
      <c r="AA2128" s="21">
        <v>0</v>
      </c>
      <c r="AB2128" s="21">
        <v>0</v>
      </c>
      <c r="AC2128" s="21">
        <v>0</v>
      </c>
      <c r="AD2128" s="21">
        <v>0</v>
      </c>
      <c r="AE2128" s="21">
        <v>0</v>
      </c>
      <c r="AF2128" s="21">
        <v>9</v>
      </c>
      <c r="AG2128" s="21">
        <v>2</v>
      </c>
      <c r="AH2128" s="21" t="s">
        <v>219</v>
      </c>
      <c r="AI2128" s="19">
        <v>2</v>
      </c>
      <c r="AJ2128" s="19">
        <v>2</v>
      </c>
      <c r="AK2128" s="19">
        <v>0</v>
      </c>
      <c r="AL2128" s="19">
        <v>1.5</v>
      </c>
      <c r="AM2128" s="21">
        <v>0</v>
      </c>
      <c r="AN2128" s="21">
        <v>0</v>
      </c>
      <c r="AO2128" s="21">
        <v>0</v>
      </c>
      <c r="AP2128" s="21">
        <v>1</v>
      </c>
      <c r="AQ2128" s="21">
        <v>3000</v>
      </c>
      <c r="AR2128" s="21">
        <v>0.5</v>
      </c>
      <c r="AS2128" s="21">
        <v>0</v>
      </c>
      <c r="AT2128" s="19">
        <v>0</v>
      </c>
      <c r="AU2128" s="21" t="s">
        <v>204</v>
      </c>
      <c r="AV2128" s="21"/>
      <c r="AW2128" s="30" t="s">
        <v>293</v>
      </c>
      <c r="AX2128" s="21">
        <v>0</v>
      </c>
      <c r="AY2128" s="32">
        <v>0</v>
      </c>
      <c r="AZ2128" s="32">
        <v>0</v>
      </c>
      <c r="BA2128" s="30" t="s">
        <v>206</v>
      </c>
      <c r="BB2128" s="21" t="s">
        <v>4728</v>
      </c>
      <c r="BC2128" s="31">
        <v>0</v>
      </c>
      <c r="BD2128" s="31">
        <v>0</v>
      </c>
      <c r="BE2128" s="33" t="s">
        <v>4729</v>
      </c>
      <c r="BF2128" s="33" t="s">
        <v>4730</v>
      </c>
      <c r="BG2128" s="21"/>
      <c r="BH2128" s="21">
        <v>0</v>
      </c>
      <c r="BI2128" s="21"/>
      <c r="BJ2128" s="21"/>
      <c r="BK2128" s="21"/>
      <c r="BL2128" s="21">
        <v>80002019</v>
      </c>
      <c r="BM2128" s="21">
        <v>0</v>
      </c>
      <c r="BN2128" s="19">
        <v>0</v>
      </c>
      <c r="BO2128" s="19">
        <v>0</v>
      </c>
      <c r="BP2128" s="19">
        <v>0</v>
      </c>
      <c r="BQ2128" s="19">
        <v>0</v>
      </c>
      <c r="BR2128" s="19">
        <v>0</v>
      </c>
      <c r="BS2128" s="19">
        <v>0</v>
      </c>
      <c r="BT2128" s="19">
        <v>0</v>
      </c>
      <c r="BU2128" s="23">
        <v>0</v>
      </c>
      <c r="BV2128" s="23"/>
      <c r="BW2128" s="23"/>
      <c r="BX2128" s="23"/>
      <c r="BY2128" s="23"/>
      <c r="BZ2128" s="23"/>
    </row>
    <row r="2129" spans="3:78" ht="20.100000000000001" customHeight="1">
      <c r="C2129" s="32">
        <v>80001020</v>
      </c>
      <c r="D2129" s="30" t="s">
        <v>4731</v>
      </c>
      <c r="E2129" s="279" t="s">
        <v>4732</v>
      </c>
      <c r="F2129" s="21">
        <v>1</v>
      </c>
      <c r="G2129" s="21">
        <v>80001020</v>
      </c>
      <c r="H2129" s="32">
        <v>0</v>
      </c>
      <c r="I2129" s="31">
        <v>0</v>
      </c>
      <c r="J2129" s="32">
        <v>1</v>
      </c>
      <c r="K2129" s="32">
        <v>0</v>
      </c>
      <c r="L2129" s="32">
        <v>0</v>
      </c>
      <c r="M2129" s="21">
        <v>0</v>
      </c>
      <c r="N2129" s="21">
        <v>0</v>
      </c>
      <c r="O2129" s="21">
        <v>5</v>
      </c>
      <c r="P2129" s="21">
        <v>0</v>
      </c>
      <c r="Q2129" s="21">
        <v>0</v>
      </c>
      <c r="R2129" s="21">
        <v>0</v>
      </c>
      <c r="S2129" s="19">
        <v>0</v>
      </c>
      <c r="T2129" s="21">
        <v>0</v>
      </c>
      <c r="U2129" s="21">
        <v>1</v>
      </c>
      <c r="V2129" s="21">
        <v>2</v>
      </c>
      <c r="W2129" s="21">
        <v>0</v>
      </c>
      <c r="X2129" s="21">
        <v>0</v>
      </c>
      <c r="Y2129" s="19">
        <v>0</v>
      </c>
      <c r="Z2129" s="21">
        <v>0</v>
      </c>
      <c r="AA2129" s="21">
        <v>0</v>
      </c>
      <c r="AB2129" s="21">
        <v>0</v>
      </c>
      <c r="AC2129" s="21">
        <v>0</v>
      </c>
      <c r="AD2129" s="21">
        <v>0</v>
      </c>
      <c r="AE2129" s="21">
        <v>0</v>
      </c>
      <c r="AF2129" s="21">
        <v>9</v>
      </c>
      <c r="AG2129" s="21">
        <v>2</v>
      </c>
      <c r="AH2129" s="21" t="s">
        <v>219</v>
      </c>
      <c r="AI2129" s="19">
        <v>2</v>
      </c>
      <c r="AJ2129" s="19">
        <v>2</v>
      </c>
      <c r="AK2129" s="19">
        <v>0</v>
      </c>
      <c r="AL2129" s="19">
        <v>1.5</v>
      </c>
      <c r="AM2129" s="21">
        <v>0</v>
      </c>
      <c r="AN2129" s="21">
        <v>0</v>
      </c>
      <c r="AO2129" s="21">
        <v>0</v>
      </c>
      <c r="AP2129" s="21">
        <v>1</v>
      </c>
      <c r="AQ2129" s="21">
        <v>3000</v>
      </c>
      <c r="AR2129" s="21">
        <v>0.5</v>
      </c>
      <c r="AS2129" s="21">
        <v>0</v>
      </c>
      <c r="AT2129" s="19">
        <v>0</v>
      </c>
      <c r="AU2129" s="21" t="s">
        <v>204</v>
      </c>
      <c r="AV2129" s="21"/>
      <c r="AW2129" s="30" t="s">
        <v>293</v>
      </c>
      <c r="AX2129" s="21">
        <v>0</v>
      </c>
      <c r="AY2129" s="32">
        <v>0</v>
      </c>
      <c r="AZ2129" s="32">
        <v>0</v>
      </c>
      <c r="BA2129" s="30" t="s">
        <v>206</v>
      </c>
      <c r="BB2129" s="21" t="s">
        <v>4733</v>
      </c>
      <c r="BC2129" s="31">
        <v>0</v>
      </c>
      <c r="BD2129" s="31">
        <v>0</v>
      </c>
      <c r="BE2129" s="33" t="s">
        <v>4734</v>
      </c>
      <c r="BF2129" s="33" t="s">
        <v>4735</v>
      </c>
      <c r="BG2129" s="21"/>
      <c r="BH2129" s="21">
        <v>0</v>
      </c>
      <c r="BI2129" s="21"/>
      <c r="BJ2129" s="21"/>
      <c r="BK2129" s="21"/>
      <c r="BL2129" s="21">
        <v>80002020</v>
      </c>
      <c r="BM2129" s="21">
        <v>0</v>
      </c>
      <c r="BN2129" s="19">
        <v>0</v>
      </c>
      <c r="BO2129" s="19">
        <v>0</v>
      </c>
      <c r="BP2129" s="19">
        <v>0</v>
      </c>
      <c r="BQ2129" s="19">
        <v>0</v>
      </c>
      <c r="BR2129" s="19">
        <v>0</v>
      </c>
      <c r="BS2129" s="19">
        <v>0</v>
      </c>
      <c r="BT2129" s="19">
        <v>0</v>
      </c>
      <c r="BU2129" s="23">
        <v>0</v>
      </c>
      <c r="BV2129" s="23"/>
      <c r="BW2129" s="23"/>
      <c r="BX2129" s="23"/>
      <c r="BY2129" s="23"/>
      <c r="BZ2129" s="23"/>
    </row>
    <row r="2130" spans="3:78" ht="20.25" customHeight="1">
      <c r="C2130" s="32">
        <v>80001021</v>
      </c>
      <c r="D2130" s="30" t="s">
        <v>2245</v>
      </c>
      <c r="E2130" s="279" t="s">
        <v>4736</v>
      </c>
      <c r="F2130" s="32">
        <v>1</v>
      </c>
      <c r="G2130" s="21">
        <v>80001021</v>
      </c>
      <c r="H2130" s="32">
        <v>0</v>
      </c>
      <c r="I2130" s="31">
        <v>0</v>
      </c>
      <c r="J2130" s="32">
        <v>1</v>
      </c>
      <c r="K2130" s="32">
        <v>0</v>
      </c>
      <c r="L2130" s="32">
        <v>0</v>
      </c>
      <c r="M2130" s="21">
        <v>0</v>
      </c>
      <c r="N2130" s="21">
        <v>0</v>
      </c>
      <c r="O2130" s="21">
        <v>2</v>
      </c>
      <c r="P2130" s="21">
        <v>10</v>
      </c>
      <c r="Q2130" s="21">
        <v>0.1</v>
      </c>
      <c r="R2130" s="21">
        <v>0</v>
      </c>
      <c r="S2130" s="19">
        <v>0</v>
      </c>
      <c r="T2130" s="21">
        <v>0</v>
      </c>
      <c r="U2130" s="21">
        <v>1</v>
      </c>
      <c r="V2130" s="21">
        <v>2</v>
      </c>
      <c r="W2130" s="21">
        <v>0</v>
      </c>
      <c r="X2130" s="21">
        <v>2</v>
      </c>
      <c r="Y2130" s="19">
        <v>0</v>
      </c>
      <c r="Z2130" s="21">
        <v>0</v>
      </c>
      <c r="AA2130" s="21">
        <v>0</v>
      </c>
      <c r="AB2130" s="21">
        <v>0</v>
      </c>
      <c r="AC2130" s="21">
        <v>0</v>
      </c>
      <c r="AD2130" s="21">
        <v>0</v>
      </c>
      <c r="AE2130" s="21">
        <v>0</v>
      </c>
      <c r="AF2130" s="21">
        <v>5</v>
      </c>
      <c r="AG2130" s="21">
        <v>1</v>
      </c>
      <c r="AH2130" s="21">
        <v>3</v>
      </c>
      <c r="AI2130" s="19">
        <v>1</v>
      </c>
      <c r="AJ2130" s="19">
        <v>1</v>
      </c>
      <c r="AK2130" s="19">
        <v>0</v>
      </c>
      <c r="AL2130" s="19">
        <v>3</v>
      </c>
      <c r="AM2130" s="21">
        <v>0</v>
      </c>
      <c r="AN2130" s="21">
        <v>0</v>
      </c>
      <c r="AO2130" s="21">
        <v>0</v>
      </c>
      <c r="AP2130" s="21">
        <v>3</v>
      </c>
      <c r="AQ2130" s="21">
        <v>5000</v>
      </c>
      <c r="AR2130" s="21">
        <v>0.5</v>
      </c>
      <c r="AS2130" s="21">
        <v>0</v>
      </c>
      <c r="AT2130" s="19">
        <v>0</v>
      </c>
      <c r="AU2130" s="21">
        <v>0</v>
      </c>
      <c r="AV2130" s="21"/>
      <c r="AW2130" s="30" t="s">
        <v>205</v>
      </c>
      <c r="AX2130" s="19" t="s">
        <v>1802</v>
      </c>
      <c r="AY2130" s="32">
        <v>10000007</v>
      </c>
      <c r="AZ2130" s="280">
        <v>23000080</v>
      </c>
      <c r="BA2130" s="30" t="s">
        <v>206</v>
      </c>
      <c r="BB2130" s="35" t="s">
        <v>204</v>
      </c>
      <c r="BC2130" s="31">
        <v>0</v>
      </c>
      <c r="BD2130" s="31">
        <v>0</v>
      </c>
      <c r="BE2130" s="33" t="s">
        <v>4737</v>
      </c>
      <c r="BF2130" s="33" t="s">
        <v>4738</v>
      </c>
      <c r="BG2130" s="32">
        <v>0</v>
      </c>
      <c r="BH2130" s="21">
        <v>0</v>
      </c>
      <c r="BI2130" s="32"/>
      <c r="BJ2130" s="32"/>
      <c r="BK2130" s="32"/>
      <c r="BL2130" s="32">
        <v>80002021</v>
      </c>
      <c r="BM2130" s="25">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80001022</v>
      </c>
      <c r="D2131" s="30" t="s">
        <v>2249</v>
      </c>
      <c r="E2131" s="279" t="s">
        <v>4739</v>
      </c>
      <c r="F2131" s="32">
        <v>1</v>
      </c>
      <c r="G2131" s="21">
        <v>80001022</v>
      </c>
      <c r="H2131" s="19">
        <v>0</v>
      </c>
      <c r="I2131" s="19">
        <v>0</v>
      </c>
      <c r="J2131" s="32">
        <v>1</v>
      </c>
      <c r="K2131" s="32">
        <v>0</v>
      </c>
      <c r="L2131" s="19">
        <v>0</v>
      </c>
      <c r="M2131" s="19">
        <v>0</v>
      </c>
      <c r="N2131" s="19">
        <v>0</v>
      </c>
      <c r="O2131" s="19">
        <v>2</v>
      </c>
      <c r="P2131" s="19">
        <v>1</v>
      </c>
      <c r="Q2131" s="19">
        <v>0.2</v>
      </c>
      <c r="R2131" s="19">
        <v>0</v>
      </c>
      <c r="S2131" s="19">
        <v>0</v>
      </c>
      <c r="T2131" s="19">
        <v>0</v>
      </c>
      <c r="U2131" s="21">
        <v>1</v>
      </c>
      <c r="V2131" s="19">
        <v>2</v>
      </c>
      <c r="W2131" s="19">
        <v>0</v>
      </c>
      <c r="X2131" s="19">
        <v>0</v>
      </c>
      <c r="Y2131" s="19">
        <v>0</v>
      </c>
      <c r="Z2131" s="19">
        <v>0</v>
      </c>
      <c r="AA2131" s="19">
        <v>0</v>
      </c>
      <c r="AB2131" s="19">
        <v>0</v>
      </c>
      <c r="AC2131" s="19">
        <v>0</v>
      </c>
      <c r="AD2131" s="32">
        <v>0</v>
      </c>
      <c r="AE2131" s="19">
        <v>0</v>
      </c>
      <c r="AF2131" s="19">
        <v>15</v>
      </c>
      <c r="AG2131" s="19">
        <v>0</v>
      </c>
      <c r="AH2131" s="19">
        <v>0</v>
      </c>
      <c r="AI2131" s="19">
        <v>7</v>
      </c>
      <c r="AJ2131" s="19">
        <v>0</v>
      </c>
      <c r="AK2131" s="19">
        <v>0</v>
      </c>
      <c r="AL2131" s="19">
        <v>6</v>
      </c>
      <c r="AM2131" s="19">
        <v>0</v>
      </c>
      <c r="AN2131" s="19">
        <v>0</v>
      </c>
      <c r="AO2131" s="19">
        <v>0</v>
      </c>
      <c r="AP2131" s="19">
        <v>0</v>
      </c>
      <c r="AQ2131" s="19">
        <v>1000</v>
      </c>
      <c r="AR2131" s="19">
        <v>0</v>
      </c>
      <c r="AS2131" s="19">
        <v>0</v>
      </c>
      <c r="AT2131" s="19">
        <v>0</v>
      </c>
      <c r="AU2131" s="329" t="s">
        <v>4740</v>
      </c>
      <c r="AV2131" s="19"/>
      <c r="AW2131" s="30" t="s">
        <v>205</v>
      </c>
      <c r="AX2131" s="19">
        <v>0</v>
      </c>
      <c r="AY2131" s="19" t="s">
        <v>204</v>
      </c>
      <c r="AZ2131" s="19">
        <v>0</v>
      </c>
      <c r="BA2131" s="20" t="s">
        <v>206</v>
      </c>
      <c r="BB2131" s="19">
        <v>0</v>
      </c>
      <c r="BC2131" s="31">
        <v>0</v>
      </c>
      <c r="BD2131" s="31">
        <v>0</v>
      </c>
      <c r="BE2131" s="33" t="s">
        <v>4741</v>
      </c>
      <c r="BF2131" s="33" t="s">
        <v>4742</v>
      </c>
      <c r="BG2131" s="19">
        <v>0</v>
      </c>
      <c r="BH2131" s="21">
        <v>0</v>
      </c>
      <c r="BI2131" s="19"/>
      <c r="BJ2131" s="19"/>
      <c r="BK2131" s="19"/>
      <c r="BL2131" s="19">
        <v>80002022</v>
      </c>
      <c r="BM2131" s="25">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80001023</v>
      </c>
      <c r="D2132" s="30" t="s">
        <v>300</v>
      </c>
      <c r="E2132" s="279" t="s">
        <v>301</v>
      </c>
      <c r="F2132" s="21">
        <v>1</v>
      </c>
      <c r="G2132" s="21">
        <v>80001023</v>
      </c>
      <c r="H2132" s="32">
        <v>0</v>
      </c>
      <c r="I2132" s="31">
        <v>0</v>
      </c>
      <c r="J2132" s="32">
        <v>1</v>
      </c>
      <c r="K2132" s="32">
        <v>0</v>
      </c>
      <c r="L2132" s="32">
        <v>0</v>
      </c>
      <c r="M2132" s="21">
        <v>0</v>
      </c>
      <c r="N2132" s="21">
        <v>0</v>
      </c>
      <c r="O2132" s="21">
        <v>2</v>
      </c>
      <c r="P2132" s="21">
        <v>9</v>
      </c>
      <c r="Q2132" s="21">
        <v>0.15</v>
      </c>
      <c r="R2132" s="21">
        <v>0</v>
      </c>
      <c r="S2132" s="19">
        <v>0</v>
      </c>
      <c r="T2132" s="21">
        <v>0</v>
      </c>
      <c r="U2132" s="21">
        <v>1</v>
      </c>
      <c r="V2132" s="21">
        <v>2</v>
      </c>
      <c r="W2132" s="21">
        <v>0</v>
      </c>
      <c r="X2132" s="21">
        <v>0</v>
      </c>
      <c r="Y2132" s="19">
        <v>0</v>
      </c>
      <c r="Z2132" s="21">
        <v>0</v>
      </c>
      <c r="AA2132" s="21">
        <v>0</v>
      </c>
      <c r="AB2132" s="21">
        <v>0</v>
      </c>
      <c r="AC2132" s="21">
        <v>0</v>
      </c>
      <c r="AD2132" s="21">
        <v>0</v>
      </c>
      <c r="AE2132" s="21">
        <v>0</v>
      </c>
      <c r="AF2132" s="21">
        <v>10</v>
      </c>
      <c r="AG2132" s="21">
        <v>0</v>
      </c>
      <c r="AH2132" s="21">
        <v>3</v>
      </c>
      <c r="AI2132" s="19">
        <v>7</v>
      </c>
      <c r="AJ2132" s="19">
        <v>0</v>
      </c>
      <c r="AK2132" s="19">
        <v>0</v>
      </c>
      <c r="AL2132" s="19">
        <v>10</v>
      </c>
      <c r="AM2132" s="21">
        <v>0</v>
      </c>
      <c r="AN2132" s="21">
        <v>0</v>
      </c>
      <c r="AO2132" s="21">
        <v>0</v>
      </c>
      <c r="AP2132" s="21">
        <v>0</v>
      </c>
      <c r="AQ2132" s="21">
        <v>3000</v>
      </c>
      <c r="AR2132" s="21">
        <v>0.5</v>
      </c>
      <c r="AS2132" s="21">
        <v>0</v>
      </c>
      <c r="AT2132" s="19">
        <v>0</v>
      </c>
      <c r="AU2132" s="21">
        <v>80001003</v>
      </c>
      <c r="AV2132" s="21"/>
      <c r="AW2132" s="30" t="s">
        <v>205</v>
      </c>
      <c r="AX2132" s="21">
        <v>0</v>
      </c>
      <c r="AY2132" s="32">
        <v>0</v>
      </c>
      <c r="AZ2132" s="32">
        <v>0</v>
      </c>
      <c r="BA2132" s="30" t="s">
        <v>206</v>
      </c>
      <c r="BB2132" s="21">
        <v>0</v>
      </c>
      <c r="BC2132" s="31">
        <v>0</v>
      </c>
      <c r="BD2132" s="31">
        <v>0</v>
      </c>
      <c r="BE2132" s="33" t="s">
        <v>4743</v>
      </c>
      <c r="BF2132" s="33" t="s">
        <v>4744</v>
      </c>
      <c r="BG2132" s="21"/>
      <c r="BH2132" s="21">
        <v>0</v>
      </c>
      <c r="BI2132" s="21"/>
      <c r="BJ2132" s="21"/>
      <c r="BK2132" s="21"/>
      <c r="BL2132" s="21">
        <v>80002023</v>
      </c>
      <c r="BM2132" s="21">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80001024</v>
      </c>
      <c r="D2133" s="30" t="s">
        <v>4745</v>
      </c>
      <c r="E2133" s="279" t="s">
        <v>4746</v>
      </c>
      <c r="F2133" s="21">
        <v>1</v>
      </c>
      <c r="G2133" s="21">
        <v>80001024</v>
      </c>
      <c r="H2133" s="32">
        <v>0</v>
      </c>
      <c r="I2133" s="31">
        <v>0</v>
      </c>
      <c r="J2133" s="32">
        <v>1</v>
      </c>
      <c r="K2133" s="32">
        <v>0</v>
      </c>
      <c r="L2133" s="32">
        <v>0</v>
      </c>
      <c r="M2133" s="21">
        <v>0</v>
      </c>
      <c r="N2133" s="21">
        <v>0</v>
      </c>
      <c r="O2133" s="21">
        <v>5</v>
      </c>
      <c r="P2133" s="21">
        <v>0</v>
      </c>
      <c r="Q2133" s="21">
        <v>0</v>
      </c>
      <c r="R2133" s="21">
        <v>0</v>
      </c>
      <c r="S2133" s="19">
        <v>0</v>
      </c>
      <c r="T2133" s="21">
        <v>0</v>
      </c>
      <c r="U2133" s="21">
        <v>1</v>
      </c>
      <c r="V2133" s="21">
        <v>2</v>
      </c>
      <c r="W2133" s="21">
        <v>0</v>
      </c>
      <c r="X2133" s="21">
        <v>0</v>
      </c>
      <c r="Y2133" s="19">
        <v>0</v>
      </c>
      <c r="Z2133" s="21">
        <v>0</v>
      </c>
      <c r="AA2133" s="21">
        <v>0</v>
      </c>
      <c r="AB2133" s="21">
        <v>0</v>
      </c>
      <c r="AC2133" s="21">
        <v>0</v>
      </c>
      <c r="AD2133" s="21">
        <v>0</v>
      </c>
      <c r="AE2133" s="21">
        <v>0</v>
      </c>
      <c r="AF2133" s="21">
        <v>9</v>
      </c>
      <c r="AG2133" s="21">
        <v>2</v>
      </c>
      <c r="AH2133" s="21" t="s">
        <v>219</v>
      </c>
      <c r="AI2133" s="19">
        <v>2</v>
      </c>
      <c r="AJ2133" s="19">
        <v>2</v>
      </c>
      <c r="AK2133" s="19">
        <v>0</v>
      </c>
      <c r="AL2133" s="19">
        <v>1.5</v>
      </c>
      <c r="AM2133" s="21">
        <v>0</v>
      </c>
      <c r="AN2133" s="21">
        <v>0</v>
      </c>
      <c r="AO2133" s="21">
        <v>0</v>
      </c>
      <c r="AP2133" s="21">
        <v>0</v>
      </c>
      <c r="AQ2133" s="21">
        <v>3000</v>
      </c>
      <c r="AR2133" s="21">
        <v>0.5</v>
      </c>
      <c r="AS2133" s="21">
        <v>0</v>
      </c>
      <c r="AT2133" s="19">
        <v>0</v>
      </c>
      <c r="AU2133" s="21" t="s">
        <v>204</v>
      </c>
      <c r="AV2133" s="21"/>
      <c r="AW2133" s="30" t="s">
        <v>205</v>
      </c>
      <c r="AX2133" s="21">
        <v>0</v>
      </c>
      <c r="AY2133" s="32">
        <v>0</v>
      </c>
      <c r="AZ2133" s="32">
        <v>0</v>
      </c>
      <c r="BA2133" s="30" t="s">
        <v>206</v>
      </c>
      <c r="BB2133" s="21" t="s">
        <v>4747</v>
      </c>
      <c r="BC2133" s="31">
        <v>0</v>
      </c>
      <c r="BD2133" s="31">
        <v>0</v>
      </c>
      <c r="BE2133" s="33" t="s">
        <v>4748</v>
      </c>
      <c r="BF2133" s="33" t="s">
        <v>4749</v>
      </c>
      <c r="BG2133" s="21"/>
      <c r="BH2133" s="21">
        <v>0</v>
      </c>
      <c r="BI2133" s="21"/>
      <c r="BJ2133" s="21"/>
      <c r="BK2133" s="21"/>
      <c r="BL2133" s="21">
        <v>80002024</v>
      </c>
      <c r="BM2133" s="21">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80001025</v>
      </c>
      <c r="D2134" s="30" t="s">
        <v>4750</v>
      </c>
      <c r="E2134" s="279" t="s">
        <v>4751</v>
      </c>
      <c r="F2134" s="32">
        <v>1</v>
      </c>
      <c r="G2134" s="21">
        <v>80001025</v>
      </c>
      <c r="H2134" s="19">
        <v>0</v>
      </c>
      <c r="I2134" s="19">
        <v>0</v>
      </c>
      <c r="J2134" s="32">
        <v>1</v>
      </c>
      <c r="K2134" s="32">
        <v>0</v>
      </c>
      <c r="L2134" s="19">
        <v>0</v>
      </c>
      <c r="M2134" s="19">
        <v>0</v>
      </c>
      <c r="N2134" s="19">
        <v>0</v>
      </c>
      <c r="O2134" s="19">
        <v>2</v>
      </c>
      <c r="P2134" s="19">
        <v>10</v>
      </c>
      <c r="Q2134" s="19">
        <v>0.05</v>
      </c>
      <c r="R2134" s="19">
        <v>0</v>
      </c>
      <c r="S2134" s="19">
        <v>0</v>
      </c>
      <c r="T2134" s="19">
        <v>0</v>
      </c>
      <c r="U2134" s="21">
        <v>1</v>
      </c>
      <c r="V2134" s="19">
        <v>2</v>
      </c>
      <c r="W2134" s="19">
        <v>0</v>
      </c>
      <c r="X2134" s="19">
        <v>2.5</v>
      </c>
      <c r="Y2134" s="19">
        <v>0</v>
      </c>
      <c r="Z2134" s="19">
        <v>0</v>
      </c>
      <c r="AA2134" s="19">
        <v>0</v>
      </c>
      <c r="AB2134" s="19">
        <v>0</v>
      </c>
      <c r="AC2134" s="19">
        <v>0</v>
      </c>
      <c r="AD2134" s="32">
        <v>0</v>
      </c>
      <c r="AE2134" s="19">
        <v>0</v>
      </c>
      <c r="AF2134" s="19">
        <v>15</v>
      </c>
      <c r="AG2134" s="19">
        <v>0</v>
      </c>
      <c r="AH2134" s="19">
        <v>0</v>
      </c>
      <c r="AI2134" s="19">
        <v>7</v>
      </c>
      <c r="AJ2134" s="19">
        <v>0</v>
      </c>
      <c r="AK2134" s="19">
        <v>0</v>
      </c>
      <c r="AL2134" s="19">
        <v>6</v>
      </c>
      <c r="AM2134" s="19">
        <v>0</v>
      </c>
      <c r="AN2134" s="19">
        <v>0</v>
      </c>
      <c r="AO2134" s="19">
        <v>0</v>
      </c>
      <c r="AP2134" s="19">
        <v>0</v>
      </c>
      <c r="AQ2134" s="19">
        <v>1000</v>
      </c>
      <c r="AR2134" s="19">
        <v>0</v>
      </c>
      <c r="AS2134" s="19">
        <v>0</v>
      </c>
      <c r="AT2134" s="19">
        <v>0</v>
      </c>
      <c r="AU2134" s="19" t="s">
        <v>204</v>
      </c>
      <c r="AV2134" s="19"/>
      <c r="AW2134" s="30" t="s">
        <v>205</v>
      </c>
      <c r="AX2134" s="19" t="s">
        <v>1802</v>
      </c>
      <c r="AY2134" s="19" t="s">
        <v>204</v>
      </c>
      <c r="AZ2134" s="19" t="s">
        <v>2030</v>
      </c>
      <c r="BA2134" s="20" t="s">
        <v>206</v>
      </c>
      <c r="BB2134" s="19">
        <v>0</v>
      </c>
      <c r="BC2134" s="31">
        <v>0</v>
      </c>
      <c r="BD2134" s="31">
        <v>0</v>
      </c>
      <c r="BE2134" s="22" t="s">
        <v>4752</v>
      </c>
      <c r="BF2134" s="22" t="s">
        <v>4753</v>
      </c>
      <c r="BG2134" s="19">
        <v>0</v>
      </c>
      <c r="BH2134" s="21">
        <v>0</v>
      </c>
      <c r="BI2134" s="19"/>
      <c r="BJ2134" s="19"/>
      <c r="BK2134" s="19"/>
      <c r="BL2134" s="19">
        <v>80002025</v>
      </c>
      <c r="BM2134" s="25">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80001026</v>
      </c>
      <c r="D2135" s="30" t="s">
        <v>3099</v>
      </c>
      <c r="E2135" s="279" t="s">
        <v>3416</v>
      </c>
      <c r="F2135" s="32">
        <v>1</v>
      </c>
      <c r="G2135" s="21">
        <v>80001026</v>
      </c>
      <c r="H2135" s="19">
        <v>0</v>
      </c>
      <c r="I2135" s="19">
        <v>0</v>
      </c>
      <c r="J2135" s="32">
        <v>1</v>
      </c>
      <c r="K2135" s="32">
        <v>0</v>
      </c>
      <c r="L2135" s="19">
        <v>0</v>
      </c>
      <c r="M2135" s="19">
        <v>0</v>
      </c>
      <c r="N2135" s="19">
        <v>0</v>
      </c>
      <c r="O2135" s="19">
        <v>2</v>
      </c>
      <c r="P2135" s="19">
        <v>1</v>
      </c>
      <c r="Q2135" s="19">
        <v>0.1</v>
      </c>
      <c r="R2135" s="19">
        <v>0</v>
      </c>
      <c r="S2135" s="19">
        <v>0</v>
      </c>
      <c r="T2135" s="19">
        <v>0</v>
      </c>
      <c r="U2135" s="21">
        <v>1</v>
      </c>
      <c r="V2135" s="19">
        <v>2</v>
      </c>
      <c r="W2135" s="19">
        <v>0</v>
      </c>
      <c r="X2135" s="19">
        <v>0</v>
      </c>
      <c r="Y2135" s="19">
        <v>0</v>
      </c>
      <c r="Z2135" s="19">
        <v>0</v>
      </c>
      <c r="AA2135" s="19">
        <v>0</v>
      </c>
      <c r="AB2135" s="19">
        <v>0</v>
      </c>
      <c r="AC2135" s="19">
        <v>0</v>
      </c>
      <c r="AD2135" s="32">
        <v>0</v>
      </c>
      <c r="AE2135" s="19">
        <v>0</v>
      </c>
      <c r="AF2135" s="19">
        <v>10</v>
      </c>
      <c r="AG2135" s="19">
        <v>0</v>
      </c>
      <c r="AH2135" s="19">
        <v>0</v>
      </c>
      <c r="AI2135" s="19">
        <v>7</v>
      </c>
      <c r="AJ2135" s="19">
        <v>0</v>
      </c>
      <c r="AK2135" s="19">
        <v>0</v>
      </c>
      <c r="AL2135" s="19">
        <v>6</v>
      </c>
      <c r="AM2135" s="19">
        <v>0</v>
      </c>
      <c r="AN2135" s="19">
        <v>0</v>
      </c>
      <c r="AO2135" s="19">
        <v>0</v>
      </c>
      <c r="AP2135" s="19">
        <v>0</v>
      </c>
      <c r="AQ2135" s="19">
        <v>1000</v>
      </c>
      <c r="AR2135" s="19">
        <v>0</v>
      </c>
      <c r="AS2135" s="19">
        <v>0</v>
      </c>
      <c r="AT2135" s="19">
        <v>0</v>
      </c>
      <c r="AU2135" s="19">
        <v>80001004</v>
      </c>
      <c r="AV2135" s="19"/>
      <c r="AW2135" s="30" t="s">
        <v>205</v>
      </c>
      <c r="AX2135" s="19">
        <v>0</v>
      </c>
      <c r="AY2135" s="19" t="s">
        <v>204</v>
      </c>
      <c r="AZ2135" s="19">
        <v>0</v>
      </c>
      <c r="BA2135" s="20" t="s">
        <v>206</v>
      </c>
      <c r="BB2135" s="19">
        <v>0</v>
      </c>
      <c r="BC2135" s="31">
        <v>0</v>
      </c>
      <c r="BD2135" s="31">
        <v>0</v>
      </c>
      <c r="BE2135" s="22" t="s">
        <v>4754</v>
      </c>
      <c r="BF2135" s="22" t="s">
        <v>4755</v>
      </c>
      <c r="BG2135" s="19">
        <v>0</v>
      </c>
      <c r="BH2135" s="21">
        <v>0</v>
      </c>
      <c r="BI2135" s="19"/>
      <c r="BJ2135" s="19"/>
      <c r="BK2135" s="19"/>
      <c r="BL2135" s="19">
        <v>80002026</v>
      </c>
      <c r="BM2135" s="25">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80001027</v>
      </c>
      <c r="D2136" s="30" t="s">
        <v>4756</v>
      </c>
      <c r="E2136" s="279" t="s">
        <v>4757</v>
      </c>
      <c r="F2136" s="21">
        <v>1</v>
      </c>
      <c r="G2136" s="21">
        <v>80001027</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219</v>
      </c>
      <c r="AI2136" s="19">
        <v>2</v>
      </c>
      <c r="AJ2136" s="19">
        <v>2</v>
      </c>
      <c r="AK2136" s="19">
        <v>0</v>
      </c>
      <c r="AL2136" s="19">
        <v>1.5</v>
      </c>
      <c r="AM2136" s="21">
        <v>0</v>
      </c>
      <c r="AN2136" s="21">
        <v>0</v>
      </c>
      <c r="AO2136" s="21">
        <v>0</v>
      </c>
      <c r="AP2136" s="21">
        <v>0</v>
      </c>
      <c r="AQ2136" s="21">
        <v>3000</v>
      </c>
      <c r="AR2136" s="21">
        <v>0.5</v>
      </c>
      <c r="AS2136" s="21">
        <v>0</v>
      </c>
      <c r="AT2136" s="19">
        <v>0</v>
      </c>
      <c r="AU2136" s="21" t="s">
        <v>204</v>
      </c>
      <c r="AV2136" s="21"/>
      <c r="AW2136" s="30" t="s">
        <v>205</v>
      </c>
      <c r="AX2136" s="21">
        <v>0</v>
      </c>
      <c r="AY2136" s="32">
        <v>0</v>
      </c>
      <c r="AZ2136" s="32">
        <v>0</v>
      </c>
      <c r="BA2136" s="30" t="s">
        <v>206</v>
      </c>
      <c r="BB2136" s="21" t="s">
        <v>4758</v>
      </c>
      <c r="BC2136" s="31">
        <v>0</v>
      </c>
      <c r="BD2136" s="31">
        <v>0</v>
      </c>
      <c r="BE2136" s="33" t="s">
        <v>4759</v>
      </c>
      <c r="BF2136" s="33" t="s">
        <v>4760</v>
      </c>
      <c r="BG2136" s="21"/>
      <c r="BH2136" s="21">
        <v>0</v>
      </c>
      <c r="BI2136" s="21"/>
      <c r="BJ2136" s="21"/>
      <c r="BK2136" s="21"/>
      <c r="BL2136" s="21">
        <v>80002027</v>
      </c>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80001028</v>
      </c>
      <c r="D2137" s="30" t="s">
        <v>2025</v>
      </c>
      <c r="E2137" s="279" t="s">
        <v>4761</v>
      </c>
      <c r="F2137" s="21">
        <v>1</v>
      </c>
      <c r="G2137" s="21">
        <v>80001028</v>
      </c>
      <c r="H2137" s="32">
        <v>0</v>
      </c>
      <c r="I2137" s="31">
        <v>0</v>
      </c>
      <c r="J2137" s="32">
        <v>1</v>
      </c>
      <c r="K2137" s="32">
        <v>0</v>
      </c>
      <c r="L2137" s="32">
        <v>0</v>
      </c>
      <c r="M2137" s="21">
        <v>0</v>
      </c>
      <c r="N2137" s="21">
        <v>0</v>
      </c>
      <c r="O2137" s="21">
        <v>2</v>
      </c>
      <c r="P2137" s="21">
        <v>9</v>
      </c>
      <c r="Q2137" s="21">
        <v>0.05</v>
      </c>
      <c r="R2137" s="21">
        <v>0</v>
      </c>
      <c r="S2137" s="19">
        <v>0</v>
      </c>
      <c r="T2137" s="21">
        <v>0</v>
      </c>
      <c r="U2137" s="21">
        <v>1</v>
      </c>
      <c r="V2137" s="21">
        <v>1</v>
      </c>
      <c r="W2137" s="21">
        <v>0</v>
      </c>
      <c r="X2137" s="21">
        <v>2</v>
      </c>
      <c r="Y2137" s="19">
        <v>0</v>
      </c>
      <c r="Z2137" s="21">
        <v>0</v>
      </c>
      <c r="AA2137" s="21">
        <v>0</v>
      </c>
      <c r="AB2137" s="21">
        <v>0</v>
      </c>
      <c r="AC2137" s="21">
        <v>0</v>
      </c>
      <c r="AD2137" s="21">
        <v>0</v>
      </c>
      <c r="AE2137" s="21">
        <v>0</v>
      </c>
      <c r="AF2137" s="21">
        <v>3</v>
      </c>
      <c r="AG2137" s="21">
        <v>2</v>
      </c>
      <c r="AH2137" s="21" t="s">
        <v>219</v>
      </c>
      <c r="AI2137" s="19">
        <v>0</v>
      </c>
      <c r="AJ2137" s="19">
        <v>0</v>
      </c>
      <c r="AK2137" s="19">
        <v>0</v>
      </c>
      <c r="AL2137" s="19">
        <v>1.5</v>
      </c>
      <c r="AM2137" s="21">
        <v>0</v>
      </c>
      <c r="AN2137" s="21">
        <v>0</v>
      </c>
      <c r="AO2137" s="21">
        <v>0</v>
      </c>
      <c r="AP2137" s="21">
        <v>0</v>
      </c>
      <c r="AQ2137" s="21">
        <v>3000</v>
      </c>
      <c r="AR2137" s="21">
        <v>0.5</v>
      </c>
      <c r="AS2137" s="21">
        <v>0</v>
      </c>
      <c r="AT2137" s="19">
        <v>0</v>
      </c>
      <c r="AU2137" s="21">
        <v>0</v>
      </c>
      <c r="AV2137" s="21"/>
      <c r="AW2137" s="30" t="s">
        <v>205</v>
      </c>
      <c r="AX2137" s="21">
        <v>0</v>
      </c>
      <c r="AY2137" s="32">
        <v>10000007</v>
      </c>
      <c r="AZ2137" s="32">
        <v>23000040</v>
      </c>
      <c r="BA2137" s="30" t="s">
        <v>206</v>
      </c>
      <c r="BB2137" s="21">
        <v>0</v>
      </c>
      <c r="BC2137" s="31">
        <v>0</v>
      </c>
      <c r="BD2137" s="31">
        <v>1</v>
      </c>
      <c r="BE2137" s="33" t="s">
        <v>4762</v>
      </c>
      <c r="BF2137" s="33" t="s">
        <v>4763</v>
      </c>
      <c r="BG2137" s="21">
        <v>0</v>
      </c>
      <c r="BH2137" s="21">
        <v>0</v>
      </c>
      <c r="BI2137" s="21"/>
      <c r="BJ2137" s="21"/>
      <c r="BK2137" s="21"/>
      <c r="BL2137" s="21">
        <v>80002028</v>
      </c>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80002001</v>
      </c>
      <c r="D2138" s="30" t="s">
        <v>4764</v>
      </c>
      <c r="E2138" s="279" t="s">
        <v>4765</v>
      </c>
      <c r="F2138" s="21">
        <v>1</v>
      </c>
      <c r="G2138" s="21">
        <v>80002001</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4766</v>
      </c>
      <c r="BC2138" s="31">
        <v>0</v>
      </c>
      <c r="BD2138" s="31">
        <v>0</v>
      </c>
      <c r="BE2138" s="33" t="s">
        <v>4767</v>
      </c>
      <c r="BF2138" s="33" t="s">
        <v>4768</v>
      </c>
      <c r="BG2138" s="21">
        <v>0</v>
      </c>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80002002</v>
      </c>
      <c r="D2139" s="30" t="s">
        <v>4769</v>
      </c>
      <c r="E2139" s="279" t="s">
        <v>4770</v>
      </c>
      <c r="F2139" s="21">
        <v>1</v>
      </c>
      <c r="G2139" s="21">
        <v>80002002</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2242</v>
      </c>
      <c r="BC2139" s="31">
        <v>0</v>
      </c>
      <c r="BD2139" s="31">
        <v>0</v>
      </c>
      <c r="BE2139" s="33" t="s">
        <v>2243</v>
      </c>
      <c r="BF2139" s="33" t="s">
        <v>2244</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80002003</v>
      </c>
      <c r="D2140" s="30" t="s">
        <v>4771</v>
      </c>
      <c r="E2140" s="279" t="s">
        <v>4772</v>
      </c>
      <c r="F2140" s="21">
        <v>1</v>
      </c>
      <c r="G2140" s="21">
        <v>80002003</v>
      </c>
      <c r="H2140" s="32">
        <v>0</v>
      </c>
      <c r="I2140" s="31">
        <v>0</v>
      </c>
      <c r="J2140" s="32">
        <v>1</v>
      </c>
      <c r="K2140" s="32">
        <v>0</v>
      </c>
      <c r="L2140" s="32">
        <v>0</v>
      </c>
      <c r="M2140" s="21">
        <v>0</v>
      </c>
      <c r="N2140" s="21">
        <v>0</v>
      </c>
      <c r="O2140" s="21">
        <v>5</v>
      </c>
      <c r="P2140" s="21">
        <v>0</v>
      </c>
      <c r="Q2140" s="21">
        <v>0</v>
      </c>
      <c r="R2140" s="21">
        <v>0</v>
      </c>
      <c r="S2140" s="19">
        <v>0</v>
      </c>
      <c r="T2140" s="21">
        <v>0</v>
      </c>
      <c r="U2140" s="21">
        <v>1</v>
      </c>
      <c r="V2140" s="21">
        <v>2</v>
      </c>
      <c r="W2140" s="21">
        <v>0</v>
      </c>
      <c r="X2140" s="21">
        <v>0</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21" t="s">
        <v>4773</v>
      </c>
      <c r="BC2140" s="31">
        <v>0</v>
      </c>
      <c r="BD2140" s="31">
        <v>0</v>
      </c>
      <c r="BE2140" s="33" t="s">
        <v>4774</v>
      </c>
      <c r="BF2140" s="33" t="s">
        <v>4775</v>
      </c>
      <c r="BG2140" s="21"/>
      <c r="BH2140" s="21">
        <v>0</v>
      </c>
      <c r="BI2140" s="21"/>
      <c r="BJ2140" s="21"/>
      <c r="BK2140" s="21"/>
      <c r="BL2140" s="32"/>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80002004</v>
      </c>
      <c r="D2141" s="30" t="s">
        <v>4776</v>
      </c>
      <c r="E2141" s="279" t="s">
        <v>4777</v>
      </c>
      <c r="F2141" s="21">
        <v>1</v>
      </c>
      <c r="G2141" s="21">
        <v>80002004</v>
      </c>
      <c r="H2141" s="32">
        <v>0</v>
      </c>
      <c r="I2141" s="31">
        <v>0</v>
      </c>
      <c r="J2141" s="32">
        <v>1</v>
      </c>
      <c r="K2141" s="32">
        <v>0</v>
      </c>
      <c r="L2141" s="32">
        <v>0</v>
      </c>
      <c r="M2141" s="21">
        <v>0</v>
      </c>
      <c r="N2141" s="21">
        <v>0</v>
      </c>
      <c r="O2141" s="21">
        <v>5</v>
      </c>
      <c r="P2141" s="21">
        <v>0</v>
      </c>
      <c r="Q2141" s="21">
        <v>0</v>
      </c>
      <c r="R2141" s="21">
        <v>0</v>
      </c>
      <c r="S2141" s="19">
        <v>0</v>
      </c>
      <c r="T2141" s="21">
        <v>0</v>
      </c>
      <c r="U2141" s="21">
        <v>1</v>
      </c>
      <c r="V2141" s="21">
        <v>2</v>
      </c>
      <c r="W2141" s="21">
        <v>0</v>
      </c>
      <c r="X2141" s="21">
        <v>0</v>
      </c>
      <c r="Y2141" s="19">
        <v>0</v>
      </c>
      <c r="Z2141" s="21">
        <v>0</v>
      </c>
      <c r="AA2141" s="21">
        <v>0</v>
      </c>
      <c r="AB2141" s="21">
        <v>0</v>
      </c>
      <c r="AC2141" s="21">
        <v>0</v>
      </c>
      <c r="AD2141" s="21">
        <v>0</v>
      </c>
      <c r="AE2141" s="21">
        <v>0</v>
      </c>
      <c r="AF2141" s="21">
        <v>9</v>
      </c>
      <c r="AG2141" s="21">
        <v>2</v>
      </c>
      <c r="AH2141" s="21" t="s">
        <v>219</v>
      </c>
      <c r="AI2141" s="19">
        <v>2</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t="s">
        <v>4778</v>
      </c>
      <c r="BC2141" s="31">
        <v>0</v>
      </c>
      <c r="BD2141" s="31">
        <v>0</v>
      </c>
      <c r="BE2141" s="33" t="s">
        <v>4779</v>
      </c>
      <c r="BF2141" s="33" t="s">
        <v>4780</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80002005</v>
      </c>
      <c r="D2142" s="30" t="s">
        <v>4781</v>
      </c>
      <c r="E2142" s="279" t="s">
        <v>4782</v>
      </c>
      <c r="F2142" s="21">
        <v>1</v>
      </c>
      <c r="G2142" s="21">
        <v>80002005</v>
      </c>
      <c r="H2142" s="32">
        <v>0</v>
      </c>
      <c r="I2142" s="31">
        <v>0</v>
      </c>
      <c r="J2142" s="32">
        <v>1</v>
      </c>
      <c r="K2142" s="32">
        <v>0</v>
      </c>
      <c r="L2142" s="32">
        <v>0</v>
      </c>
      <c r="M2142" s="21">
        <v>0</v>
      </c>
      <c r="N2142" s="21">
        <v>0</v>
      </c>
      <c r="O2142" s="21">
        <v>5</v>
      </c>
      <c r="P2142" s="21">
        <v>0</v>
      </c>
      <c r="Q2142" s="21">
        <v>0</v>
      </c>
      <c r="R2142" s="21">
        <v>0</v>
      </c>
      <c r="S2142" s="19">
        <v>0</v>
      </c>
      <c r="T2142" s="21">
        <v>0</v>
      </c>
      <c r="U2142" s="21">
        <v>1</v>
      </c>
      <c r="V2142" s="21">
        <v>2</v>
      </c>
      <c r="W2142" s="21">
        <v>0</v>
      </c>
      <c r="X2142" s="21">
        <v>0</v>
      </c>
      <c r="Y2142" s="19">
        <v>0</v>
      </c>
      <c r="Z2142" s="21">
        <v>0</v>
      </c>
      <c r="AA2142" s="21">
        <v>0</v>
      </c>
      <c r="AB2142" s="21">
        <v>0</v>
      </c>
      <c r="AC2142" s="21">
        <v>0</v>
      </c>
      <c r="AD2142" s="21">
        <v>0</v>
      </c>
      <c r="AE2142" s="21">
        <v>0</v>
      </c>
      <c r="AF2142" s="21">
        <v>9</v>
      </c>
      <c r="AG2142" s="21">
        <v>2</v>
      </c>
      <c r="AH2142" s="21" t="s">
        <v>219</v>
      </c>
      <c r="AI2142" s="19">
        <v>2</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21" t="s">
        <v>4783</v>
      </c>
      <c r="BC2142" s="31">
        <v>0</v>
      </c>
      <c r="BD2142" s="31">
        <v>0</v>
      </c>
      <c r="BE2142" s="33" t="s">
        <v>4784</v>
      </c>
      <c r="BF2142" s="33" t="s">
        <v>4785</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80002006</v>
      </c>
      <c r="D2143" s="30" t="s">
        <v>4786</v>
      </c>
      <c r="E2143" s="279" t="s">
        <v>4787</v>
      </c>
      <c r="F2143" s="21">
        <v>1</v>
      </c>
      <c r="G2143" s="21">
        <v>80002006</v>
      </c>
      <c r="H2143" s="32">
        <v>0</v>
      </c>
      <c r="I2143" s="31">
        <v>0</v>
      </c>
      <c r="J2143" s="32">
        <v>1</v>
      </c>
      <c r="K2143" s="32">
        <v>0</v>
      </c>
      <c r="L2143" s="32">
        <v>0</v>
      </c>
      <c r="M2143" s="21">
        <v>0</v>
      </c>
      <c r="N2143" s="21">
        <v>0</v>
      </c>
      <c r="O2143" s="21">
        <v>5</v>
      </c>
      <c r="P2143" s="180">
        <v>0</v>
      </c>
      <c r="Q2143" s="180">
        <v>0</v>
      </c>
      <c r="R2143" s="180">
        <v>0</v>
      </c>
      <c r="S2143" s="19">
        <v>0</v>
      </c>
      <c r="T2143" s="180">
        <v>0</v>
      </c>
      <c r="U2143" s="180">
        <v>1</v>
      </c>
      <c r="V2143" s="180">
        <v>2</v>
      </c>
      <c r="W2143" s="180">
        <v>0</v>
      </c>
      <c r="X2143" s="21">
        <v>1</v>
      </c>
      <c r="Y2143" s="19">
        <v>0</v>
      </c>
      <c r="Z2143" s="21">
        <v>0</v>
      </c>
      <c r="AA2143" s="21">
        <v>0</v>
      </c>
      <c r="AB2143" s="21">
        <v>0</v>
      </c>
      <c r="AC2143" s="21">
        <v>0</v>
      </c>
      <c r="AD2143" s="21">
        <v>0</v>
      </c>
      <c r="AE2143" s="21">
        <v>0</v>
      </c>
      <c r="AF2143" s="21">
        <v>9</v>
      </c>
      <c r="AG2143" s="21">
        <v>2</v>
      </c>
      <c r="AH2143" s="21" t="s">
        <v>219</v>
      </c>
      <c r="AI2143" s="19">
        <v>2</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180" t="s">
        <v>4788</v>
      </c>
      <c r="BC2143" s="31">
        <v>0</v>
      </c>
      <c r="BD2143" s="31">
        <v>0</v>
      </c>
      <c r="BE2143" s="243" t="s">
        <v>4789</v>
      </c>
      <c r="BF2143" s="243" t="s">
        <v>4790</v>
      </c>
      <c r="BG2143" s="21"/>
      <c r="BH2143" s="21">
        <v>0</v>
      </c>
      <c r="BI2143" s="21"/>
      <c r="BJ2143" s="21"/>
      <c r="BK2143" s="21"/>
      <c r="BL2143" s="180"/>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80002007</v>
      </c>
      <c r="D2144" s="30" t="s">
        <v>4791</v>
      </c>
      <c r="E2144" s="279" t="s">
        <v>4792</v>
      </c>
      <c r="F2144" s="21">
        <v>1</v>
      </c>
      <c r="G2144" s="21">
        <v>80002007</v>
      </c>
      <c r="H2144" s="32">
        <v>0</v>
      </c>
      <c r="I2144" s="31">
        <v>0</v>
      </c>
      <c r="J2144" s="32">
        <v>1</v>
      </c>
      <c r="K2144" s="32">
        <v>0</v>
      </c>
      <c r="L2144" s="32">
        <v>0</v>
      </c>
      <c r="M2144" s="21">
        <v>0</v>
      </c>
      <c r="N2144" s="21">
        <v>0</v>
      </c>
      <c r="O2144" s="21">
        <v>2</v>
      </c>
      <c r="P2144" s="21">
        <v>3</v>
      </c>
      <c r="Q2144" s="21">
        <v>0.2</v>
      </c>
      <c r="R2144" s="21">
        <v>0</v>
      </c>
      <c r="S2144" s="19">
        <v>0</v>
      </c>
      <c r="T2144" s="21">
        <v>0</v>
      </c>
      <c r="U2144" s="21">
        <v>1</v>
      </c>
      <c r="V2144" s="21">
        <v>2</v>
      </c>
      <c r="W2144" s="21">
        <v>0</v>
      </c>
      <c r="X2144" s="21">
        <v>1</v>
      </c>
      <c r="Y2144" s="19">
        <v>0</v>
      </c>
      <c r="Z2144" s="21">
        <v>0</v>
      </c>
      <c r="AA2144" s="21">
        <v>0</v>
      </c>
      <c r="AB2144" s="21">
        <v>0</v>
      </c>
      <c r="AC2144" s="21">
        <v>0</v>
      </c>
      <c r="AD2144" s="21">
        <v>0</v>
      </c>
      <c r="AE2144" s="21">
        <v>0</v>
      </c>
      <c r="AF2144" s="21">
        <v>9</v>
      </c>
      <c r="AG2144" s="21">
        <v>1</v>
      </c>
      <c r="AH2144" s="21">
        <v>0</v>
      </c>
      <c r="AI2144" s="19">
        <v>1</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c r="BC2144" s="31">
        <v>0</v>
      </c>
      <c r="BD2144" s="31">
        <v>0</v>
      </c>
      <c r="BE2144" s="33" t="s">
        <v>4680</v>
      </c>
      <c r="BF2144" s="33" t="s">
        <v>4681</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80002008</v>
      </c>
      <c r="D2145" s="30" t="s">
        <v>4793</v>
      </c>
      <c r="E2145" s="279" t="s">
        <v>4794</v>
      </c>
      <c r="F2145" s="21">
        <v>1</v>
      </c>
      <c r="G2145" s="21">
        <v>80002008</v>
      </c>
      <c r="H2145" s="32">
        <v>0</v>
      </c>
      <c r="I2145" s="31">
        <v>0</v>
      </c>
      <c r="J2145" s="32">
        <v>1</v>
      </c>
      <c r="K2145" s="32">
        <v>0</v>
      </c>
      <c r="L2145" s="32">
        <v>0</v>
      </c>
      <c r="M2145" s="21">
        <v>0</v>
      </c>
      <c r="N2145" s="21">
        <v>0</v>
      </c>
      <c r="O2145" s="21">
        <v>2</v>
      </c>
      <c r="P2145" s="21">
        <v>3</v>
      </c>
      <c r="Q2145" s="21">
        <v>0.5</v>
      </c>
      <c r="R2145" s="21">
        <v>0</v>
      </c>
      <c r="S2145" s="19">
        <v>0</v>
      </c>
      <c r="T2145" s="21">
        <v>0</v>
      </c>
      <c r="U2145" s="21">
        <v>1</v>
      </c>
      <c r="V2145" s="21">
        <v>2</v>
      </c>
      <c r="W2145" s="21">
        <v>0</v>
      </c>
      <c r="X2145" s="21">
        <v>0.5</v>
      </c>
      <c r="Y2145" s="19">
        <v>0</v>
      </c>
      <c r="Z2145" s="21">
        <v>0</v>
      </c>
      <c r="AA2145" s="21">
        <v>0</v>
      </c>
      <c r="AB2145" s="21">
        <v>0</v>
      </c>
      <c r="AC2145" s="21">
        <v>0</v>
      </c>
      <c r="AD2145" s="21">
        <v>0</v>
      </c>
      <c r="AE2145" s="21">
        <v>0</v>
      </c>
      <c r="AF2145" s="21">
        <v>9</v>
      </c>
      <c r="AG2145" s="21">
        <v>1</v>
      </c>
      <c r="AH2145" s="21">
        <v>0</v>
      </c>
      <c r="AI2145" s="19">
        <v>1</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c r="BC2145" s="31">
        <v>0</v>
      </c>
      <c r="BD2145" s="31">
        <v>0</v>
      </c>
      <c r="BE2145" s="33" t="s">
        <v>4795</v>
      </c>
      <c r="BF2145" s="33" t="s">
        <v>4796</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80002009</v>
      </c>
      <c r="D2146" s="30" t="s">
        <v>4797</v>
      </c>
      <c r="E2146" s="279" t="s">
        <v>4798</v>
      </c>
      <c r="F2146" s="21">
        <v>1</v>
      </c>
      <c r="G2146" s="21">
        <v>80002009</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4799</v>
      </c>
      <c r="BC2146" s="31">
        <v>0</v>
      </c>
      <c r="BD2146" s="31">
        <v>0</v>
      </c>
      <c r="BE2146" s="33" t="s">
        <v>4800</v>
      </c>
      <c r="BF2146" s="33" t="s">
        <v>4801</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80002010</v>
      </c>
      <c r="D2147" s="30" t="s">
        <v>4802</v>
      </c>
      <c r="E2147" s="279" t="s">
        <v>4803</v>
      </c>
      <c r="F2147" s="21">
        <v>1</v>
      </c>
      <c r="G2147" s="21">
        <v>80002010</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4804</v>
      </c>
      <c r="BC2147" s="31">
        <v>0</v>
      </c>
      <c r="BD2147" s="31">
        <v>0</v>
      </c>
      <c r="BE2147" s="33" t="s">
        <v>2036</v>
      </c>
      <c r="BF2147" s="33" t="s">
        <v>2037</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80002011</v>
      </c>
      <c r="D2148" s="30" t="s">
        <v>4805</v>
      </c>
      <c r="E2148" s="279" t="s">
        <v>4806</v>
      </c>
      <c r="F2148" s="21">
        <v>1</v>
      </c>
      <c r="G2148" s="21">
        <v>80002011</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4807</v>
      </c>
      <c r="BC2148" s="31">
        <v>0</v>
      </c>
      <c r="BD2148" s="31">
        <v>0</v>
      </c>
      <c r="BE2148" s="33" t="s">
        <v>4808</v>
      </c>
      <c r="BF2148" s="33" t="s">
        <v>4809</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32">
        <v>80002012</v>
      </c>
      <c r="D2149" s="30" t="s">
        <v>4810</v>
      </c>
      <c r="E2149" s="279" t="s">
        <v>4811</v>
      </c>
      <c r="F2149" s="21">
        <v>1</v>
      </c>
      <c r="G2149" s="21">
        <v>80002012</v>
      </c>
      <c r="H2149" s="32">
        <v>0</v>
      </c>
      <c r="I2149" s="31">
        <v>0</v>
      </c>
      <c r="J2149" s="32">
        <v>1</v>
      </c>
      <c r="K2149" s="32">
        <v>0</v>
      </c>
      <c r="L2149" s="32">
        <v>0</v>
      </c>
      <c r="M2149" s="21">
        <v>0</v>
      </c>
      <c r="N2149" s="21">
        <v>0</v>
      </c>
      <c r="O2149" s="21">
        <v>5</v>
      </c>
      <c r="P2149" s="21">
        <v>0</v>
      </c>
      <c r="Q2149" s="21">
        <v>0</v>
      </c>
      <c r="R2149" s="21">
        <v>0</v>
      </c>
      <c r="S2149" s="19">
        <v>0</v>
      </c>
      <c r="T2149" s="21">
        <v>0</v>
      </c>
      <c r="U2149" s="21">
        <v>1</v>
      </c>
      <c r="V2149" s="21">
        <v>2</v>
      </c>
      <c r="W2149" s="21">
        <v>0</v>
      </c>
      <c r="X2149" s="21">
        <v>0</v>
      </c>
      <c r="Y2149" s="19">
        <v>0</v>
      </c>
      <c r="Z2149" s="21">
        <v>0</v>
      </c>
      <c r="AA2149" s="21">
        <v>0</v>
      </c>
      <c r="AB2149" s="21">
        <v>0</v>
      </c>
      <c r="AC2149" s="21">
        <v>0</v>
      </c>
      <c r="AD2149" s="21">
        <v>0</v>
      </c>
      <c r="AE2149" s="21">
        <v>0</v>
      </c>
      <c r="AF2149" s="21">
        <v>9</v>
      </c>
      <c r="AG2149" s="21">
        <v>2</v>
      </c>
      <c r="AH2149" s="21" t="s">
        <v>219</v>
      </c>
      <c r="AI2149" s="19">
        <v>2</v>
      </c>
      <c r="AJ2149" s="19">
        <v>2</v>
      </c>
      <c r="AK2149" s="19">
        <v>0</v>
      </c>
      <c r="AL2149" s="19">
        <v>1.5</v>
      </c>
      <c r="AM2149" s="21">
        <v>0</v>
      </c>
      <c r="AN2149" s="21">
        <v>0</v>
      </c>
      <c r="AO2149" s="21">
        <v>0</v>
      </c>
      <c r="AP2149" s="21">
        <v>1</v>
      </c>
      <c r="AQ2149" s="21">
        <v>3000</v>
      </c>
      <c r="AR2149" s="21">
        <v>0.5</v>
      </c>
      <c r="AS2149" s="21">
        <v>0</v>
      </c>
      <c r="AT2149" s="19">
        <v>0</v>
      </c>
      <c r="AU2149" s="21" t="s">
        <v>204</v>
      </c>
      <c r="AV2149" s="21"/>
      <c r="AW2149" s="30" t="s">
        <v>205</v>
      </c>
      <c r="AX2149" s="21">
        <v>0</v>
      </c>
      <c r="AY2149" s="32">
        <v>0</v>
      </c>
      <c r="AZ2149" s="32">
        <v>0</v>
      </c>
      <c r="BA2149" s="30" t="s">
        <v>206</v>
      </c>
      <c r="BB2149" s="21" t="s">
        <v>4812</v>
      </c>
      <c r="BC2149" s="31">
        <v>0</v>
      </c>
      <c r="BD2149" s="31">
        <v>0</v>
      </c>
      <c r="BE2149" s="33" t="s">
        <v>4813</v>
      </c>
      <c r="BF2149" s="33" t="s">
        <v>4814</v>
      </c>
      <c r="BG2149" s="21"/>
      <c r="BH2149" s="21">
        <v>0</v>
      </c>
      <c r="BI2149" s="21"/>
      <c r="BJ2149" s="21"/>
      <c r="BK2149" s="21"/>
      <c r="BL2149" s="32"/>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80002013</v>
      </c>
      <c r="D2150" s="30" t="s">
        <v>4815</v>
      </c>
      <c r="E2150" s="279" t="s">
        <v>4816</v>
      </c>
      <c r="F2150" s="21">
        <v>1</v>
      </c>
      <c r="G2150" s="21">
        <v>80002013</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4817</v>
      </c>
      <c r="BC2150" s="31">
        <v>0</v>
      </c>
      <c r="BD2150" s="31">
        <v>0</v>
      </c>
      <c r="BE2150" s="33" t="s">
        <v>4818</v>
      </c>
      <c r="BF2150" s="33" t="s">
        <v>4819</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32">
        <v>80002014</v>
      </c>
      <c r="D2151" s="30" t="s">
        <v>4820</v>
      </c>
      <c r="E2151" s="279" t="s">
        <v>4821</v>
      </c>
      <c r="F2151" s="21">
        <v>1</v>
      </c>
      <c r="G2151" s="21">
        <v>80002014</v>
      </c>
      <c r="H2151" s="32">
        <v>0</v>
      </c>
      <c r="I2151" s="31">
        <v>0</v>
      </c>
      <c r="J2151" s="32">
        <v>1</v>
      </c>
      <c r="K2151" s="32">
        <v>0</v>
      </c>
      <c r="L2151" s="32">
        <v>0</v>
      </c>
      <c r="M2151" s="21">
        <v>0</v>
      </c>
      <c r="N2151" s="21">
        <v>0</v>
      </c>
      <c r="O2151" s="21">
        <v>5</v>
      </c>
      <c r="P2151" s="21">
        <v>0</v>
      </c>
      <c r="Q2151" s="21">
        <v>0</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219</v>
      </c>
      <c r="AI2151" s="19">
        <v>2</v>
      </c>
      <c r="AJ2151" s="19">
        <v>2</v>
      </c>
      <c r="AK2151" s="19">
        <v>0</v>
      </c>
      <c r="AL2151" s="19">
        <v>1.5</v>
      </c>
      <c r="AM2151" s="21">
        <v>0</v>
      </c>
      <c r="AN2151" s="21">
        <v>0</v>
      </c>
      <c r="AO2151" s="21">
        <v>0</v>
      </c>
      <c r="AP2151" s="21">
        <v>1</v>
      </c>
      <c r="AQ2151" s="21">
        <v>3000</v>
      </c>
      <c r="AR2151" s="21">
        <v>0.5</v>
      </c>
      <c r="AS2151" s="21">
        <v>0</v>
      </c>
      <c r="AT2151" s="19">
        <v>0</v>
      </c>
      <c r="AU2151" s="21" t="s">
        <v>204</v>
      </c>
      <c r="AV2151" s="21"/>
      <c r="AW2151" s="30" t="s">
        <v>205</v>
      </c>
      <c r="AX2151" s="21">
        <v>0</v>
      </c>
      <c r="AY2151" s="32">
        <v>0</v>
      </c>
      <c r="AZ2151" s="32">
        <v>0</v>
      </c>
      <c r="BA2151" s="30" t="s">
        <v>206</v>
      </c>
      <c r="BB2151" s="21" t="s">
        <v>4822</v>
      </c>
      <c r="BC2151" s="31">
        <v>0</v>
      </c>
      <c r="BD2151" s="31">
        <v>0</v>
      </c>
      <c r="BE2151" s="33" t="s">
        <v>4823</v>
      </c>
      <c r="BF2151" s="33" t="s">
        <v>4824</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180">
        <v>80002015</v>
      </c>
      <c r="D2152" s="179" t="s">
        <v>4825</v>
      </c>
      <c r="E2152" s="279" t="s">
        <v>4826</v>
      </c>
      <c r="F2152" s="180">
        <v>1</v>
      </c>
      <c r="G2152" s="180">
        <v>80002015</v>
      </c>
      <c r="H2152" s="180">
        <v>0</v>
      </c>
      <c r="I2152" s="180">
        <v>0</v>
      </c>
      <c r="J2152" s="32">
        <v>1</v>
      </c>
      <c r="K2152" s="32">
        <v>0</v>
      </c>
      <c r="L2152" s="180">
        <v>0</v>
      </c>
      <c r="M2152" s="180">
        <v>0</v>
      </c>
      <c r="N2152" s="180">
        <v>0</v>
      </c>
      <c r="O2152" s="180">
        <v>2</v>
      </c>
      <c r="P2152" s="180">
        <v>0</v>
      </c>
      <c r="Q2152" s="180">
        <v>0</v>
      </c>
      <c r="R2152" s="180">
        <v>0</v>
      </c>
      <c r="S2152" s="19">
        <v>0</v>
      </c>
      <c r="T2152" s="180">
        <v>0</v>
      </c>
      <c r="U2152" s="180">
        <v>1</v>
      </c>
      <c r="V2152" s="180">
        <v>2</v>
      </c>
      <c r="W2152" s="180">
        <v>0</v>
      </c>
      <c r="X2152" s="180">
        <v>0</v>
      </c>
      <c r="Y2152" s="19">
        <v>0</v>
      </c>
      <c r="Z2152" s="180">
        <v>0</v>
      </c>
      <c r="AA2152" s="180">
        <v>0</v>
      </c>
      <c r="AB2152" s="180">
        <v>0</v>
      </c>
      <c r="AC2152" s="180">
        <v>0</v>
      </c>
      <c r="AD2152" s="180">
        <v>0</v>
      </c>
      <c r="AE2152" s="180">
        <v>0</v>
      </c>
      <c r="AF2152" s="180">
        <v>9</v>
      </c>
      <c r="AG2152" s="180">
        <v>2</v>
      </c>
      <c r="AH2152" s="180" t="s">
        <v>219</v>
      </c>
      <c r="AI2152" s="180">
        <v>2</v>
      </c>
      <c r="AJ2152" s="180">
        <v>2</v>
      </c>
      <c r="AK2152" s="19">
        <v>0</v>
      </c>
      <c r="AL2152" s="180">
        <v>1.5</v>
      </c>
      <c r="AM2152" s="180">
        <v>0</v>
      </c>
      <c r="AN2152" s="180">
        <v>0</v>
      </c>
      <c r="AO2152" s="180">
        <v>0</v>
      </c>
      <c r="AP2152" s="180">
        <v>1</v>
      </c>
      <c r="AQ2152" s="180">
        <v>3000</v>
      </c>
      <c r="AR2152" s="180">
        <v>0.5</v>
      </c>
      <c r="AS2152" s="180">
        <v>0</v>
      </c>
      <c r="AT2152" s="180">
        <v>0</v>
      </c>
      <c r="AU2152" s="180" t="s">
        <v>204</v>
      </c>
      <c r="AV2152" s="180"/>
      <c r="AW2152" s="30" t="s">
        <v>205</v>
      </c>
      <c r="AX2152" s="180">
        <v>0</v>
      </c>
      <c r="AY2152" s="180">
        <v>0</v>
      </c>
      <c r="AZ2152" s="180">
        <v>0</v>
      </c>
      <c r="BA2152" s="179" t="s">
        <v>206</v>
      </c>
      <c r="BB2152" s="180" t="s">
        <v>4827</v>
      </c>
      <c r="BC2152" s="180">
        <v>0</v>
      </c>
      <c r="BD2152" s="180">
        <v>0</v>
      </c>
      <c r="BE2152" s="243" t="s">
        <v>4828</v>
      </c>
      <c r="BF2152" s="243" t="s">
        <v>4829</v>
      </c>
      <c r="BG2152" s="180"/>
      <c r="BH2152" s="21">
        <v>0</v>
      </c>
      <c r="BI2152" s="180"/>
      <c r="BJ2152" s="180"/>
      <c r="BK2152" s="180"/>
      <c r="BL2152" s="180"/>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80002016</v>
      </c>
      <c r="D2153" s="30" t="s">
        <v>4830</v>
      </c>
      <c r="E2153" s="279" t="s">
        <v>4831</v>
      </c>
      <c r="F2153" s="21">
        <v>1</v>
      </c>
      <c r="G2153" s="21">
        <v>80002016</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0</v>
      </c>
      <c r="AU2153" s="21" t="s">
        <v>204</v>
      </c>
      <c r="AV2153" s="21"/>
      <c r="AW2153" s="30" t="s">
        <v>205</v>
      </c>
      <c r="AX2153" s="21">
        <v>0</v>
      </c>
      <c r="AY2153" s="32">
        <v>0</v>
      </c>
      <c r="AZ2153" s="32">
        <v>0</v>
      </c>
      <c r="BA2153" s="30" t="s">
        <v>206</v>
      </c>
      <c r="BB2153" s="21" t="s">
        <v>4832</v>
      </c>
      <c r="BC2153" s="31">
        <v>0</v>
      </c>
      <c r="BD2153" s="31">
        <v>0</v>
      </c>
      <c r="BE2153" s="33" t="s">
        <v>4833</v>
      </c>
      <c r="BF2153" s="33" t="s">
        <v>4834</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80002017</v>
      </c>
      <c r="D2154" s="30" t="s">
        <v>4835</v>
      </c>
      <c r="E2154" s="279" t="s">
        <v>4836</v>
      </c>
      <c r="F2154" s="21">
        <v>1</v>
      </c>
      <c r="G2154" s="21">
        <v>80002017</v>
      </c>
      <c r="H2154" s="32">
        <v>0</v>
      </c>
      <c r="I2154" s="31">
        <v>0</v>
      </c>
      <c r="J2154" s="32">
        <v>1</v>
      </c>
      <c r="K2154" s="32">
        <v>0</v>
      </c>
      <c r="L2154" s="32">
        <v>0</v>
      </c>
      <c r="M2154" s="21">
        <v>0</v>
      </c>
      <c r="N2154" s="21">
        <v>0</v>
      </c>
      <c r="O2154" s="21">
        <v>2</v>
      </c>
      <c r="P2154" s="21">
        <v>3</v>
      </c>
      <c r="Q2154" s="21">
        <v>0.2</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80010171</v>
      </c>
      <c r="AU2154" s="21" t="s">
        <v>204</v>
      </c>
      <c r="AV2154" s="21"/>
      <c r="AW2154" s="30" t="s">
        <v>205</v>
      </c>
      <c r="AX2154" s="21">
        <v>0</v>
      </c>
      <c r="AY2154" s="32">
        <v>0</v>
      </c>
      <c r="AZ2154" s="32">
        <v>0</v>
      </c>
      <c r="BA2154" s="30" t="s">
        <v>206</v>
      </c>
      <c r="BB2154" s="21"/>
      <c r="BC2154" s="31">
        <v>0</v>
      </c>
      <c r="BD2154" s="31">
        <v>0</v>
      </c>
      <c r="BE2154" s="243" t="s">
        <v>4837</v>
      </c>
      <c r="BF2154" s="243" t="s">
        <v>4838</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100000000000001" customHeight="1">
      <c r="C2155" s="32">
        <v>80002018</v>
      </c>
      <c r="D2155" s="30" t="s">
        <v>4839</v>
      </c>
      <c r="E2155" s="279" t="s">
        <v>4840</v>
      </c>
      <c r="F2155" s="21">
        <v>1</v>
      </c>
      <c r="G2155" s="21">
        <v>80002018</v>
      </c>
      <c r="H2155" s="32">
        <v>0</v>
      </c>
      <c r="I2155" s="31">
        <v>0</v>
      </c>
      <c r="J2155" s="32">
        <v>1</v>
      </c>
      <c r="K2155" s="32">
        <v>0</v>
      </c>
      <c r="L2155" s="32">
        <v>0</v>
      </c>
      <c r="M2155" s="21">
        <v>0</v>
      </c>
      <c r="N2155" s="21">
        <v>0</v>
      </c>
      <c r="O2155" s="21">
        <v>5</v>
      </c>
      <c r="P2155" s="21">
        <v>0</v>
      </c>
      <c r="Q2155" s="21">
        <v>0</v>
      </c>
      <c r="R2155" s="21">
        <v>0</v>
      </c>
      <c r="S2155" s="19">
        <v>0</v>
      </c>
      <c r="T2155" s="21">
        <v>0</v>
      </c>
      <c r="U2155" s="21">
        <v>1</v>
      </c>
      <c r="V2155" s="21">
        <v>2</v>
      </c>
      <c r="W2155" s="21">
        <v>0</v>
      </c>
      <c r="X2155" s="21">
        <v>0</v>
      </c>
      <c r="Y2155" s="19">
        <v>0</v>
      </c>
      <c r="Z2155" s="21">
        <v>0</v>
      </c>
      <c r="AA2155" s="21">
        <v>0</v>
      </c>
      <c r="AB2155" s="21">
        <v>0</v>
      </c>
      <c r="AC2155" s="21">
        <v>0</v>
      </c>
      <c r="AD2155" s="21">
        <v>0</v>
      </c>
      <c r="AE2155" s="21">
        <v>0</v>
      </c>
      <c r="AF2155" s="21">
        <v>9</v>
      </c>
      <c r="AG2155" s="21">
        <v>2</v>
      </c>
      <c r="AH2155" s="21" t="s">
        <v>219</v>
      </c>
      <c r="AI2155" s="19">
        <v>2</v>
      </c>
      <c r="AJ2155" s="19">
        <v>2</v>
      </c>
      <c r="AK2155" s="19">
        <v>0</v>
      </c>
      <c r="AL2155" s="19">
        <v>1.5</v>
      </c>
      <c r="AM2155" s="21">
        <v>0</v>
      </c>
      <c r="AN2155" s="21">
        <v>0</v>
      </c>
      <c r="AO2155" s="21">
        <v>0</v>
      </c>
      <c r="AP2155" s="21">
        <v>1</v>
      </c>
      <c r="AQ2155" s="21">
        <v>3000</v>
      </c>
      <c r="AR2155" s="21">
        <v>0.5</v>
      </c>
      <c r="AS2155" s="21">
        <v>0</v>
      </c>
      <c r="AT2155" s="19">
        <v>0</v>
      </c>
      <c r="AU2155" s="21" t="s">
        <v>204</v>
      </c>
      <c r="AV2155" s="21"/>
      <c r="AW2155" s="30" t="s">
        <v>205</v>
      </c>
      <c r="AX2155" s="21">
        <v>0</v>
      </c>
      <c r="AY2155" s="32">
        <v>0</v>
      </c>
      <c r="AZ2155" s="32">
        <v>0</v>
      </c>
      <c r="BA2155" s="30" t="s">
        <v>206</v>
      </c>
      <c r="BB2155" s="21" t="s">
        <v>4841</v>
      </c>
      <c r="BC2155" s="31">
        <v>0</v>
      </c>
      <c r="BD2155" s="31">
        <v>0</v>
      </c>
      <c r="BE2155" s="33" t="s">
        <v>4842</v>
      </c>
      <c r="BF2155" s="33" t="s">
        <v>4843</v>
      </c>
      <c r="BG2155" s="21"/>
      <c r="BH2155" s="21">
        <v>0</v>
      </c>
      <c r="BI2155" s="21"/>
      <c r="BJ2155" s="21"/>
      <c r="BK2155" s="21"/>
      <c r="BL2155" s="32"/>
      <c r="BM2155" s="21">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80002019</v>
      </c>
      <c r="D2156" s="30" t="s">
        <v>4844</v>
      </c>
      <c r="E2156" s="279" t="s">
        <v>4845</v>
      </c>
      <c r="F2156" s="21">
        <v>1</v>
      </c>
      <c r="G2156" s="21">
        <v>80002019</v>
      </c>
      <c r="H2156" s="32">
        <v>0</v>
      </c>
      <c r="I2156" s="31">
        <v>0</v>
      </c>
      <c r="J2156" s="32">
        <v>1</v>
      </c>
      <c r="K2156" s="32">
        <v>0</v>
      </c>
      <c r="L2156" s="32">
        <v>0</v>
      </c>
      <c r="M2156" s="21">
        <v>0</v>
      </c>
      <c r="N2156" s="21">
        <v>0</v>
      </c>
      <c r="O2156" s="21">
        <v>5</v>
      </c>
      <c r="P2156" s="21">
        <v>0</v>
      </c>
      <c r="Q2156" s="21">
        <v>0</v>
      </c>
      <c r="R2156" s="21">
        <v>0</v>
      </c>
      <c r="S2156" s="19">
        <v>0</v>
      </c>
      <c r="T2156" s="21">
        <v>0</v>
      </c>
      <c r="U2156" s="21">
        <v>1</v>
      </c>
      <c r="V2156" s="21">
        <v>2</v>
      </c>
      <c r="W2156" s="21">
        <v>0</v>
      </c>
      <c r="X2156" s="21">
        <v>0</v>
      </c>
      <c r="Y2156" s="19">
        <v>0</v>
      </c>
      <c r="Z2156" s="21">
        <v>0</v>
      </c>
      <c r="AA2156" s="21">
        <v>0</v>
      </c>
      <c r="AB2156" s="21">
        <v>0</v>
      </c>
      <c r="AC2156" s="21">
        <v>0</v>
      </c>
      <c r="AD2156" s="21">
        <v>0</v>
      </c>
      <c r="AE2156" s="21">
        <v>0</v>
      </c>
      <c r="AF2156" s="21">
        <v>9</v>
      </c>
      <c r="AG2156" s="21">
        <v>2</v>
      </c>
      <c r="AH2156" s="21" t="s">
        <v>219</v>
      </c>
      <c r="AI2156" s="19">
        <v>2</v>
      </c>
      <c r="AJ2156" s="19">
        <v>2</v>
      </c>
      <c r="AK2156" s="19">
        <v>0</v>
      </c>
      <c r="AL2156" s="19">
        <v>1.5</v>
      </c>
      <c r="AM2156" s="21">
        <v>0</v>
      </c>
      <c r="AN2156" s="21">
        <v>0</v>
      </c>
      <c r="AO2156" s="21">
        <v>0</v>
      </c>
      <c r="AP2156" s="21">
        <v>1</v>
      </c>
      <c r="AQ2156" s="21">
        <v>3000</v>
      </c>
      <c r="AR2156" s="21">
        <v>0.5</v>
      </c>
      <c r="AS2156" s="21">
        <v>0</v>
      </c>
      <c r="AT2156" s="19">
        <v>0</v>
      </c>
      <c r="AU2156" s="21" t="s">
        <v>204</v>
      </c>
      <c r="AV2156" s="21"/>
      <c r="AW2156" s="30" t="s">
        <v>205</v>
      </c>
      <c r="AX2156" s="21">
        <v>0</v>
      </c>
      <c r="AY2156" s="32">
        <v>0</v>
      </c>
      <c r="AZ2156" s="32">
        <v>0</v>
      </c>
      <c r="BA2156" s="30" t="s">
        <v>206</v>
      </c>
      <c r="BB2156" s="21" t="s">
        <v>4846</v>
      </c>
      <c r="BC2156" s="31">
        <v>0</v>
      </c>
      <c r="BD2156" s="31">
        <v>0</v>
      </c>
      <c r="BE2156" s="33" t="s">
        <v>4847</v>
      </c>
      <c r="BF2156" s="33" t="s">
        <v>4848</v>
      </c>
      <c r="BG2156" s="21"/>
      <c r="BH2156" s="21">
        <v>0</v>
      </c>
      <c r="BI2156" s="21"/>
      <c r="BJ2156" s="21"/>
      <c r="BK2156" s="21"/>
      <c r="BL2156" s="32"/>
      <c r="BM2156" s="21">
        <v>0</v>
      </c>
      <c r="BN2156" s="19">
        <v>0</v>
      </c>
      <c r="BO2156" s="19">
        <v>0</v>
      </c>
      <c r="BP2156" s="19">
        <v>0</v>
      </c>
      <c r="BQ2156" s="19">
        <v>0</v>
      </c>
      <c r="BR2156" s="19">
        <v>0</v>
      </c>
      <c r="BS2156" s="19">
        <v>0</v>
      </c>
      <c r="BT2156" s="19">
        <v>0</v>
      </c>
      <c r="BU2156" s="23">
        <v>0</v>
      </c>
      <c r="BV2156" s="23"/>
      <c r="BW2156" s="23"/>
      <c r="BX2156" s="23"/>
      <c r="BY2156" s="23"/>
      <c r="BZ2156" s="23"/>
    </row>
    <row r="2157" spans="3:78" ht="20.100000000000001" customHeight="1">
      <c r="C2157" s="32">
        <v>80002020</v>
      </c>
      <c r="D2157" s="30" t="s">
        <v>4849</v>
      </c>
      <c r="E2157" s="279" t="s">
        <v>4850</v>
      </c>
      <c r="F2157" s="21">
        <v>1</v>
      </c>
      <c r="G2157" s="21">
        <v>80002020</v>
      </c>
      <c r="H2157" s="32">
        <v>0</v>
      </c>
      <c r="I2157" s="31">
        <v>0</v>
      </c>
      <c r="J2157" s="32">
        <v>1</v>
      </c>
      <c r="K2157" s="32">
        <v>0</v>
      </c>
      <c r="L2157" s="32">
        <v>0</v>
      </c>
      <c r="M2157" s="21">
        <v>0</v>
      </c>
      <c r="N2157" s="21">
        <v>0</v>
      </c>
      <c r="O2157" s="21">
        <v>5</v>
      </c>
      <c r="P2157" s="21">
        <v>0</v>
      </c>
      <c r="Q2157" s="21">
        <v>0</v>
      </c>
      <c r="R2157" s="21">
        <v>0</v>
      </c>
      <c r="S2157" s="19">
        <v>0</v>
      </c>
      <c r="T2157" s="21">
        <v>0</v>
      </c>
      <c r="U2157" s="21">
        <v>1</v>
      </c>
      <c r="V2157" s="21">
        <v>2</v>
      </c>
      <c r="W2157" s="21">
        <v>0</v>
      </c>
      <c r="X2157" s="21">
        <v>0</v>
      </c>
      <c r="Y2157" s="19">
        <v>0</v>
      </c>
      <c r="Z2157" s="21">
        <v>0</v>
      </c>
      <c r="AA2157" s="21">
        <v>0</v>
      </c>
      <c r="AB2157" s="21">
        <v>0</v>
      </c>
      <c r="AC2157" s="21">
        <v>0</v>
      </c>
      <c r="AD2157" s="21">
        <v>0</v>
      </c>
      <c r="AE2157" s="21">
        <v>0</v>
      </c>
      <c r="AF2157" s="21">
        <v>9</v>
      </c>
      <c r="AG2157" s="21">
        <v>2</v>
      </c>
      <c r="AH2157" s="21" t="s">
        <v>219</v>
      </c>
      <c r="AI2157" s="19">
        <v>2</v>
      </c>
      <c r="AJ2157" s="19">
        <v>2</v>
      </c>
      <c r="AK2157" s="19">
        <v>0</v>
      </c>
      <c r="AL2157" s="19">
        <v>1.5</v>
      </c>
      <c r="AM2157" s="21">
        <v>0</v>
      </c>
      <c r="AN2157" s="21">
        <v>0</v>
      </c>
      <c r="AO2157" s="21">
        <v>0</v>
      </c>
      <c r="AP2157" s="21">
        <v>1</v>
      </c>
      <c r="AQ2157" s="21">
        <v>3000</v>
      </c>
      <c r="AR2157" s="21">
        <v>0.5</v>
      </c>
      <c r="AS2157" s="21">
        <v>0</v>
      </c>
      <c r="AT2157" s="19">
        <v>0</v>
      </c>
      <c r="AU2157" s="21" t="s">
        <v>204</v>
      </c>
      <c r="AV2157" s="21"/>
      <c r="AW2157" s="30" t="s">
        <v>205</v>
      </c>
      <c r="AX2157" s="21">
        <v>0</v>
      </c>
      <c r="AY2157" s="32">
        <v>0</v>
      </c>
      <c r="AZ2157" s="32">
        <v>0</v>
      </c>
      <c r="BA2157" s="30" t="s">
        <v>206</v>
      </c>
      <c r="BB2157" s="21" t="s">
        <v>4851</v>
      </c>
      <c r="BC2157" s="31">
        <v>0</v>
      </c>
      <c r="BD2157" s="31">
        <v>0</v>
      </c>
      <c r="BE2157" s="33" t="s">
        <v>4852</v>
      </c>
      <c r="BF2157" s="33" t="s">
        <v>4853</v>
      </c>
      <c r="BG2157" s="21"/>
      <c r="BH2157" s="21">
        <v>0</v>
      </c>
      <c r="BI2157" s="21"/>
      <c r="BJ2157" s="21"/>
      <c r="BK2157" s="21"/>
      <c r="BL2157" s="32"/>
      <c r="BM2157" s="21">
        <v>0</v>
      </c>
      <c r="BN2157" s="19">
        <v>0</v>
      </c>
      <c r="BO2157" s="19">
        <v>0</v>
      </c>
      <c r="BP2157" s="19">
        <v>0</v>
      </c>
      <c r="BQ2157" s="19">
        <v>0</v>
      </c>
      <c r="BR2157" s="19">
        <v>0</v>
      </c>
      <c r="BS2157" s="19">
        <v>0</v>
      </c>
      <c r="BT2157" s="19">
        <v>0</v>
      </c>
      <c r="BU2157" s="23">
        <v>0</v>
      </c>
      <c r="BV2157" s="23"/>
      <c r="BW2157" s="23"/>
      <c r="BX2157" s="23"/>
      <c r="BY2157" s="23"/>
      <c r="BZ2157" s="23"/>
    </row>
    <row r="2158" spans="3:78" ht="20.25" customHeight="1">
      <c r="C2158" s="32">
        <v>80002021</v>
      </c>
      <c r="D2158" s="30" t="s">
        <v>4854</v>
      </c>
      <c r="E2158" s="279" t="s">
        <v>4855</v>
      </c>
      <c r="F2158" s="32">
        <v>1</v>
      </c>
      <c r="G2158" s="21">
        <v>80002021</v>
      </c>
      <c r="H2158" s="32">
        <v>0</v>
      </c>
      <c r="I2158" s="31">
        <v>0</v>
      </c>
      <c r="J2158" s="32">
        <v>1</v>
      </c>
      <c r="K2158" s="32">
        <v>0</v>
      </c>
      <c r="L2158" s="32">
        <v>0</v>
      </c>
      <c r="M2158" s="21">
        <v>0</v>
      </c>
      <c r="N2158" s="21">
        <v>0</v>
      </c>
      <c r="O2158" s="21">
        <v>2</v>
      </c>
      <c r="P2158" s="21">
        <v>10</v>
      </c>
      <c r="Q2158" s="21">
        <v>0.2</v>
      </c>
      <c r="R2158" s="21">
        <v>0</v>
      </c>
      <c r="S2158" s="19">
        <v>0</v>
      </c>
      <c r="T2158" s="21">
        <v>0</v>
      </c>
      <c r="U2158" s="21">
        <v>1</v>
      </c>
      <c r="V2158" s="21">
        <v>2</v>
      </c>
      <c r="W2158" s="21">
        <v>0</v>
      </c>
      <c r="X2158" s="21">
        <v>2</v>
      </c>
      <c r="Y2158" s="19">
        <v>0</v>
      </c>
      <c r="Z2158" s="21">
        <v>0</v>
      </c>
      <c r="AA2158" s="21">
        <v>0</v>
      </c>
      <c r="AB2158" s="21">
        <v>0</v>
      </c>
      <c r="AC2158" s="21">
        <v>0</v>
      </c>
      <c r="AD2158" s="21">
        <v>0</v>
      </c>
      <c r="AE2158" s="21">
        <v>0</v>
      </c>
      <c r="AF2158" s="21">
        <v>5</v>
      </c>
      <c r="AG2158" s="21">
        <v>1</v>
      </c>
      <c r="AH2158" s="21">
        <v>3</v>
      </c>
      <c r="AI2158" s="19">
        <v>1</v>
      </c>
      <c r="AJ2158" s="19">
        <v>1</v>
      </c>
      <c r="AK2158" s="19">
        <v>0</v>
      </c>
      <c r="AL2158" s="19">
        <v>3</v>
      </c>
      <c r="AM2158" s="21">
        <v>0</v>
      </c>
      <c r="AN2158" s="21">
        <v>0</v>
      </c>
      <c r="AO2158" s="21">
        <v>0</v>
      </c>
      <c r="AP2158" s="21">
        <v>3</v>
      </c>
      <c r="AQ2158" s="21">
        <v>5000</v>
      </c>
      <c r="AR2158" s="21">
        <v>0.5</v>
      </c>
      <c r="AS2158" s="21">
        <v>0</v>
      </c>
      <c r="AT2158" s="19">
        <v>0</v>
      </c>
      <c r="AU2158" s="21">
        <v>0</v>
      </c>
      <c r="AV2158" s="21"/>
      <c r="AW2158" s="30" t="s">
        <v>205</v>
      </c>
      <c r="AX2158" s="19" t="s">
        <v>1802</v>
      </c>
      <c r="AY2158" s="32">
        <v>10000007</v>
      </c>
      <c r="AZ2158" s="280">
        <v>23000080</v>
      </c>
      <c r="BA2158" s="30" t="s">
        <v>206</v>
      </c>
      <c r="BB2158" s="35" t="s">
        <v>204</v>
      </c>
      <c r="BC2158" s="31">
        <v>0</v>
      </c>
      <c r="BD2158" s="31">
        <v>0</v>
      </c>
      <c r="BE2158" s="33" t="s">
        <v>4856</v>
      </c>
      <c r="BF2158" s="33" t="s">
        <v>4857</v>
      </c>
      <c r="BG2158" s="32">
        <v>0</v>
      </c>
      <c r="BH2158" s="21">
        <v>0</v>
      </c>
      <c r="BI2158" s="21"/>
      <c r="BJ2158" s="21"/>
      <c r="BK2158" s="21"/>
      <c r="BL2158" s="32"/>
      <c r="BM2158" s="25">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80002022</v>
      </c>
      <c r="D2159" s="30" t="s">
        <v>4858</v>
      </c>
      <c r="E2159" s="279" t="s">
        <v>4859</v>
      </c>
      <c r="F2159" s="32">
        <v>1</v>
      </c>
      <c r="G2159" s="21">
        <v>80002022</v>
      </c>
      <c r="H2159" s="19">
        <v>0</v>
      </c>
      <c r="I2159" s="19">
        <v>0</v>
      </c>
      <c r="J2159" s="32">
        <v>1</v>
      </c>
      <c r="K2159" s="32">
        <v>0</v>
      </c>
      <c r="L2159" s="19">
        <v>0</v>
      </c>
      <c r="M2159" s="19">
        <v>0</v>
      </c>
      <c r="N2159" s="19">
        <v>0</v>
      </c>
      <c r="O2159" s="19">
        <v>2</v>
      </c>
      <c r="P2159" s="19">
        <v>1</v>
      </c>
      <c r="Q2159" s="19">
        <v>0.2</v>
      </c>
      <c r="R2159" s="19">
        <v>0</v>
      </c>
      <c r="S2159" s="19">
        <v>0</v>
      </c>
      <c r="T2159" s="19">
        <v>0</v>
      </c>
      <c r="U2159" s="21">
        <v>1</v>
      </c>
      <c r="V2159" s="19">
        <v>2</v>
      </c>
      <c r="W2159" s="19">
        <v>0</v>
      </c>
      <c r="X2159" s="19">
        <v>0</v>
      </c>
      <c r="Y2159" s="19">
        <v>0</v>
      </c>
      <c r="Z2159" s="19">
        <v>0</v>
      </c>
      <c r="AA2159" s="19">
        <v>0</v>
      </c>
      <c r="AB2159" s="19">
        <v>0</v>
      </c>
      <c r="AC2159" s="19">
        <v>0</v>
      </c>
      <c r="AD2159" s="32">
        <v>0</v>
      </c>
      <c r="AE2159" s="19">
        <v>0</v>
      </c>
      <c r="AF2159" s="19">
        <v>10</v>
      </c>
      <c r="AG2159" s="19">
        <v>0</v>
      </c>
      <c r="AH2159" s="19">
        <v>0</v>
      </c>
      <c r="AI2159" s="19">
        <v>7</v>
      </c>
      <c r="AJ2159" s="19">
        <v>0</v>
      </c>
      <c r="AK2159" s="19">
        <v>0</v>
      </c>
      <c r="AL2159" s="19">
        <v>6</v>
      </c>
      <c r="AM2159" s="19">
        <v>0</v>
      </c>
      <c r="AN2159" s="19">
        <v>0</v>
      </c>
      <c r="AO2159" s="19">
        <v>0</v>
      </c>
      <c r="AP2159" s="19">
        <v>0</v>
      </c>
      <c r="AQ2159" s="19">
        <v>1000</v>
      </c>
      <c r="AR2159" s="19">
        <v>0</v>
      </c>
      <c r="AS2159" s="19">
        <v>0</v>
      </c>
      <c r="AT2159" s="19">
        <v>0</v>
      </c>
      <c r="AU2159" s="329" t="s">
        <v>2251</v>
      </c>
      <c r="AV2159" s="19"/>
      <c r="AW2159" s="30" t="s">
        <v>205</v>
      </c>
      <c r="AX2159" s="19" t="s">
        <v>1802</v>
      </c>
      <c r="AY2159" s="19" t="s">
        <v>204</v>
      </c>
      <c r="AZ2159" s="19">
        <v>0</v>
      </c>
      <c r="BA2159" s="20" t="s">
        <v>206</v>
      </c>
      <c r="BB2159" s="19">
        <v>0</v>
      </c>
      <c r="BC2159" s="31">
        <v>0</v>
      </c>
      <c r="BD2159" s="31">
        <v>0</v>
      </c>
      <c r="BE2159" s="33" t="s">
        <v>2252</v>
      </c>
      <c r="BF2159" s="33" t="s">
        <v>2253</v>
      </c>
      <c r="BG2159" s="19">
        <v>0</v>
      </c>
      <c r="BH2159" s="21">
        <v>0</v>
      </c>
      <c r="BI2159" s="21"/>
      <c r="BJ2159" s="21"/>
      <c r="BK2159" s="21"/>
      <c r="BL2159" s="32"/>
      <c r="BM2159" s="25">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80002023</v>
      </c>
      <c r="D2160" s="30" t="s">
        <v>4860</v>
      </c>
      <c r="E2160" s="279" t="s">
        <v>4861</v>
      </c>
      <c r="F2160" s="21">
        <v>1</v>
      </c>
      <c r="G2160" s="21">
        <v>80002023</v>
      </c>
      <c r="H2160" s="32">
        <v>0</v>
      </c>
      <c r="I2160" s="31">
        <v>0</v>
      </c>
      <c r="J2160" s="32">
        <v>1</v>
      </c>
      <c r="K2160" s="32">
        <v>0</v>
      </c>
      <c r="L2160" s="32">
        <v>0</v>
      </c>
      <c r="M2160" s="21">
        <v>0</v>
      </c>
      <c r="N2160" s="21">
        <v>0</v>
      </c>
      <c r="O2160" s="21">
        <v>2</v>
      </c>
      <c r="P2160" s="21">
        <v>9</v>
      </c>
      <c r="Q2160" s="21">
        <v>0.3</v>
      </c>
      <c r="R2160" s="21">
        <v>0</v>
      </c>
      <c r="S2160" s="19">
        <v>0</v>
      </c>
      <c r="T2160" s="21">
        <v>0</v>
      </c>
      <c r="U2160" s="21">
        <v>1</v>
      </c>
      <c r="V2160" s="21">
        <v>2</v>
      </c>
      <c r="W2160" s="21">
        <v>0</v>
      </c>
      <c r="X2160" s="21">
        <v>0</v>
      </c>
      <c r="Y2160" s="19">
        <v>0</v>
      </c>
      <c r="Z2160" s="21">
        <v>0</v>
      </c>
      <c r="AA2160" s="21">
        <v>0</v>
      </c>
      <c r="AB2160" s="21">
        <v>0</v>
      </c>
      <c r="AC2160" s="21">
        <v>0</v>
      </c>
      <c r="AD2160" s="21">
        <v>0</v>
      </c>
      <c r="AE2160" s="21">
        <v>0</v>
      </c>
      <c r="AF2160" s="21">
        <v>10</v>
      </c>
      <c r="AG2160" s="21">
        <v>0</v>
      </c>
      <c r="AH2160" s="21">
        <v>3</v>
      </c>
      <c r="AI2160" s="19">
        <v>7</v>
      </c>
      <c r="AJ2160" s="19">
        <v>0</v>
      </c>
      <c r="AK2160" s="19">
        <v>0</v>
      </c>
      <c r="AL2160" s="19">
        <v>10</v>
      </c>
      <c r="AM2160" s="21">
        <v>0</v>
      </c>
      <c r="AN2160" s="21">
        <v>0</v>
      </c>
      <c r="AO2160" s="21">
        <v>0</v>
      </c>
      <c r="AP2160" s="21">
        <v>0</v>
      </c>
      <c r="AQ2160" s="21">
        <v>3000</v>
      </c>
      <c r="AR2160" s="21">
        <v>0.5</v>
      </c>
      <c r="AS2160" s="21">
        <v>0</v>
      </c>
      <c r="AT2160" s="19">
        <v>0</v>
      </c>
      <c r="AU2160" s="21">
        <v>80002003</v>
      </c>
      <c r="AV2160" s="21"/>
      <c r="AW2160" s="30" t="s">
        <v>205</v>
      </c>
      <c r="AX2160" s="21">
        <v>0</v>
      </c>
      <c r="AY2160" s="32">
        <v>0</v>
      </c>
      <c r="AZ2160" s="32">
        <v>0</v>
      </c>
      <c r="BA2160" s="30" t="s">
        <v>206</v>
      </c>
      <c r="BB2160" s="21">
        <v>0</v>
      </c>
      <c r="BC2160" s="31">
        <v>0</v>
      </c>
      <c r="BD2160" s="31">
        <v>0</v>
      </c>
      <c r="BE2160" s="33" t="s">
        <v>2023</v>
      </c>
      <c r="BF2160" s="33" t="s">
        <v>2024</v>
      </c>
      <c r="BG2160" s="21"/>
      <c r="BH2160" s="21">
        <v>0</v>
      </c>
      <c r="BI2160" s="21"/>
      <c r="BJ2160" s="21"/>
      <c r="BK2160" s="21"/>
      <c r="BL2160" s="32"/>
      <c r="BM2160" s="21">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80002024</v>
      </c>
      <c r="D2161" s="30" t="s">
        <v>4862</v>
      </c>
      <c r="E2161" s="279" t="s">
        <v>4863</v>
      </c>
      <c r="F2161" s="21">
        <v>1</v>
      </c>
      <c r="G2161" s="21">
        <v>80002024</v>
      </c>
      <c r="H2161" s="32">
        <v>0</v>
      </c>
      <c r="I2161" s="31">
        <v>0</v>
      </c>
      <c r="J2161" s="32">
        <v>1</v>
      </c>
      <c r="K2161" s="32">
        <v>0</v>
      </c>
      <c r="L2161" s="32">
        <v>0</v>
      </c>
      <c r="M2161" s="21">
        <v>0</v>
      </c>
      <c r="N2161" s="21">
        <v>0</v>
      </c>
      <c r="O2161" s="21">
        <v>5</v>
      </c>
      <c r="P2161" s="21">
        <v>0</v>
      </c>
      <c r="Q2161" s="21">
        <v>0</v>
      </c>
      <c r="R2161" s="21">
        <v>0</v>
      </c>
      <c r="S2161" s="19">
        <v>0</v>
      </c>
      <c r="T2161" s="21">
        <v>0</v>
      </c>
      <c r="U2161" s="21">
        <v>1</v>
      </c>
      <c r="V2161" s="21">
        <v>2</v>
      </c>
      <c r="W2161" s="21">
        <v>0</v>
      </c>
      <c r="X2161" s="21">
        <v>0</v>
      </c>
      <c r="Y2161" s="19">
        <v>0</v>
      </c>
      <c r="Z2161" s="21">
        <v>0</v>
      </c>
      <c r="AA2161" s="21">
        <v>0</v>
      </c>
      <c r="AB2161" s="21">
        <v>0</v>
      </c>
      <c r="AC2161" s="21">
        <v>0</v>
      </c>
      <c r="AD2161" s="21">
        <v>0</v>
      </c>
      <c r="AE2161" s="21">
        <v>0</v>
      </c>
      <c r="AF2161" s="21">
        <v>10</v>
      </c>
      <c r="AG2161" s="21">
        <v>2</v>
      </c>
      <c r="AH2161" s="21" t="s">
        <v>219</v>
      </c>
      <c r="AI2161" s="19">
        <v>2</v>
      </c>
      <c r="AJ2161" s="19">
        <v>2</v>
      </c>
      <c r="AK2161" s="19">
        <v>0</v>
      </c>
      <c r="AL2161" s="19">
        <v>1.5</v>
      </c>
      <c r="AM2161" s="21">
        <v>0</v>
      </c>
      <c r="AN2161" s="21">
        <v>0</v>
      </c>
      <c r="AO2161" s="21">
        <v>0</v>
      </c>
      <c r="AP2161" s="21">
        <v>0</v>
      </c>
      <c r="AQ2161" s="21">
        <v>3000</v>
      </c>
      <c r="AR2161" s="21">
        <v>0.5</v>
      </c>
      <c r="AS2161" s="21">
        <v>0</v>
      </c>
      <c r="AT2161" s="19">
        <v>0</v>
      </c>
      <c r="AU2161" s="21" t="s">
        <v>204</v>
      </c>
      <c r="AV2161" s="21"/>
      <c r="AW2161" s="30" t="s">
        <v>205</v>
      </c>
      <c r="AX2161" s="21">
        <v>0</v>
      </c>
      <c r="AY2161" s="32">
        <v>0</v>
      </c>
      <c r="AZ2161" s="32">
        <v>0</v>
      </c>
      <c r="BA2161" s="30" t="s">
        <v>206</v>
      </c>
      <c r="BB2161" s="21" t="s">
        <v>4747</v>
      </c>
      <c r="BC2161" s="31">
        <v>0</v>
      </c>
      <c r="BD2161" s="31">
        <v>0</v>
      </c>
      <c r="BE2161" s="33" t="s">
        <v>4864</v>
      </c>
      <c r="BF2161" s="33" t="s">
        <v>4865</v>
      </c>
      <c r="BG2161" s="21"/>
      <c r="BH2161" s="21">
        <v>0</v>
      </c>
      <c r="BI2161" s="21"/>
      <c r="BJ2161" s="21"/>
      <c r="BK2161" s="21"/>
      <c r="BL2161" s="32"/>
      <c r="BM2161" s="21">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80002025</v>
      </c>
      <c r="D2162" s="30" t="s">
        <v>4866</v>
      </c>
      <c r="E2162" s="279" t="s">
        <v>4867</v>
      </c>
      <c r="F2162" s="32">
        <v>1</v>
      </c>
      <c r="G2162" s="21">
        <v>80002025</v>
      </c>
      <c r="H2162" s="19">
        <v>0</v>
      </c>
      <c r="I2162" s="19">
        <v>0</v>
      </c>
      <c r="J2162" s="32">
        <v>1</v>
      </c>
      <c r="K2162" s="32">
        <v>0</v>
      </c>
      <c r="L2162" s="19">
        <v>0</v>
      </c>
      <c r="M2162" s="19">
        <v>0</v>
      </c>
      <c r="N2162" s="19">
        <v>0</v>
      </c>
      <c r="O2162" s="19">
        <v>2</v>
      </c>
      <c r="P2162" s="19">
        <v>10</v>
      </c>
      <c r="Q2162" s="19">
        <v>0.1</v>
      </c>
      <c r="R2162" s="19">
        <v>0</v>
      </c>
      <c r="S2162" s="19">
        <v>0</v>
      </c>
      <c r="T2162" s="19">
        <v>0</v>
      </c>
      <c r="U2162" s="21">
        <v>1</v>
      </c>
      <c r="V2162" s="19">
        <v>2</v>
      </c>
      <c r="W2162" s="19">
        <v>0</v>
      </c>
      <c r="X2162" s="19">
        <v>2.5</v>
      </c>
      <c r="Y2162" s="19">
        <v>0</v>
      </c>
      <c r="Z2162" s="19">
        <v>0</v>
      </c>
      <c r="AA2162" s="19">
        <v>0</v>
      </c>
      <c r="AB2162" s="19">
        <v>0</v>
      </c>
      <c r="AC2162" s="19">
        <v>0</v>
      </c>
      <c r="AD2162" s="32">
        <v>0</v>
      </c>
      <c r="AE2162" s="19">
        <v>0</v>
      </c>
      <c r="AF2162" s="19">
        <v>10</v>
      </c>
      <c r="AG2162" s="19">
        <v>0</v>
      </c>
      <c r="AH2162" s="19">
        <v>0</v>
      </c>
      <c r="AI2162" s="19">
        <v>7</v>
      </c>
      <c r="AJ2162" s="19">
        <v>0</v>
      </c>
      <c r="AK2162" s="19">
        <v>0</v>
      </c>
      <c r="AL2162" s="19">
        <v>6</v>
      </c>
      <c r="AM2162" s="19">
        <v>0</v>
      </c>
      <c r="AN2162" s="19">
        <v>0</v>
      </c>
      <c r="AO2162" s="19">
        <v>0</v>
      </c>
      <c r="AP2162" s="19">
        <v>0</v>
      </c>
      <c r="AQ2162" s="19">
        <v>1000</v>
      </c>
      <c r="AR2162" s="19">
        <v>0</v>
      </c>
      <c r="AS2162" s="19">
        <v>0</v>
      </c>
      <c r="AT2162" s="19">
        <v>0</v>
      </c>
      <c r="AU2162" s="19" t="s">
        <v>204</v>
      </c>
      <c r="AV2162" s="19"/>
      <c r="AW2162" s="30" t="s">
        <v>205</v>
      </c>
      <c r="AX2162" s="19" t="s">
        <v>1802</v>
      </c>
      <c r="AY2162" s="19" t="s">
        <v>204</v>
      </c>
      <c r="AZ2162" s="19" t="s">
        <v>2030</v>
      </c>
      <c r="BA2162" s="20" t="s">
        <v>206</v>
      </c>
      <c r="BB2162" s="19">
        <v>0</v>
      </c>
      <c r="BC2162" s="31">
        <v>0</v>
      </c>
      <c r="BD2162" s="31">
        <v>0</v>
      </c>
      <c r="BE2162" s="22" t="s">
        <v>4868</v>
      </c>
      <c r="BF2162" s="22" t="s">
        <v>4869</v>
      </c>
      <c r="BG2162" s="19">
        <v>0</v>
      </c>
      <c r="BH2162" s="21">
        <v>0</v>
      </c>
      <c r="BI2162" s="21"/>
      <c r="BJ2162" s="21"/>
      <c r="BK2162" s="21"/>
      <c r="BL2162" s="32"/>
      <c r="BM2162" s="25">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80002026</v>
      </c>
      <c r="D2163" s="30" t="s">
        <v>4870</v>
      </c>
      <c r="E2163" s="279" t="s">
        <v>4871</v>
      </c>
      <c r="F2163" s="32">
        <v>1</v>
      </c>
      <c r="G2163" s="21">
        <v>80002026</v>
      </c>
      <c r="H2163" s="19">
        <v>0</v>
      </c>
      <c r="I2163" s="19">
        <v>0</v>
      </c>
      <c r="J2163" s="32">
        <v>1</v>
      </c>
      <c r="K2163" s="32">
        <v>0</v>
      </c>
      <c r="L2163" s="19">
        <v>0</v>
      </c>
      <c r="M2163" s="19">
        <v>0</v>
      </c>
      <c r="N2163" s="19">
        <v>0</v>
      </c>
      <c r="O2163" s="19">
        <v>2</v>
      </c>
      <c r="P2163" s="19">
        <v>1</v>
      </c>
      <c r="Q2163" s="19">
        <v>0.2</v>
      </c>
      <c r="R2163" s="19">
        <v>0</v>
      </c>
      <c r="S2163" s="19">
        <v>0</v>
      </c>
      <c r="T2163" s="19">
        <v>0</v>
      </c>
      <c r="U2163" s="21">
        <v>1</v>
      </c>
      <c r="V2163" s="19">
        <v>2</v>
      </c>
      <c r="W2163" s="19">
        <v>0</v>
      </c>
      <c r="X2163" s="19">
        <v>0</v>
      </c>
      <c r="Y2163" s="19">
        <v>0</v>
      </c>
      <c r="Z2163" s="19">
        <v>0</v>
      </c>
      <c r="AA2163" s="19">
        <v>0</v>
      </c>
      <c r="AB2163" s="19">
        <v>0</v>
      </c>
      <c r="AC2163" s="19">
        <v>0</v>
      </c>
      <c r="AD2163" s="32">
        <v>0</v>
      </c>
      <c r="AE2163" s="19">
        <v>0</v>
      </c>
      <c r="AF2163" s="19">
        <v>10</v>
      </c>
      <c r="AG2163" s="19">
        <v>0</v>
      </c>
      <c r="AH2163" s="19">
        <v>0</v>
      </c>
      <c r="AI2163" s="19">
        <v>7</v>
      </c>
      <c r="AJ2163" s="19">
        <v>0</v>
      </c>
      <c r="AK2163" s="19">
        <v>0</v>
      </c>
      <c r="AL2163" s="19">
        <v>6</v>
      </c>
      <c r="AM2163" s="19">
        <v>0</v>
      </c>
      <c r="AN2163" s="19">
        <v>0</v>
      </c>
      <c r="AO2163" s="19">
        <v>0</v>
      </c>
      <c r="AP2163" s="19">
        <v>0</v>
      </c>
      <c r="AQ2163" s="19">
        <v>1000</v>
      </c>
      <c r="AR2163" s="19">
        <v>0</v>
      </c>
      <c r="AS2163" s="19">
        <v>0</v>
      </c>
      <c r="AT2163" s="19">
        <v>0</v>
      </c>
      <c r="AU2163" s="19">
        <v>80002004</v>
      </c>
      <c r="AV2163" s="19"/>
      <c r="AW2163" s="30" t="s">
        <v>205</v>
      </c>
      <c r="AX2163" s="19">
        <v>0</v>
      </c>
      <c r="AY2163" s="19" t="s">
        <v>204</v>
      </c>
      <c r="AZ2163" s="19">
        <v>0</v>
      </c>
      <c r="BA2163" s="20" t="s">
        <v>206</v>
      </c>
      <c r="BB2163" s="19">
        <v>0</v>
      </c>
      <c r="BC2163" s="31">
        <v>0</v>
      </c>
      <c r="BD2163" s="31">
        <v>0</v>
      </c>
      <c r="BE2163" s="22" t="s">
        <v>4872</v>
      </c>
      <c r="BF2163" s="22" t="s">
        <v>4873</v>
      </c>
      <c r="BG2163" s="19">
        <v>0</v>
      </c>
      <c r="BH2163" s="21">
        <v>0</v>
      </c>
      <c r="BI2163" s="21"/>
      <c r="BJ2163" s="21"/>
      <c r="BK2163" s="21"/>
      <c r="BL2163" s="32"/>
      <c r="BM2163" s="25">
        <v>0</v>
      </c>
      <c r="BN2163" s="19">
        <v>0</v>
      </c>
      <c r="BO2163" s="19">
        <v>0</v>
      </c>
      <c r="BP2163" s="19">
        <v>0</v>
      </c>
      <c r="BQ2163" s="19">
        <v>0</v>
      </c>
      <c r="BR2163" s="19">
        <v>0</v>
      </c>
      <c r="BS2163" s="19">
        <v>0</v>
      </c>
      <c r="BT2163" s="19">
        <v>0</v>
      </c>
      <c r="BU2163" s="23">
        <v>0</v>
      </c>
      <c r="BV2163" s="23"/>
      <c r="BW2163" s="23"/>
      <c r="BX2163" s="23"/>
      <c r="BY2163" s="23"/>
      <c r="BZ2163" s="23"/>
    </row>
    <row r="2164" spans="3:78" ht="20.100000000000001" customHeight="1">
      <c r="C2164" s="32">
        <v>80002027</v>
      </c>
      <c r="D2164" s="30" t="s">
        <v>4874</v>
      </c>
      <c r="E2164" s="279" t="s">
        <v>4875</v>
      </c>
      <c r="F2164" s="21">
        <v>1</v>
      </c>
      <c r="G2164" s="21">
        <v>80002027</v>
      </c>
      <c r="H2164" s="32">
        <v>0</v>
      </c>
      <c r="I2164" s="31">
        <v>0</v>
      </c>
      <c r="J2164" s="32">
        <v>1</v>
      </c>
      <c r="K2164" s="32">
        <v>0</v>
      </c>
      <c r="L2164" s="32">
        <v>0</v>
      </c>
      <c r="M2164" s="21">
        <v>0</v>
      </c>
      <c r="N2164" s="21">
        <v>0</v>
      </c>
      <c r="O2164" s="21">
        <v>5</v>
      </c>
      <c r="P2164" s="21">
        <v>0</v>
      </c>
      <c r="Q2164" s="21">
        <v>0</v>
      </c>
      <c r="R2164" s="21">
        <v>0</v>
      </c>
      <c r="S2164" s="19">
        <v>0</v>
      </c>
      <c r="T2164" s="21">
        <v>0</v>
      </c>
      <c r="U2164" s="21">
        <v>1</v>
      </c>
      <c r="V2164" s="21">
        <v>2</v>
      </c>
      <c r="W2164" s="21">
        <v>0</v>
      </c>
      <c r="X2164" s="21">
        <v>0</v>
      </c>
      <c r="Y2164" s="19">
        <v>0</v>
      </c>
      <c r="Z2164" s="21">
        <v>0</v>
      </c>
      <c r="AA2164" s="21">
        <v>0</v>
      </c>
      <c r="AB2164" s="21">
        <v>0</v>
      </c>
      <c r="AC2164" s="21">
        <v>0</v>
      </c>
      <c r="AD2164" s="21">
        <v>0</v>
      </c>
      <c r="AE2164" s="21">
        <v>0</v>
      </c>
      <c r="AF2164" s="21">
        <v>9</v>
      </c>
      <c r="AG2164" s="21">
        <v>2</v>
      </c>
      <c r="AH2164" s="21" t="s">
        <v>219</v>
      </c>
      <c r="AI2164" s="19">
        <v>2</v>
      </c>
      <c r="AJ2164" s="19">
        <v>2</v>
      </c>
      <c r="AK2164" s="19">
        <v>0</v>
      </c>
      <c r="AL2164" s="19">
        <v>1.5</v>
      </c>
      <c r="AM2164" s="21">
        <v>0</v>
      </c>
      <c r="AN2164" s="21">
        <v>0</v>
      </c>
      <c r="AO2164" s="21">
        <v>0</v>
      </c>
      <c r="AP2164" s="21">
        <v>0</v>
      </c>
      <c r="AQ2164" s="21">
        <v>3000</v>
      </c>
      <c r="AR2164" s="21">
        <v>0.5</v>
      </c>
      <c r="AS2164" s="21">
        <v>0</v>
      </c>
      <c r="AT2164" s="19">
        <v>0</v>
      </c>
      <c r="AU2164" s="21" t="s">
        <v>204</v>
      </c>
      <c r="AV2164" s="21"/>
      <c r="AW2164" s="30" t="s">
        <v>205</v>
      </c>
      <c r="AX2164" s="21">
        <v>0</v>
      </c>
      <c r="AY2164" s="32">
        <v>0</v>
      </c>
      <c r="AZ2164" s="32">
        <v>0</v>
      </c>
      <c r="BA2164" s="30" t="s">
        <v>206</v>
      </c>
      <c r="BB2164" s="21" t="s">
        <v>4758</v>
      </c>
      <c r="BC2164" s="31">
        <v>0</v>
      </c>
      <c r="BD2164" s="31">
        <v>0</v>
      </c>
      <c r="BE2164" s="33" t="s">
        <v>4876</v>
      </c>
      <c r="BF2164" s="33" t="s">
        <v>4877</v>
      </c>
      <c r="BG2164" s="21"/>
      <c r="BH2164" s="21">
        <v>0</v>
      </c>
      <c r="BI2164" s="21"/>
      <c r="BJ2164" s="21"/>
      <c r="BK2164" s="21"/>
      <c r="BL2164" s="32"/>
      <c r="BM2164" s="21">
        <v>0</v>
      </c>
      <c r="BN2164" s="19">
        <v>0</v>
      </c>
      <c r="BO2164" s="19">
        <v>0</v>
      </c>
      <c r="BP2164" s="19">
        <v>0</v>
      </c>
      <c r="BQ2164" s="19">
        <v>0</v>
      </c>
      <c r="BR2164" s="19">
        <v>0</v>
      </c>
      <c r="BS2164" s="19">
        <v>0</v>
      </c>
      <c r="BT2164" s="19">
        <v>0</v>
      </c>
      <c r="BU2164" s="23">
        <v>0</v>
      </c>
      <c r="BV2164" s="23"/>
      <c r="BW2164" s="23"/>
      <c r="BX2164" s="23"/>
      <c r="BY2164" s="23"/>
      <c r="BZ2164" s="23"/>
    </row>
    <row r="2165" spans="3:78" ht="20.100000000000001" customHeight="1">
      <c r="C2165" s="32">
        <v>80002028</v>
      </c>
      <c r="D2165" s="30" t="s">
        <v>4878</v>
      </c>
      <c r="E2165" s="279" t="s">
        <v>4879</v>
      </c>
      <c r="F2165" s="21">
        <v>1</v>
      </c>
      <c r="G2165" s="21">
        <v>80002028</v>
      </c>
      <c r="H2165" s="32">
        <v>0</v>
      </c>
      <c r="I2165" s="31">
        <v>0</v>
      </c>
      <c r="J2165" s="32">
        <v>1</v>
      </c>
      <c r="K2165" s="32">
        <v>0</v>
      </c>
      <c r="L2165" s="32">
        <v>0</v>
      </c>
      <c r="M2165" s="21">
        <v>0</v>
      </c>
      <c r="N2165" s="21">
        <v>0</v>
      </c>
      <c r="O2165" s="21">
        <v>2</v>
      </c>
      <c r="P2165" s="21">
        <v>9</v>
      </c>
      <c r="Q2165" s="21">
        <v>0.1</v>
      </c>
      <c r="R2165" s="21">
        <v>0</v>
      </c>
      <c r="S2165" s="19">
        <v>0</v>
      </c>
      <c r="T2165" s="21">
        <v>0</v>
      </c>
      <c r="U2165" s="21">
        <v>1</v>
      </c>
      <c r="V2165" s="21">
        <v>1</v>
      </c>
      <c r="W2165" s="21">
        <v>0</v>
      </c>
      <c r="X2165" s="21">
        <v>2</v>
      </c>
      <c r="Y2165" s="19">
        <v>0</v>
      </c>
      <c r="Z2165" s="21">
        <v>0</v>
      </c>
      <c r="AA2165" s="21">
        <v>0</v>
      </c>
      <c r="AB2165" s="21">
        <v>0</v>
      </c>
      <c r="AC2165" s="21">
        <v>0</v>
      </c>
      <c r="AD2165" s="21">
        <v>0</v>
      </c>
      <c r="AE2165" s="21">
        <v>0</v>
      </c>
      <c r="AF2165" s="21">
        <v>3</v>
      </c>
      <c r="AG2165" s="21">
        <v>2</v>
      </c>
      <c r="AH2165" s="21" t="s">
        <v>219</v>
      </c>
      <c r="AI2165" s="19">
        <v>0</v>
      </c>
      <c r="AJ2165" s="19">
        <v>0</v>
      </c>
      <c r="AK2165" s="19">
        <v>0</v>
      </c>
      <c r="AL2165" s="19">
        <v>1.5</v>
      </c>
      <c r="AM2165" s="21">
        <v>0</v>
      </c>
      <c r="AN2165" s="21">
        <v>0</v>
      </c>
      <c r="AO2165" s="21">
        <v>0</v>
      </c>
      <c r="AP2165" s="21">
        <v>0</v>
      </c>
      <c r="AQ2165" s="21">
        <v>3000</v>
      </c>
      <c r="AR2165" s="21">
        <v>0.5</v>
      </c>
      <c r="AS2165" s="21">
        <v>0</v>
      </c>
      <c r="AT2165" s="19">
        <v>0</v>
      </c>
      <c r="AU2165" s="21">
        <v>0</v>
      </c>
      <c r="AV2165" s="21"/>
      <c r="AW2165" s="30" t="s">
        <v>205</v>
      </c>
      <c r="AX2165" s="21">
        <v>0</v>
      </c>
      <c r="AY2165" s="32">
        <v>10000007</v>
      </c>
      <c r="AZ2165" s="32">
        <v>23000040</v>
      </c>
      <c r="BA2165" s="30" t="s">
        <v>206</v>
      </c>
      <c r="BB2165" s="21">
        <v>0</v>
      </c>
      <c r="BC2165" s="31">
        <v>0</v>
      </c>
      <c r="BD2165" s="31">
        <v>1</v>
      </c>
      <c r="BE2165" s="33" t="s">
        <v>2027</v>
      </c>
      <c r="BF2165" s="33" t="s">
        <v>2028</v>
      </c>
      <c r="BG2165" s="21">
        <v>0</v>
      </c>
      <c r="BH2165" s="21">
        <v>0</v>
      </c>
      <c r="BI2165" s="21"/>
      <c r="BJ2165" s="21"/>
      <c r="BK2165" s="21"/>
      <c r="BL2165" s="32"/>
      <c r="BM2165" s="21">
        <v>0</v>
      </c>
      <c r="BN2165" s="19">
        <v>0</v>
      </c>
      <c r="BO2165" s="19">
        <v>0</v>
      </c>
      <c r="BP2165" s="19">
        <v>0</v>
      </c>
      <c r="BQ2165" s="19">
        <v>0</v>
      </c>
      <c r="BR2165" s="19">
        <v>0</v>
      </c>
      <c r="BS2165" s="19">
        <v>0</v>
      </c>
      <c r="BT2165" s="19">
        <v>0</v>
      </c>
      <c r="BU2165" s="23">
        <v>0</v>
      </c>
      <c r="BV2165" s="23"/>
      <c r="BW2165" s="23"/>
      <c r="BX2165" s="23"/>
      <c r="BY2165" s="23"/>
      <c r="BZ2165" s="23"/>
    </row>
    <row r="2166" spans="3:78" ht="20.100000000000001" customHeight="1">
      <c r="C2166" s="32">
        <v>80003001</v>
      </c>
      <c r="D2166" s="71" t="s">
        <v>4880</v>
      </c>
      <c r="E2166" s="71" t="s">
        <v>4881</v>
      </c>
      <c r="F2166" s="72">
        <v>1</v>
      </c>
      <c r="G2166" s="32">
        <v>80003001</v>
      </c>
      <c r="H2166" s="72">
        <v>0</v>
      </c>
      <c r="I2166" s="75">
        <v>0</v>
      </c>
      <c r="J2166" s="74">
        <v>1</v>
      </c>
      <c r="K2166" s="74">
        <v>0</v>
      </c>
      <c r="L2166" s="74">
        <v>0</v>
      </c>
      <c r="M2166" s="72">
        <v>0</v>
      </c>
      <c r="N2166" s="72">
        <v>0</v>
      </c>
      <c r="O2166" s="72">
        <v>2</v>
      </c>
      <c r="P2166" s="72">
        <v>3</v>
      </c>
      <c r="Q2166" s="72">
        <v>0.2</v>
      </c>
      <c r="R2166" s="72">
        <v>0</v>
      </c>
      <c r="S2166" s="73">
        <v>0</v>
      </c>
      <c r="T2166" s="72">
        <v>0</v>
      </c>
      <c r="U2166" s="72">
        <v>1</v>
      </c>
      <c r="V2166" s="72">
        <v>1</v>
      </c>
      <c r="W2166" s="72">
        <v>0</v>
      </c>
      <c r="X2166" s="72">
        <v>0.3</v>
      </c>
      <c r="Y2166" s="19">
        <v>0</v>
      </c>
      <c r="Z2166" s="72">
        <v>0</v>
      </c>
      <c r="AA2166" s="72">
        <v>0</v>
      </c>
      <c r="AB2166" s="72">
        <v>0</v>
      </c>
      <c r="AC2166" s="72">
        <v>0</v>
      </c>
      <c r="AD2166" s="72">
        <v>0</v>
      </c>
      <c r="AE2166" s="72">
        <v>1</v>
      </c>
      <c r="AF2166" s="72">
        <v>3</v>
      </c>
      <c r="AG2166" s="72">
        <v>1</v>
      </c>
      <c r="AH2166" s="72">
        <v>2</v>
      </c>
      <c r="AI2166" s="73">
        <v>0</v>
      </c>
      <c r="AJ2166" s="73">
        <v>2</v>
      </c>
      <c r="AK2166" s="73">
        <v>0</v>
      </c>
      <c r="AL2166" s="73">
        <v>1.5</v>
      </c>
      <c r="AM2166" s="72">
        <v>0</v>
      </c>
      <c r="AN2166" s="72">
        <v>0</v>
      </c>
      <c r="AO2166" s="72">
        <v>0</v>
      </c>
      <c r="AP2166" s="72">
        <v>0.5</v>
      </c>
      <c r="AQ2166" s="72">
        <v>2000</v>
      </c>
      <c r="AR2166" s="72">
        <v>0.1</v>
      </c>
      <c r="AS2166" s="72">
        <v>8</v>
      </c>
      <c r="AT2166" s="73">
        <v>0</v>
      </c>
      <c r="AU2166" s="72">
        <v>0</v>
      </c>
      <c r="AV2166" s="72"/>
      <c r="AW2166" s="71" t="s">
        <v>204</v>
      </c>
      <c r="AX2166" s="72">
        <v>0</v>
      </c>
      <c r="AY2166" s="74">
        <v>0</v>
      </c>
      <c r="AZ2166" s="74">
        <v>23000101</v>
      </c>
      <c r="BA2166" s="71" t="s">
        <v>592</v>
      </c>
      <c r="BB2166" s="72">
        <v>0</v>
      </c>
      <c r="BC2166" s="75">
        <v>0</v>
      </c>
      <c r="BD2166" s="75">
        <v>1</v>
      </c>
      <c r="BE2166" s="76" t="s">
        <v>4882</v>
      </c>
      <c r="BF2166" s="76" t="s">
        <v>4883</v>
      </c>
      <c r="BG2166" s="72">
        <v>0</v>
      </c>
      <c r="BH2166" s="72">
        <v>0</v>
      </c>
      <c r="BI2166" s="72">
        <v>0</v>
      </c>
      <c r="BJ2166" s="72">
        <v>0</v>
      </c>
      <c r="BK2166" s="72">
        <v>0</v>
      </c>
      <c r="BL2166" s="72">
        <v>0</v>
      </c>
      <c r="BM2166" s="72">
        <v>0</v>
      </c>
      <c r="BN2166" s="73">
        <v>0</v>
      </c>
      <c r="BO2166" s="73">
        <v>0</v>
      </c>
      <c r="BP2166" s="73">
        <v>0</v>
      </c>
      <c r="BQ2166" s="73">
        <v>0</v>
      </c>
      <c r="BR2166" s="73">
        <v>0</v>
      </c>
      <c r="BS2166" s="73">
        <v>1</v>
      </c>
      <c r="BT2166" s="19">
        <v>0</v>
      </c>
      <c r="BU2166" s="23">
        <v>0</v>
      </c>
      <c r="BV2166" s="23"/>
      <c r="BW2166" s="23"/>
      <c r="BX2166" s="23"/>
      <c r="BY2166" s="23"/>
      <c r="BZ2166" s="23"/>
    </row>
    <row r="2167" spans="3:78" ht="20.100000000000001" customHeight="1">
      <c r="C2167" s="32">
        <v>80003002</v>
      </c>
      <c r="D2167" s="71" t="s">
        <v>4884</v>
      </c>
      <c r="E2167" s="71" t="s">
        <v>4885</v>
      </c>
      <c r="F2167" s="72">
        <v>1</v>
      </c>
      <c r="G2167" s="32">
        <v>80003002</v>
      </c>
      <c r="H2167" s="72">
        <v>0</v>
      </c>
      <c r="I2167" s="75">
        <v>0</v>
      </c>
      <c r="J2167" s="74">
        <v>1</v>
      </c>
      <c r="K2167" s="74">
        <v>0</v>
      </c>
      <c r="L2167" s="74">
        <v>0</v>
      </c>
      <c r="M2167" s="72">
        <v>0</v>
      </c>
      <c r="N2167" s="72">
        <v>0</v>
      </c>
      <c r="O2167" s="72">
        <v>2</v>
      </c>
      <c r="P2167" s="72">
        <v>1</v>
      </c>
      <c r="Q2167" s="72">
        <v>0.1</v>
      </c>
      <c r="R2167" s="72">
        <v>0</v>
      </c>
      <c r="S2167" s="73">
        <v>2</v>
      </c>
      <c r="T2167" s="72">
        <v>0</v>
      </c>
      <c r="U2167" s="72">
        <v>1</v>
      </c>
      <c r="V2167" s="72">
        <v>1</v>
      </c>
      <c r="W2167" s="72">
        <v>0</v>
      </c>
      <c r="X2167" s="72">
        <v>2</v>
      </c>
      <c r="Y2167" s="19">
        <v>0</v>
      </c>
      <c r="Z2167" s="72">
        <v>0</v>
      </c>
      <c r="AA2167" s="72">
        <v>0</v>
      </c>
      <c r="AB2167" s="72">
        <v>0</v>
      </c>
      <c r="AC2167" s="72">
        <v>0</v>
      </c>
      <c r="AD2167" s="72">
        <v>0</v>
      </c>
      <c r="AE2167" s="72">
        <v>1</v>
      </c>
      <c r="AF2167" s="72">
        <v>5</v>
      </c>
      <c r="AG2167" s="72">
        <v>1</v>
      </c>
      <c r="AH2167" s="72">
        <v>1</v>
      </c>
      <c r="AI2167" s="73">
        <v>7</v>
      </c>
      <c r="AJ2167" s="73">
        <v>1</v>
      </c>
      <c r="AK2167" s="73">
        <v>0</v>
      </c>
      <c r="AL2167" s="73">
        <v>1.5</v>
      </c>
      <c r="AM2167" s="72">
        <v>0</v>
      </c>
      <c r="AN2167" s="72">
        <v>0</v>
      </c>
      <c r="AO2167" s="72">
        <v>0</v>
      </c>
      <c r="AP2167" s="72">
        <v>0</v>
      </c>
      <c r="AQ2167" s="72">
        <v>500</v>
      </c>
      <c r="AR2167" s="72">
        <v>0.1</v>
      </c>
      <c r="AS2167" s="72">
        <v>0</v>
      </c>
      <c r="AT2167" s="73">
        <v>0</v>
      </c>
      <c r="AU2167" s="344" t="s">
        <v>4886</v>
      </c>
      <c r="AV2167" s="72"/>
      <c r="AW2167" s="71" t="s">
        <v>204</v>
      </c>
      <c r="AX2167" s="72">
        <v>0</v>
      </c>
      <c r="AY2167" s="74">
        <v>0</v>
      </c>
      <c r="AZ2167" s="74">
        <v>0</v>
      </c>
      <c r="BA2167" s="71" t="s">
        <v>206</v>
      </c>
      <c r="BB2167" s="72">
        <v>0</v>
      </c>
      <c r="BC2167" s="75">
        <v>0</v>
      </c>
      <c r="BD2167" s="75">
        <v>1</v>
      </c>
      <c r="BE2167" s="76" t="s">
        <v>4887</v>
      </c>
      <c r="BF2167" s="76" t="s">
        <v>4888</v>
      </c>
      <c r="BG2167" s="72">
        <v>0</v>
      </c>
      <c r="BH2167" s="72">
        <v>0</v>
      </c>
      <c r="BI2167" s="72">
        <v>0</v>
      </c>
      <c r="BJ2167" s="72">
        <v>0</v>
      </c>
      <c r="BK2167" s="72">
        <v>0</v>
      </c>
      <c r="BL2167" s="72">
        <v>0</v>
      </c>
      <c r="BM2167" s="72">
        <v>0</v>
      </c>
      <c r="BN2167" s="73">
        <v>0</v>
      </c>
      <c r="BO2167" s="73">
        <v>0</v>
      </c>
      <c r="BP2167" s="73">
        <v>0</v>
      </c>
      <c r="BQ2167" s="73">
        <v>0</v>
      </c>
      <c r="BR2167" s="73">
        <v>0</v>
      </c>
      <c r="BS2167" s="73">
        <v>1</v>
      </c>
      <c r="BT2167" s="19">
        <v>0</v>
      </c>
      <c r="BU2167" s="23">
        <v>0</v>
      </c>
      <c r="BV2167" s="23"/>
      <c r="BW2167" s="23"/>
      <c r="BX2167" s="23"/>
      <c r="BY2167" s="23"/>
      <c r="BZ2167" s="23"/>
    </row>
    <row r="2168" spans="3:78" ht="19.5" customHeight="1">
      <c r="C2168" s="32">
        <v>80003003</v>
      </c>
      <c r="D2168" s="71" t="s">
        <v>4889</v>
      </c>
      <c r="E2168" s="71" t="s">
        <v>4890</v>
      </c>
      <c r="F2168" s="74">
        <v>1</v>
      </c>
      <c r="G2168" s="32">
        <v>80003003</v>
      </c>
      <c r="H2168" s="74">
        <v>0</v>
      </c>
      <c r="I2168" s="75">
        <v>0</v>
      </c>
      <c r="J2168" s="74">
        <v>1</v>
      </c>
      <c r="K2168" s="74">
        <v>0</v>
      </c>
      <c r="L2168" s="74">
        <v>0</v>
      </c>
      <c r="M2168" s="72">
        <v>0</v>
      </c>
      <c r="N2168" s="72">
        <v>0</v>
      </c>
      <c r="O2168" s="72">
        <v>2</v>
      </c>
      <c r="P2168" s="72">
        <v>1</v>
      </c>
      <c r="Q2168" s="72">
        <v>0.1</v>
      </c>
      <c r="R2168" s="72">
        <v>0</v>
      </c>
      <c r="S2168" s="73">
        <v>1</v>
      </c>
      <c r="T2168" s="72">
        <v>0</v>
      </c>
      <c r="U2168" s="72">
        <v>1</v>
      </c>
      <c r="V2168" s="72">
        <v>2</v>
      </c>
      <c r="W2168" s="72">
        <v>0</v>
      </c>
      <c r="X2168" s="72">
        <v>2</v>
      </c>
      <c r="Y2168" s="19">
        <v>0</v>
      </c>
      <c r="Z2168" s="72">
        <v>0</v>
      </c>
      <c r="AA2168" s="72">
        <v>1</v>
      </c>
      <c r="AB2168" s="72">
        <v>0</v>
      </c>
      <c r="AC2168" s="72">
        <v>0</v>
      </c>
      <c r="AD2168" s="72">
        <v>0</v>
      </c>
      <c r="AE2168" s="72">
        <v>0</v>
      </c>
      <c r="AF2168" s="72">
        <v>0</v>
      </c>
      <c r="AG2168" s="72">
        <v>1</v>
      </c>
      <c r="AH2168" s="72">
        <v>3</v>
      </c>
      <c r="AI2168" s="73">
        <v>0</v>
      </c>
      <c r="AJ2168" s="73">
        <v>1</v>
      </c>
      <c r="AK2168" s="73">
        <v>0</v>
      </c>
      <c r="AL2168" s="73">
        <v>1.5</v>
      </c>
      <c r="AM2168" s="72">
        <v>0</v>
      </c>
      <c r="AN2168" s="72">
        <v>0</v>
      </c>
      <c r="AO2168" s="72">
        <v>0</v>
      </c>
      <c r="AP2168" s="72">
        <v>0</v>
      </c>
      <c r="AQ2168" s="72">
        <v>3000</v>
      </c>
      <c r="AR2168" s="72">
        <v>0.5</v>
      </c>
      <c r="AS2168" s="72">
        <v>0</v>
      </c>
      <c r="AT2168" s="73">
        <v>0</v>
      </c>
      <c r="AU2168" s="72">
        <v>80005021</v>
      </c>
      <c r="AV2168" s="72"/>
      <c r="AW2168" s="88" t="s">
        <v>204</v>
      </c>
      <c r="AX2168" s="72" t="s">
        <v>540</v>
      </c>
      <c r="AY2168" s="74">
        <v>0</v>
      </c>
      <c r="AZ2168" s="74">
        <v>23000102</v>
      </c>
      <c r="BA2168" s="71" t="s">
        <v>206</v>
      </c>
      <c r="BB2168" s="72">
        <v>0</v>
      </c>
      <c r="BC2168" s="75">
        <v>0</v>
      </c>
      <c r="BD2168" s="75">
        <v>0</v>
      </c>
      <c r="BE2168" s="76" t="s">
        <v>4891</v>
      </c>
      <c r="BF2168" s="76" t="s">
        <v>4892</v>
      </c>
      <c r="BG2168" s="72">
        <v>0</v>
      </c>
      <c r="BH2168" s="72">
        <v>0</v>
      </c>
      <c r="BI2168" s="72">
        <v>0</v>
      </c>
      <c r="BJ2168" s="72">
        <v>0</v>
      </c>
      <c r="BK2168" s="72">
        <v>0</v>
      </c>
      <c r="BL2168" s="72">
        <v>0</v>
      </c>
      <c r="BM2168" s="90">
        <v>0</v>
      </c>
      <c r="BN2168" s="73">
        <v>0</v>
      </c>
      <c r="BO2168" s="73">
        <v>0</v>
      </c>
      <c r="BP2168" s="73">
        <v>0</v>
      </c>
      <c r="BQ2168" s="73">
        <v>0</v>
      </c>
      <c r="BR2168" s="73">
        <v>0</v>
      </c>
      <c r="BS2168" s="73">
        <v>1</v>
      </c>
      <c r="BT2168" s="19">
        <v>0</v>
      </c>
      <c r="BU2168" s="23">
        <v>0</v>
      </c>
      <c r="BV2168" s="23"/>
      <c r="BW2168" s="23"/>
      <c r="BX2168" s="23"/>
      <c r="BY2168" s="23"/>
      <c r="BZ2168" s="23"/>
    </row>
    <row r="2169" spans="3:78" ht="19.5" customHeight="1">
      <c r="C2169" s="74">
        <v>80003004</v>
      </c>
      <c r="D2169" s="88" t="s">
        <v>4893</v>
      </c>
      <c r="E2169" s="88" t="s">
        <v>4894</v>
      </c>
      <c r="F2169" s="74">
        <v>1</v>
      </c>
      <c r="G2169" s="74">
        <v>80003004</v>
      </c>
      <c r="H2169" s="74">
        <v>0</v>
      </c>
      <c r="I2169" s="74">
        <v>0</v>
      </c>
      <c r="J2169" s="74">
        <v>1</v>
      </c>
      <c r="K2169" s="74">
        <v>0</v>
      </c>
      <c r="L2169" s="74">
        <v>0</v>
      </c>
      <c r="M2169" s="74">
        <v>0</v>
      </c>
      <c r="N2169" s="74">
        <v>0</v>
      </c>
      <c r="O2169" s="74">
        <v>2</v>
      </c>
      <c r="P2169" s="74">
        <v>6</v>
      </c>
      <c r="Q2169" s="74">
        <v>1</v>
      </c>
      <c r="R2169" s="74">
        <v>1</v>
      </c>
      <c r="S2169" s="74">
        <v>1</v>
      </c>
      <c r="T2169" s="74">
        <v>0</v>
      </c>
      <c r="U2169" s="74">
        <v>1</v>
      </c>
      <c r="V2169" s="74">
        <v>2</v>
      </c>
      <c r="W2169" s="74">
        <v>0</v>
      </c>
      <c r="X2169" s="74">
        <v>3</v>
      </c>
      <c r="Y2169" s="19">
        <v>0</v>
      </c>
      <c r="Z2169" s="74">
        <v>0</v>
      </c>
      <c r="AA2169" s="74">
        <v>1</v>
      </c>
      <c r="AB2169" s="74">
        <v>0</v>
      </c>
      <c r="AC2169" s="74">
        <v>0</v>
      </c>
      <c r="AD2169" s="74">
        <v>0</v>
      </c>
      <c r="AE2169" s="74">
        <v>1</v>
      </c>
      <c r="AF2169" s="74">
        <v>15</v>
      </c>
      <c r="AG2169" s="74">
        <v>1</v>
      </c>
      <c r="AH2169" s="74">
        <v>4</v>
      </c>
      <c r="AI2169" s="74">
        <v>0</v>
      </c>
      <c r="AJ2169" s="74">
        <v>1</v>
      </c>
      <c r="AK2169" s="74">
        <v>0</v>
      </c>
      <c r="AL2169" s="74">
        <v>3</v>
      </c>
      <c r="AM2169" s="74">
        <v>0</v>
      </c>
      <c r="AN2169" s="74">
        <v>0</v>
      </c>
      <c r="AO2169" s="74">
        <v>0</v>
      </c>
      <c r="AP2169" s="74">
        <v>0</v>
      </c>
      <c r="AQ2169" s="74">
        <v>2000</v>
      </c>
      <c r="AR2169" s="74">
        <v>0</v>
      </c>
      <c r="AS2169" s="74">
        <v>0</v>
      </c>
      <c r="AT2169" s="74">
        <v>0</v>
      </c>
      <c r="AU2169" s="74">
        <v>80005031</v>
      </c>
      <c r="AV2169" s="74"/>
      <c r="AW2169" s="88" t="s">
        <v>204</v>
      </c>
      <c r="AX2169" s="74" t="s">
        <v>540</v>
      </c>
      <c r="AY2169" s="74">
        <v>0</v>
      </c>
      <c r="AZ2169" s="74">
        <v>23000103</v>
      </c>
      <c r="BA2169" s="88" t="s">
        <v>206</v>
      </c>
      <c r="BB2169" s="74">
        <v>0</v>
      </c>
      <c r="BC2169" s="74">
        <v>0</v>
      </c>
      <c r="BD2169" s="74">
        <v>0</v>
      </c>
      <c r="BE2169" s="89" t="s">
        <v>4895</v>
      </c>
      <c r="BF2169" s="89" t="s">
        <v>4896</v>
      </c>
      <c r="BG2169" s="74">
        <v>0</v>
      </c>
      <c r="BH2169" s="74">
        <v>0</v>
      </c>
      <c r="BI2169" s="74">
        <v>0</v>
      </c>
      <c r="BJ2169" s="74">
        <v>0</v>
      </c>
      <c r="BK2169" s="74">
        <v>0</v>
      </c>
      <c r="BL2169" s="74">
        <v>0</v>
      </c>
      <c r="BM2169" s="90">
        <v>0</v>
      </c>
      <c r="BN2169" s="74">
        <v>0</v>
      </c>
      <c r="BO2169" s="74">
        <v>0</v>
      </c>
      <c r="BP2169" s="74">
        <v>0</v>
      </c>
      <c r="BQ2169" s="74">
        <v>0</v>
      </c>
      <c r="BR2169" s="74">
        <v>0</v>
      </c>
      <c r="BS2169" s="74">
        <v>1</v>
      </c>
      <c r="BT2169" s="19">
        <v>0</v>
      </c>
      <c r="BU2169" s="23">
        <v>0</v>
      </c>
      <c r="BV2169" s="23"/>
      <c r="BW2169" s="23"/>
      <c r="BX2169" s="23"/>
      <c r="BY2169" s="23"/>
      <c r="BZ2169" s="23"/>
    </row>
    <row r="2170" spans="3:78" ht="18.75" customHeight="1">
      <c r="C2170" s="32">
        <v>80003005</v>
      </c>
      <c r="D2170" s="88" t="s">
        <v>1733</v>
      </c>
      <c r="E2170" s="88" t="s">
        <v>1734</v>
      </c>
      <c r="F2170" s="74">
        <v>1</v>
      </c>
      <c r="G2170" s="32">
        <v>80003005</v>
      </c>
      <c r="H2170" s="74">
        <v>0</v>
      </c>
      <c r="I2170" s="75">
        <v>0</v>
      </c>
      <c r="J2170" s="74">
        <v>1</v>
      </c>
      <c r="K2170" s="74">
        <v>0</v>
      </c>
      <c r="L2170" s="74">
        <v>0</v>
      </c>
      <c r="M2170" s="74">
        <v>0</v>
      </c>
      <c r="N2170" s="74">
        <v>0</v>
      </c>
      <c r="O2170" s="74">
        <v>2</v>
      </c>
      <c r="P2170" s="74">
        <v>10</v>
      </c>
      <c r="Q2170" s="74">
        <v>0.2</v>
      </c>
      <c r="R2170" s="74">
        <v>0</v>
      </c>
      <c r="S2170" s="73">
        <v>0</v>
      </c>
      <c r="T2170" s="75">
        <v>0</v>
      </c>
      <c r="U2170" s="72">
        <v>1</v>
      </c>
      <c r="V2170" s="74">
        <v>2</v>
      </c>
      <c r="W2170" s="74">
        <v>0</v>
      </c>
      <c r="X2170" s="74">
        <v>1.5</v>
      </c>
      <c r="Y2170" s="19">
        <v>0</v>
      </c>
      <c r="Z2170" s="74">
        <v>0</v>
      </c>
      <c r="AA2170" s="74">
        <v>0</v>
      </c>
      <c r="AB2170" s="74">
        <v>0</v>
      </c>
      <c r="AC2170" s="74">
        <v>0</v>
      </c>
      <c r="AD2170" s="74">
        <v>1</v>
      </c>
      <c r="AE2170" s="74">
        <v>1</v>
      </c>
      <c r="AF2170" s="74">
        <v>0</v>
      </c>
      <c r="AG2170" s="74">
        <v>1</v>
      </c>
      <c r="AH2170" s="74">
        <v>3</v>
      </c>
      <c r="AI2170" s="73">
        <v>2</v>
      </c>
      <c r="AJ2170" s="73">
        <v>1</v>
      </c>
      <c r="AK2170" s="73">
        <v>0</v>
      </c>
      <c r="AL2170" s="73">
        <v>6</v>
      </c>
      <c r="AM2170" s="74">
        <v>0</v>
      </c>
      <c r="AN2170" s="74">
        <v>0</v>
      </c>
      <c r="AO2170" s="74">
        <v>0</v>
      </c>
      <c r="AP2170" s="74">
        <v>0</v>
      </c>
      <c r="AQ2170" s="74">
        <v>5000</v>
      </c>
      <c r="AR2170" s="74">
        <v>0.2</v>
      </c>
      <c r="AS2170" s="74">
        <v>0</v>
      </c>
      <c r="AT2170" s="73">
        <v>0</v>
      </c>
      <c r="AU2170" s="74">
        <v>80005041</v>
      </c>
      <c r="AV2170" s="74"/>
      <c r="AW2170" s="88" t="s">
        <v>204</v>
      </c>
      <c r="AX2170" s="74" t="s">
        <v>1735</v>
      </c>
      <c r="AY2170" s="74">
        <v>10000006</v>
      </c>
      <c r="AZ2170" s="74">
        <v>23000106</v>
      </c>
      <c r="BA2170" s="88" t="s">
        <v>1736</v>
      </c>
      <c r="BB2170" s="88" t="s">
        <v>204</v>
      </c>
      <c r="BC2170" s="75">
        <v>0</v>
      </c>
      <c r="BD2170" s="75">
        <v>0</v>
      </c>
      <c r="BE2170" s="89" t="s">
        <v>4897</v>
      </c>
      <c r="BF2170" s="89" t="s">
        <v>4898</v>
      </c>
      <c r="BG2170" s="74">
        <v>0</v>
      </c>
      <c r="BH2170" s="72">
        <v>0</v>
      </c>
      <c r="BI2170" s="74">
        <v>0</v>
      </c>
      <c r="BJ2170" s="74">
        <v>0</v>
      </c>
      <c r="BK2170" s="74">
        <v>0</v>
      </c>
      <c r="BL2170" s="74">
        <v>0</v>
      </c>
      <c r="BM2170" s="90">
        <v>0</v>
      </c>
      <c r="BN2170" s="73">
        <v>1</v>
      </c>
      <c r="BO2170" s="73">
        <v>0</v>
      </c>
      <c r="BP2170" s="73">
        <v>0</v>
      </c>
      <c r="BQ2170" s="73">
        <v>0</v>
      </c>
      <c r="BR2170" s="73">
        <v>0</v>
      </c>
      <c r="BS2170" s="73">
        <v>1</v>
      </c>
      <c r="BT2170" s="19">
        <v>0</v>
      </c>
      <c r="BU2170" s="23">
        <v>0</v>
      </c>
      <c r="BV2170" s="23"/>
      <c r="BW2170" s="23"/>
      <c r="BX2170" s="23"/>
      <c r="BY2170" s="23"/>
      <c r="BZ2170" s="23"/>
    </row>
    <row r="2171" spans="3:78" ht="19.5" customHeight="1">
      <c r="C2171" s="32">
        <v>80003006</v>
      </c>
      <c r="D2171" s="71" t="s">
        <v>4899</v>
      </c>
      <c r="E2171" s="71" t="s">
        <v>4900</v>
      </c>
      <c r="F2171" s="74">
        <v>1</v>
      </c>
      <c r="G2171" s="32">
        <v>80003006</v>
      </c>
      <c r="H2171" s="74">
        <v>0</v>
      </c>
      <c r="I2171" s="75">
        <v>0</v>
      </c>
      <c r="J2171" s="74">
        <v>1</v>
      </c>
      <c r="K2171" s="74">
        <v>0</v>
      </c>
      <c r="L2171" s="74">
        <v>0</v>
      </c>
      <c r="M2171" s="72">
        <v>0</v>
      </c>
      <c r="N2171" s="72">
        <v>0</v>
      </c>
      <c r="O2171" s="72">
        <v>2</v>
      </c>
      <c r="P2171" s="72">
        <v>3</v>
      </c>
      <c r="Q2171" s="72">
        <v>0.15</v>
      </c>
      <c r="R2171" s="72">
        <v>0</v>
      </c>
      <c r="S2171" s="73">
        <v>0</v>
      </c>
      <c r="T2171" s="72">
        <v>0</v>
      </c>
      <c r="U2171" s="72">
        <v>1</v>
      </c>
      <c r="V2171" s="72">
        <v>1</v>
      </c>
      <c r="W2171" s="72">
        <v>0</v>
      </c>
      <c r="X2171" s="72">
        <v>2</v>
      </c>
      <c r="Y2171" s="19">
        <v>0</v>
      </c>
      <c r="Z2171" s="72">
        <v>0</v>
      </c>
      <c r="AA2171" s="72">
        <v>1</v>
      </c>
      <c r="AB2171" s="72">
        <v>0</v>
      </c>
      <c r="AC2171" s="72">
        <v>0</v>
      </c>
      <c r="AD2171" s="72">
        <v>0</v>
      </c>
      <c r="AE2171" s="72">
        <v>1</v>
      </c>
      <c r="AF2171" s="72">
        <v>0</v>
      </c>
      <c r="AG2171" s="72">
        <v>1</v>
      </c>
      <c r="AH2171" s="72">
        <v>4</v>
      </c>
      <c r="AI2171" s="73">
        <v>0</v>
      </c>
      <c r="AJ2171" s="73">
        <v>1</v>
      </c>
      <c r="AK2171" s="73">
        <v>0</v>
      </c>
      <c r="AL2171" s="73">
        <v>3</v>
      </c>
      <c r="AM2171" s="72">
        <v>0</v>
      </c>
      <c r="AN2171" s="72">
        <v>0</v>
      </c>
      <c r="AO2171" s="72">
        <v>0</v>
      </c>
      <c r="AP2171" s="72">
        <v>0</v>
      </c>
      <c r="AQ2171" s="72">
        <v>3000</v>
      </c>
      <c r="AR2171" s="72">
        <v>0.2</v>
      </c>
      <c r="AS2171" s="72">
        <v>0</v>
      </c>
      <c r="AT2171" s="73">
        <v>80005052</v>
      </c>
      <c r="AU2171" s="72">
        <v>80005051</v>
      </c>
      <c r="AV2171" s="72"/>
      <c r="AW2171" s="88" t="s">
        <v>204</v>
      </c>
      <c r="AX2171" s="72" t="s">
        <v>540</v>
      </c>
      <c r="AY2171" s="74">
        <v>0</v>
      </c>
      <c r="AZ2171" s="74">
        <v>23000104</v>
      </c>
      <c r="BA2171" s="71" t="s">
        <v>206</v>
      </c>
      <c r="BB2171" s="72">
        <v>0</v>
      </c>
      <c r="BC2171" s="75">
        <v>0</v>
      </c>
      <c r="BD2171" s="75">
        <v>0</v>
      </c>
      <c r="BE2171" s="76" t="s">
        <v>4901</v>
      </c>
      <c r="BF2171" s="76" t="s">
        <v>4902</v>
      </c>
      <c r="BG2171" s="72">
        <v>0</v>
      </c>
      <c r="BH2171" s="72">
        <v>0</v>
      </c>
      <c r="BI2171" s="72">
        <v>0</v>
      </c>
      <c r="BJ2171" s="72">
        <v>0</v>
      </c>
      <c r="BK2171" s="72">
        <v>0</v>
      </c>
      <c r="BL2171" s="72">
        <v>0</v>
      </c>
      <c r="BM2171" s="90">
        <v>0</v>
      </c>
      <c r="BN2171" s="73">
        <v>0</v>
      </c>
      <c r="BO2171" s="73">
        <v>0</v>
      </c>
      <c r="BP2171" s="73">
        <v>0</v>
      </c>
      <c r="BQ2171" s="73">
        <v>0</v>
      </c>
      <c r="BR2171" s="73">
        <v>0</v>
      </c>
      <c r="BS2171" s="73">
        <v>1</v>
      </c>
      <c r="BT2171" s="19">
        <v>0</v>
      </c>
      <c r="BU2171" s="23">
        <v>0</v>
      </c>
      <c r="BV2171" s="23"/>
      <c r="BW2171" s="23"/>
      <c r="BX2171" s="23"/>
      <c r="BY2171" s="23"/>
      <c r="BZ2171" s="23"/>
    </row>
    <row r="2172" spans="3:78" ht="20.100000000000001" customHeight="1">
      <c r="C2172" s="32">
        <v>80003007</v>
      </c>
      <c r="D2172" s="71" t="s">
        <v>4903</v>
      </c>
      <c r="E2172" s="71" t="s">
        <v>4904</v>
      </c>
      <c r="F2172" s="72">
        <v>1</v>
      </c>
      <c r="G2172" s="32">
        <v>80003007</v>
      </c>
      <c r="H2172" s="72">
        <v>0</v>
      </c>
      <c r="I2172" s="75">
        <v>0</v>
      </c>
      <c r="J2172" s="74">
        <v>1</v>
      </c>
      <c r="K2172" s="72">
        <v>0</v>
      </c>
      <c r="L2172" s="72">
        <v>0</v>
      </c>
      <c r="M2172" s="72">
        <v>0</v>
      </c>
      <c r="N2172" s="72">
        <v>0</v>
      </c>
      <c r="O2172" s="72">
        <v>2</v>
      </c>
      <c r="P2172" s="72">
        <v>3</v>
      </c>
      <c r="Q2172" s="72">
        <v>0.2</v>
      </c>
      <c r="R2172" s="72">
        <v>0</v>
      </c>
      <c r="S2172" s="73">
        <v>3</v>
      </c>
      <c r="T2172" s="72">
        <v>0</v>
      </c>
      <c r="U2172" s="72">
        <v>1</v>
      </c>
      <c r="V2172" s="72">
        <v>1</v>
      </c>
      <c r="W2172" s="72">
        <v>0</v>
      </c>
      <c r="X2172" s="72">
        <v>2</v>
      </c>
      <c r="Y2172" s="19">
        <v>0</v>
      </c>
      <c r="Z2172" s="72">
        <v>0</v>
      </c>
      <c r="AA2172" s="72">
        <v>1</v>
      </c>
      <c r="AB2172" s="72">
        <v>0</v>
      </c>
      <c r="AC2172" s="72">
        <v>0</v>
      </c>
      <c r="AD2172" s="72">
        <v>0</v>
      </c>
      <c r="AE2172" s="72">
        <v>1</v>
      </c>
      <c r="AF2172" s="72">
        <v>0</v>
      </c>
      <c r="AG2172" s="72">
        <v>1</v>
      </c>
      <c r="AH2172" s="72">
        <v>3</v>
      </c>
      <c r="AI2172" s="73">
        <v>0</v>
      </c>
      <c r="AJ2172" s="73">
        <v>1</v>
      </c>
      <c r="AK2172" s="73">
        <v>0</v>
      </c>
      <c r="AL2172" s="73">
        <v>1.5</v>
      </c>
      <c r="AM2172" s="72">
        <v>0</v>
      </c>
      <c r="AN2172" s="72">
        <v>0</v>
      </c>
      <c r="AO2172" s="72">
        <v>0</v>
      </c>
      <c r="AP2172" s="72">
        <v>0.5</v>
      </c>
      <c r="AQ2172" s="72">
        <v>3000</v>
      </c>
      <c r="AR2172" s="72">
        <v>0.9</v>
      </c>
      <c r="AS2172" s="72">
        <v>0</v>
      </c>
      <c r="AT2172" s="73">
        <v>0</v>
      </c>
      <c r="AU2172" s="72">
        <v>80005061</v>
      </c>
      <c r="AV2172" s="72"/>
      <c r="AW2172" s="71" t="s">
        <v>204</v>
      </c>
      <c r="AX2172" s="72" t="s">
        <v>540</v>
      </c>
      <c r="AY2172" s="74">
        <v>10000001</v>
      </c>
      <c r="AZ2172" s="74">
        <v>23000105</v>
      </c>
      <c r="BA2172" s="71" t="s">
        <v>777</v>
      </c>
      <c r="BB2172" s="72">
        <v>0</v>
      </c>
      <c r="BC2172" s="75">
        <v>0</v>
      </c>
      <c r="BD2172" s="75">
        <v>0</v>
      </c>
      <c r="BE2172" s="114" t="s">
        <v>4905</v>
      </c>
      <c r="BF2172" s="114" t="s">
        <v>4906</v>
      </c>
      <c r="BG2172" s="72">
        <v>0</v>
      </c>
      <c r="BH2172" s="72">
        <v>0</v>
      </c>
      <c r="BI2172" s="72">
        <v>0</v>
      </c>
      <c r="BJ2172" s="72">
        <v>0</v>
      </c>
      <c r="BK2172" s="72">
        <v>0</v>
      </c>
      <c r="BL2172" s="72">
        <v>0</v>
      </c>
      <c r="BM2172" s="90">
        <v>0</v>
      </c>
      <c r="BN2172" s="73">
        <v>0</v>
      </c>
      <c r="BO2172" s="73">
        <v>0</v>
      </c>
      <c r="BP2172" s="73">
        <v>0</v>
      </c>
      <c r="BQ2172" s="73">
        <v>0</v>
      </c>
      <c r="BR2172" s="73">
        <v>0</v>
      </c>
      <c r="BS2172" s="73">
        <v>1</v>
      </c>
      <c r="BT2172" s="19">
        <v>0</v>
      </c>
      <c r="BU2172" s="23">
        <v>0</v>
      </c>
      <c r="BV2172" s="23"/>
      <c r="BW2172" s="23"/>
      <c r="BX2172" s="23"/>
      <c r="BY2172" s="23"/>
      <c r="BZ2172" s="23"/>
    </row>
    <row r="2173" spans="3:78" ht="19.5" customHeight="1">
      <c r="C2173" s="32">
        <v>80003008</v>
      </c>
      <c r="D2173" s="71" t="s">
        <v>4907</v>
      </c>
      <c r="E2173" s="71" t="s">
        <v>4908</v>
      </c>
      <c r="F2173" s="74">
        <v>1</v>
      </c>
      <c r="G2173" s="32">
        <v>80003008</v>
      </c>
      <c r="H2173" s="74">
        <v>0</v>
      </c>
      <c r="I2173" s="75">
        <v>0</v>
      </c>
      <c r="J2173" s="74">
        <v>1</v>
      </c>
      <c r="K2173" s="74">
        <v>0</v>
      </c>
      <c r="L2173" s="74">
        <v>0</v>
      </c>
      <c r="M2173" s="72">
        <v>0</v>
      </c>
      <c r="N2173" s="72">
        <v>0</v>
      </c>
      <c r="O2173" s="72">
        <v>2</v>
      </c>
      <c r="P2173" s="72" t="s">
        <v>4909</v>
      </c>
      <c r="Q2173" s="72" t="s">
        <v>4910</v>
      </c>
      <c r="R2173" s="72">
        <v>0</v>
      </c>
      <c r="S2173" s="73">
        <v>0</v>
      </c>
      <c r="T2173" s="72">
        <v>0</v>
      </c>
      <c r="U2173" s="72">
        <v>1</v>
      </c>
      <c r="V2173" s="72">
        <v>1</v>
      </c>
      <c r="W2173" s="72">
        <v>0</v>
      </c>
      <c r="X2173" s="72">
        <v>0</v>
      </c>
      <c r="Y2173" s="19">
        <v>0</v>
      </c>
      <c r="Z2173" s="72">
        <v>0</v>
      </c>
      <c r="AA2173" s="72">
        <v>1</v>
      </c>
      <c r="AB2173" s="72">
        <v>0</v>
      </c>
      <c r="AC2173" s="72">
        <v>0</v>
      </c>
      <c r="AD2173" s="72">
        <v>0</v>
      </c>
      <c r="AE2173" s="72">
        <v>1</v>
      </c>
      <c r="AF2173" s="72">
        <v>0</v>
      </c>
      <c r="AG2173" s="72">
        <v>1</v>
      </c>
      <c r="AH2173" s="72">
        <v>6</v>
      </c>
      <c r="AI2173" s="73">
        <v>0</v>
      </c>
      <c r="AJ2173" s="73">
        <v>1</v>
      </c>
      <c r="AK2173" s="73">
        <v>0</v>
      </c>
      <c r="AL2173" s="73">
        <v>3</v>
      </c>
      <c r="AM2173" s="72">
        <v>0</v>
      </c>
      <c r="AN2173" s="72">
        <v>0</v>
      </c>
      <c r="AO2173" s="72">
        <v>0</v>
      </c>
      <c r="AP2173" s="72">
        <v>0</v>
      </c>
      <c r="AQ2173" s="72">
        <v>2000</v>
      </c>
      <c r="AR2173" s="72">
        <v>0</v>
      </c>
      <c r="AS2173" s="72">
        <v>0</v>
      </c>
      <c r="AT2173" s="330" t="s">
        <v>4911</v>
      </c>
      <c r="AU2173" s="72">
        <v>80005072</v>
      </c>
      <c r="AV2173" s="72"/>
      <c r="AW2173" s="88" t="s">
        <v>204</v>
      </c>
      <c r="AX2173" s="72" t="s">
        <v>540</v>
      </c>
      <c r="AY2173" s="74">
        <v>0</v>
      </c>
      <c r="AZ2173" s="74">
        <v>0</v>
      </c>
      <c r="BA2173" s="71" t="s">
        <v>206</v>
      </c>
      <c r="BB2173" s="72">
        <v>0</v>
      </c>
      <c r="BC2173" s="75">
        <v>0</v>
      </c>
      <c r="BD2173" s="75">
        <v>0</v>
      </c>
      <c r="BE2173" s="76" t="s">
        <v>4912</v>
      </c>
      <c r="BF2173" s="76" t="s">
        <v>4913</v>
      </c>
      <c r="BG2173" s="72">
        <v>0</v>
      </c>
      <c r="BH2173" s="72">
        <v>0</v>
      </c>
      <c r="BI2173" s="72">
        <v>0</v>
      </c>
      <c r="BJ2173" s="72">
        <v>0</v>
      </c>
      <c r="BK2173" s="72">
        <v>0</v>
      </c>
      <c r="BL2173" s="72">
        <v>0</v>
      </c>
      <c r="BM2173" s="90">
        <v>0</v>
      </c>
      <c r="BN2173" s="73">
        <v>0</v>
      </c>
      <c r="BO2173" s="73">
        <v>0</v>
      </c>
      <c r="BP2173" s="73">
        <v>0</v>
      </c>
      <c r="BQ2173" s="73">
        <v>0</v>
      </c>
      <c r="BR2173" s="73">
        <v>0</v>
      </c>
      <c r="BS2173" s="73">
        <v>1</v>
      </c>
      <c r="BT2173" s="19">
        <v>0</v>
      </c>
      <c r="BU2173" s="23">
        <v>0</v>
      </c>
      <c r="BV2173" s="23"/>
      <c r="BW2173" s="23"/>
      <c r="BX2173" s="23"/>
      <c r="BY2173" s="23"/>
      <c r="BZ2173" s="23"/>
    </row>
    <row r="2174" spans="3:78" ht="20.100000000000001" customHeight="1">
      <c r="C2174" s="32">
        <v>80003101</v>
      </c>
      <c r="D2174" s="30" t="s">
        <v>4914</v>
      </c>
      <c r="E2174" s="30" t="s">
        <v>4915</v>
      </c>
      <c r="F2174" s="21">
        <v>1</v>
      </c>
      <c r="G2174" s="21">
        <v>80003001</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4916</v>
      </c>
      <c r="BF2174" s="33" t="s">
        <v>4917</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80003102</v>
      </c>
      <c r="D2175" s="30" t="s">
        <v>4918</v>
      </c>
      <c r="E2175" s="30" t="s">
        <v>4919</v>
      </c>
      <c r="F2175" s="21">
        <v>1</v>
      </c>
      <c r="G2175" s="21">
        <v>80003002</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4916</v>
      </c>
      <c r="BF2175" s="33" t="s">
        <v>4917</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80003103</v>
      </c>
      <c r="D2176" s="30" t="s">
        <v>4920</v>
      </c>
      <c r="E2176" s="30" t="s">
        <v>4921</v>
      </c>
      <c r="F2176" s="21">
        <v>1</v>
      </c>
      <c r="G2176" s="21">
        <v>80003003</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4916</v>
      </c>
      <c r="BF2176" s="33" t="s">
        <v>4917</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80003104</v>
      </c>
      <c r="D2177" s="30" t="s">
        <v>4922</v>
      </c>
      <c r="E2177" s="30" t="s">
        <v>4923</v>
      </c>
      <c r="F2177" s="21">
        <v>1</v>
      </c>
      <c r="G2177" s="21">
        <v>80003004</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4916</v>
      </c>
      <c r="BF2177" s="33" t="s">
        <v>4917</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80003105</v>
      </c>
      <c r="D2178" s="30" t="s">
        <v>4924</v>
      </c>
      <c r="E2178" s="30" t="s">
        <v>4925</v>
      </c>
      <c r="F2178" s="21">
        <v>1</v>
      </c>
      <c r="G2178" s="21">
        <v>80003005</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4916</v>
      </c>
      <c r="BF2178" s="33" t="s">
        <v>4917</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80003106</v>
      </c>
      <c r="D2179" s="30" t="s">
        <v>4926</v>
      </c>
      <c r="E2179" s="30" t="s">
        <v>4927</v>
      </c>
      <c r="F2179" s="21">
        <v>1</v>
      </c>
      <c r="G2179" s="21">
        <v>80003101</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4928</v>
      </c>
      <c r="BF2179" s="33" t="s">
        <v>4929</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80003107</v>
      </c>
      <c r="D2180" s="30" t="s">
        <v>4930</v>
      </c>
      <c r="E2180" s="30" t="s">
        <v>4931</v>
      </c>
      <c r="F2180" s="21">
        <v>1</v>
      </c>
      <c r="G2180" s="21">
        <v>80003102</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4932</v>
      </c>
      <c r="BF2180" s="33" t="s">
        <v>4933</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80003108</v>
      </c>
      <c r="D2181" s="30" t="s">
        <v>4934</v>
      </c>
      <c r="E2181" s="30" t="s">
        <v>4935</v>
      </c>
      <c r="F2181" s="21">
        <v>1</v>
      </c>
      <c r="G2181" s="21">
        <v>80003103</v>
      </c>
      <c r="H2181" s="32">
        <v>0</v>
      </c>
      <c r="I2181" s="31">
        <v>0</v>
      </c>
      <c r="J2181" s="32">
        <v>1</v>
      </c>
      <c r="K2181" s="32">
        <v>0</v>
      </c>
      <c r="L2181" s="32">
        <v>0</v>
      </c>
      <c r="M2181" s="21">
        <v>0</v>
      </c>
      <c r="N2181" s="21">
        <v>0</v>
      </c>
      <c r="O2181" s="21">
        <v>1</v>
      </c>
      <c r="P2181" s="21">
        <v>0</v>
      </c>
      <c r="Q2181" s="21">
        <v>0</v>
      </c>
      <c r="R2181" s="21">
        <v>0</v>
      </c>
      <c r="S2181" s="19">
        <v>0</v>
      </c>
      <c r="T2181" s="21">
        <v>0</v>
      </c>
      <c r="U2181" s="21">
        <v>1</v>
      </c>
      <c r="V2181" s="21">
        <v>2</v>
      </c>
      <c r="W2181" s="21">
        <v>0</v>
      </c>
      <c r="X2181" s="21">
        <v>0</v>
      </c>
      <c r="Y2181" s="19">
        <v>0</v>
      </c>
      <c r="Z2181" s="21">
        <v>0</v>
      </c>
      <c r="AA2181" s="21">
        <v>0</v>
      </c>
      <c r="AB2181" s="21">
        <v>0</v>
      </c>
      <c r="AC2181" s="21">
        <v>0</v>
      </c>
      <c r="AD2181" s="21">
        <v>0</v>
      </c>
      <c r="AE2181" s="21">
        <v>0</v>
      </c>
      <c r="AF2181" s="21">
        <v>9</v>
      </c>
      <c r="AG2181" s="21">
        <v>2</v>
      </c>
      <c r="AH2181" s="21" t="s">
        <v>219</v>
      </c>
      <c r="AI2181" s="19">
        <v>2</v>
      </c>
      <c r="AJ2181" s="19">
        <v>2</v>
      </c>
      <c r="AK2181" s="19">
        <v>0</v>
      </c>
      <c r="AL2181" s="19">
        <v>1.5</v>
      </c>
      <c r="AM2181" s="21">
        <v>0</v>
      </c>
      <c r="AN2181" s="21">
        <v>0</v>
      </c>
      <c r="AO2181" s="21">
        <v>0</v>
      </c>
      <c r="AP2181" s="21">
        <v>1</v>
      </c>
      <c r="AQ2181" s="21">
        <v>3000</v>
      </c>
      <c r="AR2181" s="21">
        <v>0.5</v>
      </c>
      <c r="AS2181" s="21">
        <v>0</v>
      </c>
      <c r="AT2181" s="19">
        <v>0</v>
      </c>
      <c r="AU2181" s="21" t="s">
        <v>204</v>
      </c>
      <c r="AV2181" s="21"/>
      <c r="AW2181" s="30" t="s">
        <v>293</v>
      </c>
      <c r="AX2181" s="21">
        <v>0</v>
      </c>
      <c r="AY2181" s="32">
        <v>0</v>
      </c>
      <c r="AZ2181" s="32">
        <v>0</v>
      </c>
      <c r="BA2181" s="30" t="s">
        <v>206</v>
      </c>
      <c r="BB2181" s="21">
        <v>0</v>
      </c>
      <c r="BC2181" s="31">
        <v>0</v>
      </c>
      <c r="BD2181" s="31">
        <v>0</v>
      </c>
      <c r="BE2181" s="33" t="s">
        <v>4936</v>
      </c>
      <c r="BF2181" s="33" t="s">
        <v>4937</v>
      </c>
      <c r="BG2181" s="21"/>
      <c r="BH2181" s="21">
        <v>0</v>
      </c>
      <c r="BI2181" s="21"/>
      <c r="BJ2181" s="21"/>
      <c r="BK2181" s="21"/>
      <c r="BL2181" s="21"/>
      <c r="BM2181" s="21">
        <v>0</v>
      </c>
      <c r="BN2181" s="19">
        <v>0</v>
      </c>
      <c r="BO2181" s="19">
        <v>0</v>
      </c>
      <c r="BP2181" s="19">
        <v>0</v>
      </c>
      <c r="BQ2181" s="19">
        <v>0</v>
      </c>
      <c r="BR2181" s="19">
        <v>0</v>
      </c>
      <c r="BS2181" s="19">
        <v>0</v>
      </c>
      <c r="BT2181" s="19">
        <v>0</v>
      </c>
      <c r="BU2181" s="23">
        <v>0</v>
      </c>
      <c r="BV2181" s="23"/>
      <c r="BW2181" s="23"/>
      <c r="BX2181" s="23"/>
      <c r="BY2181" s="23"/>
      <c r="BZ2181" s="23"/>
    </row>
    <row r="2182" spans="3:78" ht="20.100000000000001" customHeight="1">
      <c r="C2182" s="32">
        <v>80003109</v>
      </c>
      <c r="D2182" s="30" t="s">
        <v>4938</v>
      </c>
      <c r="E2182" s="30" t="s">
        <v>4939</v>
      </c>
      <c r="F2182" s="21">
        <v>1</v>
      </c>
      <c r="G2182" s="21">
        <v>80003104</v>
      </c>
      <c r="H2182" s="32">
        <v>0</v>
      </c>
      <c r="I2182" s="31">
        <v>0</v>
      </c>
      <c r="J2182" s="32">
        <v>1</v>
      </c>
      <c r="K2182" s="32">
        <v>0</v>
      </c>
      <c r="L2182" s="32">
        <v>0</v>
      </c>
      <c r="M2182" s="21">
        <v>0</v>
      </c>
      <c r="N2182" s="21">
        <v>0</v>
      </c>
      <c r="O2182" s="21">
        <v>1</v>
      </c>
      <c r="P2182" s="21">
        <v>0</v>
      </c>
      <c r="Q2182" s="21">
        <v>0</v>
      </c>
      <c r="R2182" s="21">
        <v>0</v>
      </c>
      <c r="S2182" s="19">
        <v>0</v>
      </c>
      <c r="T2182" s="21">
        <v>0</v>
      </c>
      <c r="U2182" s="21">
        <v>1</v>
      </c>
      <c r="V2182" s="21">
        <v>2</v>
      </c>
      <c r="W2182" s="21">
        <v>0</v>
      </c>
      <c r="X2182" s="21">
        <v>0</v>
      </c>
      <c r="Y2182" s="19">
        <v>0</v>
      </c>
      <c r="Z2182" s="21">
        <v>0</v>
      </c>
      <c r="AA2182" s="21">
        <v>0</v>
      </c>
      <c r="AB2182" s="21">
        <v>0</v>
      </c>
      <c r="AC2182" s="21">
        <v>0</v>
      </c>
      <c r="AD2182" s="21">
        <v>0</v>
      </c>
      <c r="AE2182" s="21">
        <v>0</v>
      </c>
      <c r="AF2182" s="21">
        <v>9</v>
      </c>
      <c r="AG2182" s="21">
        <v>2</v>
      </c>
      <c r="AH2182" s="21" t="s">
        <v>219</v>
      </c>
      <c r="AI2182" s="19">
        <v>2</v>
      </c>
      <c r="AJ2182" s="19">
        <v>2</v>
      </c>
      <c r="AK2182" s="19">
        <v>0</v>
      </c>
      <c r="AL2182" s="19">
        <v>1.5</v>
      </c>
      <c r="AM2182" s="21">
        <v>0</v>
      </c>
      <c r="AN2182" s="21">
        <v>0</v>
      </c>
      <c r="AO2182" s="21">
        <v>0</v>
      </c>
      <c r="AP2182" s="21">
        <v>1</v>
      </c>
      <c r="AQ2182" s="21">
        <v>3000</v>
      </c>
      <c r="AR2182" s="21">
        <v>0.5</v>
      </c>
      <c r="AS2182" s="21">
        <v>0</v>
      </c>
      <c r="AT2182" s="19">
        <v>0</v>
      </c>
      <c r="AU2182" s="21" t="s">
        <v>204</v>
      </c>
      <c r="AV2182" s="21"/>
      <c r="AW2182" s="30" t="s">
        <v>293</v>
      </c>
      <c r="AX2182" s="21">
        <v>0</v>
      </c>
      <c r="AY2182" s="32">
        <v>0</v>
      </c>
      <c r="AZ2182" s="32">
        <v>0</v>
      </c>
      <c r="BA2182" s="30" t="s">
        <v>206</v>
      </c>
      <c r="BB2182" s="21">
        <v>0</v>
      </c>
      <c r="BC2182" s="31">
        <v>0</v>
      </c>
      <c r="BD2182" s="31">
        <v>0</v>
      </c>
      <c r="BE2182" s="33" t="s">
        <v>4940</v>
      </c>
      <c r="BF2182" s="33" t="s">
        <v>4941</v>
      </c>
      <c r="BG2182" s="21"/>
      <c r="BH2182" s="21">
        <v>0</v>
      </c>
      <c r="BI2182" s="21"/>
      <c r="BJ2182" s="21"/>
      <c r="BK2182" s="21"/>
      <c r="BL2182" s="21"/>
      <c r="BM2182" s="21">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80003110</v>
      </c>
      <c r="D2183" s="30" t="s">
        <v>4942</v>
      </c>
      <c r="E2183" s="30" t="s">
        <v>4943</v>
      </c>
      <c r="F2183" s="21">
        <v>1</v>
      </c>
      <c r="G2183" s="21">
        <v>80003105</v>
      </c>
      <c r="H2183" s="32">
        <v>0</v>
      </c>
      <c r="I2183" s="31">
        <v>0</v>
      </c>
      <c r="J2183" s="32">
        <v>1</v>
      </c>
      <c r="K2183" s="32">
        <v>0</v>
      </c>
      <c r="L2183" s="32">
        <v>0</v>
      </c>
      <c r="M2183" s="21">
        <v>0</v>
      </c>
      <c r="N2183" s="21">
        <v>0</v>
      </c>
      <c r="O2183" s="21">
        <v>1</v>
      </c>
      <c r="P2183" s="21">
        <v>0</v>
      </c>
      <c r="Q2183" s="21">
        <v>0</v>
      </c>
      <c r="R2183" s="21">
        <v>0</v>
      </c>
      <c r="S2183" s="19">
        <v>0</v>
      </c>
      <c r="T2183" s="21">
        <v>0</v>
      </c>
      <c r="U2183" s="21">
        <v>1</v>
      </c>
      <c r="V2183" s="21">
        <v>2</v>
      </c>
      <c r="W2183" s="21">
        <v>0</v>
      </c>
      <c r="X2183" s="21">
        <v>0</v>
      </c>
      <c r="Y2183" s="19">
        <v>0</v>
      </c>
      <c r="Z2183" s="21">
        <v>0</v>
      </c>
      <c r="AA2183" s="21">
        <v>0</v>
      </c>
      <c r="AB2183" s="21">
        <v>0</v>
      </c>
      <c r="AC2183" s="21">
        <v>0</v>
      </c>
      <c r="AD2183" s="21">
        <v>0</v>
      </c>
      <c r="AE2183" s="21">
        <v>0</v>
      </c>
      <c r="AF2183" s="21">
        <v>9</v>
      </c>
      <c r="AG2183" s="21">
        <v>2</v>
      </c>
      <c r="AH2183" s="21" t="s">
        <v>219</v>
      </c>
      <c r="AI2183" s="19">
        <v>2</v>
      </c>
      <c r="AJ2183" s="19">
        <v>2</v>
      </c>
      <c r="AK2183" s="19">
        <v>0</v>
      </c>
      <c r="AL2183" s="19">
        <v>1.5</v>
      </c>
      <c r="AM2183" s="21">
        <v>0</v>
      </c>
      <c r="AN2183" s="21">
        <v>0</v>
      </c>
      <c r="AO2183" s="21">
        <v>0</v>
      </c>
      <c r="AP2183" s="21">
        <v>1</v>
      </c>
      <c r="AQ2183" s="21">
        <v>3000</v>
      </c>
      <c r="AR2183" s="21">
        <v>0.5</v>
      </c>
      <c r="AS2183" s="21">
        <v>0</v>
      </c>
      <c r="AT2183" s="19">
        <v>0</v>
      </c>
      <c r="AU2183" s="21" t="s">
        <v>204</v>
      </c>
      <c r="AV2183" s="21"/>
      <c r="AW2183" s="30" t="s">
        <v>293</v>
      </c>
      <c r="AX2183" s="21">
        <v>0</v>
      </c>
      <c r="AY2183" s="32">
        <v>0</v>
      </c>
      <c r="AZ2183" s="32">
        <v>0</v>
      </c>
      <c r="BA2183" s="30" t="s">
        <v>206</v>
      </c>
      <c r="BB2183" s="21">
        <v>0</v>
      </c>
      <c r="BC2183" s="31">
        <v>0</v>
      </c>
      <c r="BD2183" s="31">
        <v>0</v>
      </c>
      <c r="BE2183" s="33" t="s">
        <v>4944</v>
      </c>
      <c r="BF2183" s="33" t="s">
        <v>4945</v>
      </c>
      <c r="BG2183" s="21"/>
      <c r="BH2183" s="21">
        <v>0</v>
      </c>
      <c r="BI2183" s="21"/>
      <c r="BJ2183" s="21"/>
      <c r="BK2183" s="21"/>
      <c r="BL2183" s="21"/>
      <c r="BM2183" s="21">
        <v>0</v>
      </c>
      <c r="BN2183" s="19">
        <v>0</v>
      </c>
      <c r="BO2183" s="19">
        <v>0</v>
      </c>
      <c r="BP2183" s="19">
        <v>0</v>
      </c>
      <c r="BQ2183" s="19">
        <v>0</v>
      </c>
      <c r="BR2183" s="19">
        <v>0</v>
      </c>
      <c r="BS2183" s="19">
        <v>0</v>
      </c>
      <c r="BT2183" s="19">
        <v>0</v>
      </c>
      <c r="BU2183" s="23">
        <v>0</v>
      </c>
      <c r="BV2183" s="23"/>
      <c r="BW2183" s="23"/>
      <c r="BX2183" s="23"/>
      <c r="BY2183" s="23"/>
      <c r="BZ2183" s="23"/>
    </row>
    <row r="2184" spans="3:78" ht="20.100000000000001" customHeight="1">
      <c r="C2184" s="32">
        <v>80004001</v>
      </c>
      <c r="D2184" s="71" t="s">
        <v>4946</v>
      </c>
      <c r="E2184" s="71" t="s">
        <v>4947</v>
      </c>
      <c r="F2184" s="21">
        <v>1</v>
      </c>
      <c r="G2184" s="32">
        <v>80004001</v>
      </c>
      <c r="H2184" s="72">
        <v>0</v>
      </c>
      <c r="I2184" s="31">
        <v>0</v>
      </c>
      <c r="J2184" s="32">
        <v>1</v>
      </c>
      <c r="K2184" s="32">
        <v>0</v>
      </c>
      <c r="L2184" s="32">
        <v>0</v>
      </c>
      <c r="M2184" s="72">
        <v>0</v>
      </c>
      <c r="N2184" s="72">
        <v>0</v>
      </c>
      <c r="O2184" s="72">
        <v>2</v>
      </c>
      <c r="P2184" s="72">
        <v>1</v>
      </c>
      <c r="Q2184" s="72">
        <v>0.2</v>
      </c>
      <c r="R2184" s="72">
        <v>0</v>
      </c>
      <c r="S2184" s="19">
        <v>0</v>
      </c>
      <c r="T2184" s="72">
        <v>0</v>
      </c>
      <c r="U2184" s="21">
        <v>1</v>
      </c>
      <c r="V2184" s="72">
        <v>2</v>
      </c>
      <c r="W2184" s="72">
        <v>0</v>
      </c>
      <c r="X2184" s="72">
        <v>0</v>
      </c>
      <c r="Y2184" s="19">
        <v>0</v>
      </c>
      <c r="Z2184" s="72">
        <v>0</v>
      </c>
      <c r="AA2184" s="72">
        <v>0</v>
      </c>
      <c r="AB2184" s="72">
        <v>0</v>
      </c>
      <c r="AC2184" s="72">
        <v>0</v>
      </c>
      <c r="AD2184" s="72">
        <v>0</v>
      </c>
      <c r="AE2184" s="72">
        <v>0</v>
      </c>
      <c r="AF2184" s="72">
        <v>15</v>
      </c>
      <c r="AG2184" s="72">
        <v>1</v>
      </c>
      <c r="AH2184" s="72">
        <v>3</v>
      </c>
      <c r="AI2184" s="19">
        <v>0</v>
      </c>
      <c r="AJ2184" s="19">
        <v>0</v>
      </c>
      <c r="AK2184" s="19">
        <v>0</v>
      </c>
      <c r="AL2184" s="73">
        <v>6</v>
      </c>
      <c r="AM2184" s="72">
        <v>0</v>
      </c>
      <c r="AN2184" s="72">
        <v>0</v>
      </c>
      <c r="AO2184" s="72">
        <v>0</v>
      </c>
      <c r="AP2184" s="72">
        <v>0.5</v>
      </c>
      <c r="AQ2184" s="72">
        <v>3000</v>
      </c>
      <c r="AR2184" s="72">
        <v>0.5</v>
      </c>
      <c r="AS2184" s="72">
        <v>0</v>
      </c>
      <c r="AT2184" s="19">
        <v>0</v>
      </c>
      <c r="AU2184" s="72">
        <v>93000201</v>
      </c>
      <c r="AV2184" s="72"/>
      <c r="AW2184" s="71" t="s">
        <v>293</v>
      </c>
      <c r="AX2184" s="21">
        <v>0</v>
      </c>
      <c r="AY2184" s="74">
        <v>10000007</v>
      </c>
      <c r="AZ2184" s="32">
        <v>23000050</v>
      </c>
      <c r="BA2184" s="71" t="s">
        <v>206</v>
      </c>
      <c r="BB2184" s="72">
        <v>0</v>
      </c>
      <c r="BC2184" s="75">
        <v>0</v>
      </c>
      <c r="BD2184" s="31">
        <v>0</v>
      </c>
      <c r="BE2184" s="33" t="s">
        <v>4948</v>
      </c>
      <c r="BF2184" s="33" t="s">
        <v>4949</v>
      </c>
      <c r="BG2184" s="72">
        <v>0</v>
      </c>
      <c r="BH2184" s="21">
        <v>0</v>
      </c>
      <c r="BI2184" s="72">
        <v>0</v>
      </c>
      <c r="BJ2184" s="72">
        <v>0</v>
      </c>
      <c r="BK2184" s="72">
        <v>0</v>
      </c>
      <c r="BL2184" s="72">
        <v>0</v>
      </c>
      <c r="BM2184" s="21">
        <v>0</v>
      </c>
      <c r="BN2184" s="19">
        <v>0</v>
      </c>
      <c r="BO2184" s="19">
        <v>0</v>
      </c>
      <c r="BP2184" s="19">
        <v>0</v>
      </c>
      <c r="BQ2184" s="19">
        <v>0</v>
      </c>
      <c r="BR2184" s="19">
        <v>0</v>
      </c>
      <c r="BS2184" s="19">
        <v>0</v>
      </c>
      <c r="BT2184" s="19">
        <v>0</v>
      </c>
      <c r="BU2184" s="23">
        <v>0</v>
      </c>
      <c r="BV2184" s="23"/>
      <c r="BW2184" s="23"/>
      <c r="BX2184" s="23"/>
      <c r="BY2184" s="23"/>
      <c r="BZ2184" s="23"/>
    </row>
    <row r="2185" spans="3:78" ht="19.5" customHeight="1">
      <c r="C2185" s="32">
        <v>80004002</v>
      </c>
      <c r="D2185" s="30" t="s">
        <v>4950</v>
      </c>
      <c r="E2185" s="30" t="s">
        <v>4951</v>
      </c>
      <c r="F2185" s="32">
        <v>1</v>
      </c>
      <c r="G2185" s="32">
        <v>80004002</v>
      </c>
      <c r="H2185" s="32">
        <v>0</v>
      </c>
      <c r="I2185" s="31">
        <v>0</v>
      </c>
      <c r="J2185" s="32">
        <v>1</v>
      </c>
      <c r="K2185" s="32">
        <v>0</v>
      </c>
      <c r="L2185" s="32">
        <v>0</v>
      </c>
      <c r="M2185" s="21">
        <v>0</v>
      </c>
      <c r="N2185" s="21">
        <v>0</v>
      </c>
      <c r="O2185" s="21">
        <v>2</v>
      </c>
      <c r="P2185" s="21">
        <v>1</v>
      </c>
      <c r="Q2185" s="21">
        <v>1</v>
      </c>
      <c r="R2185" s="21">
        <v>0</v>
      </c>
      <c r="S2185" s="19">
        <v>0</v>
      </c>
      <c r="T2185" s="21">
        <v>0</v>
      </c>
      <c r="U2185" s="21">
        <v>1</v>
      </c>
      <c r="V2185" s="21">
        <v>2</v>
      </c>
      <c r="W2185" s="21">
        <v>0</v>
      </c>
      <c r="X2185" s="21">
        <v>1.2</v>
      </c>
      <c r="Y2185" s="19">
        <v>0</v>
      </c>
      <c r="Z2185" s="21">
        <v>0</v>
      </c>
      <c r="AA2185" s="21">
        <v>1</v>
      </c>
      <c r="AB2185" s="21">
        <v>0</v>
      </c>
      <c r="AC2185" s="21">
        <v>0</v>
      </c>
      <c r="AD2185" s="21">
        <v>0</v>
      </c>
      <c r="AE2185" s="21">
        <v>0</v>
      </c>
      <c r="AF2185" s="21">
        <v>3</v>
      </c>
      <c r="AG2185" s="21">
        <v>1</v>
      </c>
      <c r="AH2185" s="21" t="s">
        <v>613</v>
      </c>
      <c r="AI2185" s="19">
        <v>0</v>
      </c>
      <c r="AJ2185" s="19">
        <v>1</v>
      </c>
      <c r="AK2185" s="19">
        <v>0</v>
      </c>
      <c r="AL2185" s="19">
        <v>3</v>
      </c>
      <c r="AM2185" s="21">
        <v>0</v>
      </c>
      <c r="AN2185" s="21">
        <v>0</v>
      </c>
      <c r="AO2185" s="21">
        <v>0</v>
      </c>
      <c r="AP2185" s="21">
        <v>0.5</v>
      </c>
      <c r="AQ2185" s="21">
        <v>5000</v>
      </c>
      <c r="AR2185" s="21">
        <v>0.5</v>
      </c>
      <c r="AS2185" s="21">
        <v>0</v>
      </c>
      <c r="AT2185" s="19">
        <v>0</v>
      </c>
      <c r="AU2185" s="21" t="s">
        <v>665</v>
      </c>
      <c r="AV2185" s="21"/>
      <c r="AW2185" s="35" t="s">
        <v>262</v>
      </c>
      <c r="AX2185" s="21">
        <v>0</v>
      </c>
      <c r="AY2185" s="32">
        <v>10000007</v>
      </c>
      <c r="AZ2185" s="32">
        <v>70403003</v>
      </c>
      <c r="BA2185" s="30" t="s">
        <v>206</v>
      </c>
      <c r="BB2185" s="21">
        <v>0</v>
      </c>
      <c r="BC2185" s="31">
        <v>0</v>
      </c>
      <c r="BD2185" s="31">
        <v>0</v>
      </c>
      <c r="BE2185" s="33" t="s">
        <v>4952</v>
      </c>
      <c r="BF2185" s="33" t="s">
        <v>4953</v>
      </c>
      <c r="BG2185" s="21">
        <v>0</v>
      </c>
      <c r="BH2185" s="21">
        <v>0</v>
      </c>
      <c r="BI2185" s="21">
        <v>0</v>
      </c>
      <c r="BJ2185" s="21">
        <v>0</v>
      </c>
      <c r="BK2185" s="21">
        <v>0</v>
      </c>
      <c r="BL2185" s="21">
        <v>0</v>
      </c>
      <c r="BM2185" s="25">
        <v>0</v>
      </c>
      <c r="BN2185" s="19">
        <v>0</v>
      </c>
      <c r="BO2185" s="19">
        <v>0</v>
      </c>
      <c r="BP2185" s="19">
        <v>0</v>
      </c>
      <c r="BQ2185" s="19">
        <v>0</v>
      </c>
      <c r="BR2185" s="19">
        <v>0</v>
      </c>
      <c r="BS2185" s="19">
        <v>0</v>
      </c>
      <c r="BT2185" s="19">
        <v>0</v>
      </c>
      <c r="BU2185" s="23">
        <v>0</v>
      </c>
      <c r="BV2185" s="23"/>
      <c r="BW2185" s="23"/>
      <c r="BX2185" s="23"/>
      <c r="BY2185" s="23"/>
      <c r="BZ2185" s="23"/>
    </row>
    <row r="2186" spans="3:78" ht="20.100000000000001" customHeight="1">
      <c r="C2186" s="32">
        <v>80004003</v>
      </c>
      <c r="D2186" s="30" t="s">
        <v>4954</v>
      </c>
      <c r="E2186" s="30" t="s">
        <v>4955</v>
      </c>
      <c r="F2186" s="21">
        <v>1</v>
      </c>
      <c r="G2186" s="32">
        <v>80004003</v>
      </c>
      <c r="H2186" s="21">
        <v>0</v>
      </c>
      <c r="I2186" s="31">
        <v>0</v>
      </c>
      <c r="J2186" s="32">
        <v>1</v>
      </c>
      <c r="K2186" s="32">
        <v>0</v>
      </c>
      <c r="L2186" s="32">
        <v>0</v>
      </c>
      <c r="M2186" s="21">
        <v>0</v>
      </c>
      <c r="N2186" s="21">
        <v>0</v>
      </c>
      <c r="O2186" s="21">
        <v>2</v>
      </c>
      <c r="P2186" s="21">
        <v>1</v>
      </c>
      <c r="Q2186" s="21">
        <v>0.3</v>
      </c>
      <c r="R2186" s="21">
        <v>0</v>
      </c>
      <c r="S2186" s="19">
        <v>0</v>
      </c>
      <c r="T2186" s="21">
        <v>0</v>
      </c>
      <c r="U2186" s="21">
        <v>1</v>
      </c>
      <c r="V2186" s="21">
        <v>2</v>
      </c>
      <c r="W2186" s="21">
        <v>0</v>
      </c>
      <c r="X2186" s="21">
        <v>3</v>
      </c>
      <c r="Y2186" s="19">
        <v>0</v>
      </c>
      <c r="Z2186" s="21">
        <v>0</v>
      </c>
      <c r="AA2186" s="21">
        <v>0</v>
      </c>
      <c r="AB2186" s="21">
        <v>0</v>
      </c>
      <c r="AC2186" s="21">
        <v>0</v>
      </c>
      <c r="AD2186" s="21">
        <v>0</v>
      </c>
      <c r="AE2186" s="21">
        <v>0</v>
      </c>
      <c r="AF2186" s="21">
        <v>6</v>
      </c>
      <c r="AG2186" s="21">
        <v>2</v>
      </c>
      <c r="AH2186" s="21" t="s">
        <v>219</v>
      </c>
      <c r="AI2186" s="19">
        <v>0</v>
      </c>
      <c r="AJ2186" s="19">
        <v>0</v>
      </c>
      <c r="AK2186" s="19">
        <v>0</v>
      </c>
      <c r="AL2186" s="19">
        <v>1.5</v>
      </c>
      <c r="AM2186" s="21">
        <v>0</v>
      </c>
      <c r="AN2186" s="21">
        <v>0</v>
      </c>
      <c r="AO2186" s="21">
        <v>0</v>
      </c>
      <c r="AP2186" s="21">
        <v>0.5</v>
      </c>
      <c r="AQ2186" s="21">
        <v>3000</v>
      </c>
      <c r="AR2186" s="21">
        <v>0.5</v>
      </c>
      <c r="AS2186" s="21">
        <v>0</v>
      </c>
      <c r="AT2186" s="19">
        <v>0</v>
      </c>
      <c r="AU2186" s="21">
        <v>90001021</v>
      </c>
      <c r="AV2186" s="21"/>
      <c r="AW2186" s="30" t="s">
        <v>293</v>
      </c>
      <c r="AX2186" s="21">
        <v>0</v>
      </c>
      <c r="AY2186" s="32">
        <v>10000007</v>
      </c>
      <c r="AZ2186" s="32">
        <v>23000070</v>
      </c>
      <c r="BA2186" s="30" t="s">
        <v>206</v>
      </c>
      <c r="BB2186" s="21">
        <v>0</v>
      </c>
      <c r="BC2186" s="31">
        <v>0</v>
      </c>
      <c r="BD2186" s="31">
        <v>0</v>
      </c>
      <c r="BE2186" s="33" t="s">
        <v>4956</v>
      </c>
      <c r="BF2186" s="33" t="s">
        <v>4957</v>
      </c>
      <c r="BG2186" s="21">
        <v>0</v>
      </c>
      <c r="BH2186" s="21">
        <v>0</v>
      </c>
      <c r="BI2186" s="21">
        <v>0</v>
      </c>
      <c r="BJ2186" s="21">
        <v>0</v>
      </c>
      <c r="BK2186" s="21">
        <v>0</v>
      </c>
      <c r="BL2186" s="21">
        <v>0</v>
      </c>
      <c r="BM2186" s="21">
        <v>0</v>
      </c>
      <c r="BN2186" s="19">
        <v>0</v>
      </c>
      <c r="BO2186" s="19">
        <v>0</v>
      </c>
      <c r="BP2186" s="19">
        <v>0</v>
      </c>
      <c r="BQ2186" s="19">
        <v>0</v>
      </c>
      <c r="BR2186" s="19">
        <v>0</v>
      </c>
      <c r="BS2186" s="19">
        <v>0</v>
      </c>
      <c r="BT2186" s="19">
        <v>0</v>
      </c>
      <c r="BU2186" s="23">
        <v>0</v>
      </c>
      <c r="BV2186" s="23"/>
      <c r="BW2186" s="23"/>
      <c r="BX2186" s="23"/>
      <c r="BY2186" s="23"/>
      <c r="BZ2186" s="23"/>
    </row>
    <row r="2187" spans="3:78" ht="20.100000000000001" customHeight="1">
      <c r="C2187" s="32">
        <v>80004004</v>
      </c>
      <c r="D2187" s="30" t="s">
        <v>4958</v>
      </c>
      <c r="E2187" s="30" t="s">
        <v>4959</v>
      </c>
      <c r="F2187" s="21">
        <v>1</v>
      </c>
      <c r="G2187" s="21">
        <v>80004004</v>
      </c>
      <c r="H2187" s="32">
        <v>0</v>
      </c>
      <c r="I2187" s="31">
        <v>0</v>
      </c>
      <c r="J2187" s="32">
        <v>1</v>
      </c>
      <c r="K2187" s="32">
        <v>0</v>
      </c>
      <c r="L2187" s="32">
        <v>0</v>
      </c>
      <c r="M2187" s="21">
        <v>0</v>
      </c>
      <c r="N2187" s="21">
        <v>0</v>
      </c>
      <c r="O2187" s="21">
        <v>5</v>
      </c>
      <c r="P2187" s="21">
        <v>0</v>
      </c>
      <c r="Q2187" s="21">
        <v>0</v>
      </c>
      <c r="R2187" s="21">
        <v>0</v>
      </c>
      <c r="S2187" s="19">
        <v>0</v>
      </c>
      <c r="T2187" s="21">
        <v>0</v>
      </c>
      <c r="U2187" s="21">
        <v>1</v>
      </c>
      <c r="V2187" s="21">
        <v>2</v>
      </c>
      <c r="W2187" s="21">
        <v>0</v>
      </c>
      <c r="X2187" s="21">
        <v>0</v>
      </c>
      <c r="Y2187" s="19">
        <v>0</v>
      </c>
      <c r="Z2187" s="21">
        <v>0</v>
      </c>
      <c r="AA2187" s="21">
        <v>0</v>
      </c>
      <c r="AB2187" s="21">
        <v>0</v>
      </c>
      <c r="AC2187" s="21">
        <v>0</v>
      </c>
      <c r="AD2187" s="21">
        <v>0</v>
      </c>
      <c r="AE2187" s="21">
        <v>0</v>
      </c>
      <c r="AF2187" s="21">
        <v>9</v>
      </c>
      <c r="AG2187" s="21">
        <v>2</v>
      </c>
      <c r="AH2187" s="21" t="s">
        <v>219</v>
      </c>
      <c r="AI2187" s="19">
        <v>2</v>
      </c>
      <c r="AJ2187" s="19">
        <v>2</v>
      </c>
      <c r="AK2187" s="19">
        <v>0</v>
      </c>
      <c r="AL2187" s="19">
        <v>1.5</v>
      </c>
      <c r="AM2187" s="21">
        <v>0</v>
      </c>
      <c r="AN2187" s="21">
        <v>0</v>
      </c>
      <c r="AO2187" s="21">
        <v>0</v>
      </c>
      <c r="AP2187" s="21">
        <v>1</v>
      </c>
      <c r="AQ2187" s="21">
        <v>3000</v>
      </c>
      <c r="AR2187" s="21">
        <v>0.5</v>
      </c>
      <c r="AS2187" s="21">
        <v>0</v>
      </c>
      <c r="AT2187" s="19">
        <v>0</v>
      </c>
      <c r="AU2187" s="21" t="s">
        <v>204</v>
      </c>
      <c r="AV2187" s="21"/>
      <c r="AW2187" s="30" t="s">
        <v>205</v>
      </c>
      <c r="AX2187" s="21">
        <v>0</v>
      </c>
      <c r="AY2187" s="32">
        <v>0</v>
      </c>
      <c r="AZ2187" s="32">
        <v>0</v>
      </c>
      <c r="BA2187" s="30" t="s">
        <v>206</v>
      </c>
      <c r="BB2187" s="21" t="s">
        <v>4960</v>
      </c>
      <c r="BC2187" s="31">
        <v>0</v>
      </c>
      <c r="BD2187" s="31">
        <v>0</v>
      </c>
      <c r="BE2187" s="33" t="s">
        <v>4961</v>
      </c>
      <c r="BF2187" s="33" t="s">
        <v>4962</v>
      </c>
      <c r="BG2187" s="21"/>
      <c r="BH2187" s="21">
        <v>0</v>
      </c>
      <c r="BI2187" s="21"/>
      <c r="BJ2187" s="21"/>
      <c r="BK2187" s="21"/>
      <c r="BL2187" s="32"/>
      <c r="BM2187" s="21">
        <v>0</v>
      </c>
      <c r="BN2187" s="19">
        <v>0</v>
      </c>
      <c r="BO2187" s="19">
        <v>0</v>
      </c>
      <c r="BP2187" s="19">
        <v>0</v>
      </c>
      <c r="BQ2187" s="19">
        <v>0</v>
      </c>
      <c r="BR2187" s="19">
        <v>0</v>
      </c>
      <c r="BS2187" s="19">
        <v>0</v>
      </c>
      <c r="BT2187" s="19">
        <v>0</v>
      </c>
      <c r="BU2187" s="23">
        <v>0</v>
      </c>
      <c r="BV2187" s="23"/>
      <c r="BW2187" s="23"/>
      <c r="BX2187" s="23"/>
      <c r="BY2187" s="23"/>
      <c r="BZ2187" s="23"/>
    </row>
    <row r="2188" spans="3:78" ht="19.5" customHeight="1">
      <c r="C2188" s="74">
        <v>80004005</v>
      </c>
      <c r="D2188" s="71" t="s">
        <v>4946</v>
      </c>
      <c r="E2188" s="71" t="s">
        <v>4947</v>
      </c>
      <c r="F2188" s="74">
        <v>1</v>
      </c>
      <c r="G2188" s="74">
        <v>80004005</v>
      </c>
      <c r="H2188" s="74">
        <v>0</v>
      </c>
      <c r="I2188" s="75">
        <v>0</v>
      </c>
      <c r="J2188" s="74">
        <v>1</v>
      </c>
      <c r="K2188" s="74">
        <v>0</v>
      </c>
      <c r="L2188" s="74">
        <v>0</v>
      </c>
      <c r="M2188" s="72">
        <v>0</v>
      </c>
      <c r="N2188" s="72">
        <v>0</v>
      </c>
      <c r="O2188" s="72">
        <v>2</v>
      </c>
      <c r="P2188" s="72">
        <v>3</v>
      </c>
      <c r="Q2188" s="72">
        <v>0.15</v>
      </c>
      <c r="R2188" s="72">
        <v>0</v>
      </c>
      <c r="S2188" s="73">
        <v>0</v>
      </c>
      <c r="T2188" s="72">
        <v>0</v>
      </c>
      <c r="U2188" s="72">
        <v>1</v>
      </c>
      <c r="V2188" s="72">
        <v>2</v>
      </c>
      <c r="W2188" s="72">
        <v>0</v>
      </c>
      <c r="X2188" s="72">
        <v>0</v>
      </c>
      <c r="Y2188" s="19">
        <v>0</v>
      </c>
      <c r="Z2188" s="72">
        <v>0</v>
      </c>
      <c r="AA2188" s="72">
        <v>0</v>
      </c>
      <c r="AB2188" s="72">
        <v>0</v>
      </c>
      <c r="AC2188" s="72">
        <v>0</v>
      </c>
      <c r="AD2188" s="72">
        <v>0</v>
      </c>
      <c r="AE2188" s="72">
        <v>1</v>
      </c>
      <c r="AF2188" s="72">
        <v>16</v>
      </c>
      <c r="AG2188" s="72">
        <v>1</v>
      </c>
      <c r="AH2188" s="72">
        <v>5</v>
      </c>
      <c r="AI2188" s="73">
        <v>0</v>
      </c>
      <c r="AJ2188" s="73">
        <v>1</v>
      </c>
      <c r="AK2188" s="73">
        <v>0</v>
      </c>
      <c r="AL2188" s="73">
        <v>3</v>
      </c>
      <c r="AM2188" s="72">
        <v>0</v>
      </c>
      <c r="AN2188" s="72">
        <v>0</v>
      </c>
      <c r="AO2188" s="72">
        <v>0</v>
      </c>
      <c r="AP2188" s="72">
        <v>0</v>
      </c>
      <c r="AQ2188" s="72">
        <v>5000</v>
      </c>
      <c r="AR2188" s="72">
        <v>0.1</v>
      </c>
      <c r="AS2188" s="72">
        <v>0</v>
      </c>
      <c r="AT2188" s="330" t="s">
        <v>4963</v>
      </c>
      <c r="AU2188" s="93">
        <v>0</v>
      </c>
      <c r="AV2188" s="93"/>
      <c r="AW2188" s="71" t="s">
        <v>204</v>
      </c>
      <c r="AX2188" s="72">
        <v>0</v>
      </c>
      <c r="AY2188" s="74">
        <v>0</v>
      </c>
      <c r="AZ2188" s="74">
        <v>0</v>
      </c>
      <c r="BA2188" s="71" t="s">
        <v>206</v>
      </c>
      <c r="BB2188" s="72">
        <v>0</v>
      </c>
      <c r="BC2188" s="75">
        <v>0</v>
      </c>
      <c r="BD2188" s="75">
        <v>0</v>
      </c>
      <c r="BE2188" s="76" t="s">
        <v>4964</v>
      </c>
      <c r="BF2188" s="76" t="s">
        <v>4965</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80004006</v>
      </c>
      <c r="D2189" s="71" t="s">
        <v>4966</v>
      </c>
      <c r="E2189" s="71" t="s">
        <v>4967</v>
      </c>
      <c r="F2189" s="74">
        <v>1</v>
      </c>
      <c r="G2189" s="74">
        <v>80004006</v>
      </c>
      <c r="H2189" s="74">
        <v>0</v>
      </c>
      <c r="I2189" s="75">
        <v>0</v>
      </c>
      <c r="J2189" s="74">
        <v>1</v>
      </c>
      <c r="K2189" s="74">
        <v>0</v>
      </c>
      <c r="L2189" s="74">
        <v>0</v>
      </c>
      <c r="M2189" s="72">
        <v>0</v>
      </c>
      <c r="N2189" s="72">
        <v>0</v>
      </c>
      <c r="O2189" s="72">
        <v>2</v>
      </c>
      <c r="P2189" s="72">
        <v>1</v>
      </c>
      <c r="Q2189" s="72">
        <v>0.15</v>
      </c>
      <c r="R2189" s="72">
        <v>0</v>
      </c>
      <c r="S2189" s="73">
        <v>0</v>
      </c>
      <c r="T2189" s="72">
        <v>0</v>
      </c>
      <c r="U2189" s="72">
        <v>1</v>
      </c>
      <c r="V2189" s="72">
        <v>2</v>
      </c>
      <c r="W2189" s="72">
        <v>0</v>
      </c>
      <c r="X2189" s="72">
        <v>1.5</v>
      </c>
      <c r="Y2189" s="19">
        <v>0</v>
      </c>
      <c r="Z2189" s="72">
        <v>0</v>
      </c>
      <c r="AA2189" s="72">
        <v>1</v>
      </c>
      <c r="AB2189" s="72">
        <v>0</v>
      </c>
      <c r="AC2189" s="72">
        <v>0</v>
      </c>
      <c r="AD2189" s="72">
        <v>0</v>
      </c>
      <c r="AE2189" s="72">
        <v>1</v>
      </c>
      <c r="AF2189" s="72">
        <v>0</v>
      </c>
      <c r="AG2189" s="72">
        <v>1</v>
      </c>
      <c r="AH2189" s="72">
        <v>6</v>
      </c>
      <c r="AI2189" s="73">
        <v>0</v>
      </c>
      <c r="AJ2189" s="73">
        <v>1</v>
      </c>
      <c r="AK2189" s="73">
        <v>0</v>
      </c>
      <c r="AL2189" s="73">
        <v>3</v>
      </c>
      <c r="AM2189" s="72">
        <v>0</v>
      </c>
      <c r="AN2189" s="72">
        <v>0</v>
      </c>
      <c r="AO2189" s="72">
        <v>0</v>
      </c>
      <c r="AP2189" s="72">
        <v>0</v>
      </c>
      <c r="AQ2189" s="72">
        <v>3000</v>
      </c>
      <c r="AR2189" s="72">
        <v>0.2</v>
      </c>
      <c r="AS2189" s="72">
        <v>0</v>
      </c>
      <c r="AT2189" s="73">
        <v>0</v>
      </c>
      <c r="AU2189" s="72">
        <v>80005106</v>
      </c>
      <c r="AV2189" s="72"/>
      <c r="AW2189" s="71" t="s">
        <v>205</v>
      </c>
      <c r="AX2189" s="72">
        <v>0</v>
      </c>
      <c r="AY2189" s="74">
        <v>0</v>
      </c>
      <c r="AZ2189" s="74">
        <v>23000201</v>
      </c>
      <c r="BA2189" s="71" t="s">
        <v>206</v>
      </c>
      <c r="BB2189" s="72">
        <v>0</v>
      </c>
      <c r="BC2189" s="75">
        <v>0</v>
      </c>
      <c r="BD2189" s="75">
        <v>0</v>
      </c>
      <c r="BE2189" s="76" t="s">
        <v>4968</v>
      </c>
      <c r="BF2189" s="76" t="s">
        <v>4969</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19.5" customHeight="1">
      <c r="C2190" s="74">
        <v>80004007</v>
      </c>
      <c r="D2190" s="71" t="s">
        <v>4970</v>
      </c>
      <c r="E2190" s="71" t="s">
        <v>4971</v>
      </c>
      <c r="F2190" s="74">
        <v>1</v>
      </c>
      <c r="G2190" s="72">
        <v>60010100</v>
      </c>
      <c r="H2190" s="74">
        <v>0</v>
      </c>
      <c r="I2190" s="75">
        <v>0</v>
      </c>
      <c r="J2190" s="74">
        <v>1</v>
      </c>
      <c r="K2190" s="74">
        <v>0</v>
      </c>
      <c r="L2190" s="74">
        <v>0</v>
      </c>
      <c r="M2190" s="72">
        <v>0</v>
      </c>
      <c r="N2190" s="72">
        <v>0</v>
      </c>
      <c r="O2190" s="72">
        <v>2</v>
      </c>
      <c r="P2190" s="72">
        <v>3</v>
      </c>
      <c r="Q2190" s="72">
        <v>0.15</v>
      </c>
      <c r="R2190" s="72">
        <v>0</v>
      </c>
      <c r="S2190" s="73">
        <v>0</v>
      </c>
      <c r="T2190" s="72">
        <v>0</v>
      </c>
      <c r="U2190" s="72">
        <v>1</v>
      </c>
      <c r="V2190" s="72">
        <v>2</v>
      </c>
      <c r="W2190" s="72">
        <v>0</v>
      </c>
      <c r="X2190" s="72">
        <v>0</v>
      </c>
      <c r="Y2190" s="19">
        <v>0</v>
      </c>
      <c r="Z2190" s="72">
        <v>0</v>
      </c>
      <c r="AA2190" s="72">
        <v>0</v>
      </c>
      <c r="AB2190" s="72">
        <v>0</v>
      </c>
      <c r="AC2190" s="72">
        <v>0</v>
      </c>
      <c r="AD2190" s="72">
        <v>0</v>
      </c>
      <c r="AE2190" s="72">
        <v>1</v>
      </c>
      <c r="AF2190" s="72">
        <v>0</v>
      </c>
      <c r="AG2190" s="72">
        <v>1</v>
      </c>
      <c r="AH2190" s="72">
        <v>5</v>
      </c>
      <c r="AI2190" s="73">
        <v>0</v>
      </c>
      <c r="AJ2190" s="73">
        <v>1</v>
      </c>
      <c r="AK2190" s="73">
        <v>0</v>
      </c>
      <c r="AL2190" s="73">
        <v>3</v>
      </c>
      <c r="AM2190" s="72">
        <v>0</v>
      </c>
      <c r="AN2190" s="72">
        <v>0</v>
      </c>
      <c r="AO2190" s="72">
        <v>0</v>
      </c>
      <c r="AP2190" s="72">
        <v>1</v>
      </c>
      <c r="AQ2190" s="72">
        <v>1000</v>
      </c>
      <c r="AR2190" s="72">
        <v>0</v>
      </c>
      <c r="AS2190" s="72">
        <v>0</v>
      </c>
      <c r="AT2190" s="92">
        <v>0</v>
      </c>
      <c r="AU2190" s="322" t="s">
        <v>4972</v>
      </c>
      <c r="AV2190" s="93"/>
      <c r="AW2190" s="71" t="s">
        <v>293</v>
      </c>
      <c r="AX2190" s="72">
        <v>0</v>
      </c>
      <c r="AY2190" s="74">
        <v>0</v>
      </c>
      <c r="AZ2190" s="74">
        <v>23000202</v>
      </c>
      <c r="BA2190" s="71" t="s">
        <v>206</v>
      </c>
      <c r="BB2190" s="72">
        <v>0</v>
      </c>
      <c r="BC2190" s="75">
        <v>0</v>
      </c>
      <c r="BD2190" s="75">
        <v>0</v>
      </c>
      <c r="BE2190" s="76" t="s">
        <v>4973</v>
      </c>
      <c r="BF2190" s="76" t="s">
        <v>4974</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19.5" customHeight="1">
      <c r="C2191" s="74">
        <v>80004008</v>
      </c>
      <c r="D2191" s="71" t="s">
        <v>4975</v>
      </c>
      <c r="E2191" s="71" t="s">
        <v>4976</v>
      </c>
      <c r="F2191" s="74">
        <v>1</v>
      </c>
      <c r="G2191" s="74">
        <v>80004008</v>
      </c>
      <c r="H2191" s="74">
        <v>0</v>
      </c>
      <c r="I2191" s="75">
        <v>0</v>
      </c>
      <c r="J2191" s="74">
        <v>1</v>
      </c>
      <c r="K2191" s="74">
        <v>0</v>
      </c>
      <c r="L2191" s="74">
        <v>0</v>
      </c>
      <c r="M2191" s="72">
        <v>0</v>
      </c>
      <c r="N2191" s="72">
        <v>0</v>
      </c>
      <c r="O2191" s="72">
        <v>2</v>
      </c>
      <c r="P2191" s="72" t="s">
        <v>4977</v>
      </c>
      <c r="Q2191" s="72" t="s">
        <v>4978</v>
      </c>
      <c r="R2191" s="72">
        <v>0</v>
      </c>
      <c r="S2191" s="73">
        <v>0</v>
      </c>
      <c r="T2191" s="72">
        <v>0</v>
      </c>
      <c r="U2191" s="72">
        <v>1</v>
      </c>
      <c r="V2191" s="72">
        <v>2</v>
      </c>
      <c r="W2191" s="72">
        <v>0</v>
      </c>
      <c r="X2191" s="72">
        <v>0</v>
      </c>
      <c r="Y2191" s="19">
        <v>0</v>
      </c>
      <c r="Z2191" s="72">
        <v>0</v>
      </c>
      <c r="AA2191" s="72">
        <v>1</v>
      </c>
      <c r="AB2191" s="72">
        <v>0</v>
      </c>
      <c r="AC2191" s="72">
        <v>0</v>
      </c>
      <c r="AD2191" s="72">
        <v>0</v>
      </c>
      <c r="AE2191" s="72">
        <v>1</v>
      </c>
      <c r="AF2191" s="72">
        <v>8</v>
      </c>
      <c r="AG2191" s="72">
        <v>1</v>
      </c>
      <c r="AH2191" s="72">
        <v>6</v>
      </c>
      <c r="AI2191" s="73">
        <v>0</v>
      </c>
      <c r="AJ2191" s="73">
        <v>1</v>
      </c>
      <c r="AK2191" s="73">
        <v>0</v>
      </c>
      <c r="AL2191" s="73">
        <v>3</v>
      </c>
      <c r="AM2191" s="72">
        <v>0</v>
      </c>
      <c r="AN2191" s="72">
        <v>0</v>
      </c>
      <c r="AO2191" s="72">
        <v>0</v>
      </c>
      <c r="AP2191" s="72">
        <v>0</v>
      </c>
      <c r="AQ2191" s="72">
        <v>1000</v>
      </c>
      <c r="AR2191" s="72">
        <v>0</v>
      </c>
      <c r="AS2191" s="72">
        <v>0</v>
      </c>
      <c r="AT2191" s="321" t="s">
        <v>4979</v>
      </c>
      <c r="AU2191" s="322" t="s">
        <v>4980</v>
      </c>
      <c r="AV2191" s="93"/>
      <c r="AW2191" s="71" t="s">
        <v>293</v>
      </c>
      <c r="AX2191" s="72">
        <v>0</v>
      </c>
      <c r="AY2191" s="74">
        <v>0</v>
      </c>
      <c r="AZ2191" s="74">
        <v>23000211</v>
      </c>
      <c r="BA2191" s="71" t="s">
        <v>206</v>
      </c>
      <c r="BB2191" s="72">
        <v>0</v>
      </c>
      <c r="BC2191" s="75">
        <v>0</v>
      </c>
      <c r="BD2191" s="75">
        <v>0</v>
      </c>
      <c r="BE2191" s="76" t="s">
        <v>4981</v>
      </c>
      <c r="BF2191" s="76" t="s">
        <v>4982</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19.5" customHeight="1">
      <c r="C2192" s="74">
        <v>80004009</v>
      </c>
      <c r="D2192" s="71" t="s">
        <v>4983</v>
      </c>
      <c r="E2192" s="71" t="s">
        <v>4984</v>
      </c>
      <c r="F2192" s="74">
        <v>1</v>
      </c>
      <c r="G2192" s="74">
        <v>80004009</v>
      </c>
      <c r="H2192" s="74">
        <v>0</v>
      </c>
      <c r="I2192" s="75">
        <v>0</v>
      </c>
      <c r="J2192" s="74">
        <v>1</v>
      </c>
      <c r="K2192" s="74">
        <v>0</v>
      </c>
      <c r="L2192" s="74">
        <v>0</v>
      </c>
      <c r="M2192" s="72">
        <v>0</v>
      </c>
      <c r="N2192" s="72">
        <v>0</v>
      </c>
      <c r="O2192" s="72">
        <v>2</v>
      </c>
      <c r="P2192" s="72">
        <v>16</v>
      </c>
      <c r="Q2192" s="72">
        <v>5</v>
      </c>
      <c r="R2192" s="72">
        <v>0</v>
      </c>
      <c r="S2192" s="73">
        <v>0</v>
      </c>
      <c r="T2192" s="72">
        <v>0</v>
      </c>
      <c r="U2192" s="72">
        <v>1</v>
      </c>
      <c r="V2192" s="72">
        <v>2</v>
      </c>
      <c r="W2192" s="72">
        <v>0</v>
      </c>
      <c r="X2192" s="72">
        <v>1.2</v>
      </c>
      <c r="Y2192" s="19">
        <v>0</v>
      </c>
      <c r="Z2192" s="72">
        <v>0</v>
      </c>
      <c r="AA2192" s="72">
        <v>1</v>
      </c>
      <c r="AB2192" s="72">
        <v>0</v>
      </c>
      <c r="AC2192" s="72">
        <v>0</v>
      </c>
      <c r="AD2192" s="72">
        <v>0</v>
      </c>
      <c r="AE2192" s="72">
        <v>1</v>
      </c>
      <c r="AF2192" s="72">
        <v>0</v>
      </c>
      <c r="AG2192" s="72">
        <v>1</v>
      </c>
      <c r="AH2192" s="72">
        <v>2</v>
      </c>
      <c r="AI2192" s="73">
        <v>0</v>
      </c>
      <c r="AJ2192" s="73">
        <v>2</v>
      </c>
      <c r="AK2192" s="73">
        <v>0</v>
      </c>
      <c r="AL2192" s="73">
        <v>2</v>
      </c>
      <c r="AM2192" s="72">
        <v>0</v>
      </c>
      <c r="AN2192" s="72">
        <v>0</v>
      </c>
      <c r="AO2192" s="72">
        <v>0</v>
      </c>
      <c r="AP2192" s="72">
        <v>2</v>
      </c>
      <c r="AQ2192" s="72">
        <v>8000</v>
      </c>
      <c r="AR2192" s="72">
        <v>0</v>
      </c>
      <c r="AS2192" s="72">
        <v>10</v>
      </c>
      <c r="AT2192" s="92">
        <v>0</v>
      </c>
      <c r="AU2192" s="322" t="s">
        <v>204</v>
      </c>
      <c r="AV2192" s="93"/>
      <c r="AW2192" s="71" t="s">
        <v>205</v>
      </c>
      <c r="AX2192" s="72" t="s">
        <v>540</v>
      </c>
      <c r="AY2192" s="74">
        <v>10000007</v>
      </c>
      <c r="AZ2192" s="74">
        <v>23000212</v>
      </c>
      <c r="BA2192" s="71" t="s">
        <v>592</v>
      </c>
      <c r="BB2192" s="72" t="s">
        <v>1324</v>
      </c>
      <c r="BC2192" s="75">
        <v>0</v>
      </c>
      <c r="BD2192" s="75">
        <v>1</v>
      </c>
      <c r="BE2192" s="76" t="s">
        <v>1312</v>
      </c>
      <c r="BF2192" s="76" t="s">
        <v>1313</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80004010</v>
      </c>
      <c r="D2193" s="71" t="s">
        <v>4985</v>
      </c>
      <c r="E2193" s="71" t="s">
        <v>958</v>
      </c>
      <c r="F2193" s="72">
        <v>1</v>
      </c>
      <c r="G2193" s="74">
        <v>80004010</v>
      </c>
      <c r="H2193" s="72">
        <v>0</v>
      </c>
      <c r="I2193" s="75">
        <v>0</v>
      </c>
      <c r="J2193" s="74">
        <v>1</v>
      </c>
      <c r="K2193" s="74">
        <v>0</v>
      </c>
      <c r="L2193" s="74">
        <v>0</v>
      </c>
      <c r="M2193" s="72">
        <v>0</v>
      </c>
      <c r="N2193" s="72">
        <v>0</v>
      </c>
      <c r="O2193" s="72">
        <v>2</v>
      </c>
      <c r="P2193" s="72">
        <v>1</v>
      </c>
      <c r="Q2193" s="72">
        <v>0.2</v>
      </c>
      <c r="R2193" s="72">
        <v>0</v>
      </c>
      <c r="S2193" s="73">
        <v>0</v>
      </c>
      <c r="T2193" s="72">
        <v>0</v>
      </c>
      <c r="U2193" s="72">
        <v>1</v>
      </c>
      <c r="V2193" s="72">
        <v>1</v>
      </c>
      <c r="W2193" s="72">
        <v>0</v>
      </c>
      <c r="X2193" s="72">
        <v>1.2</v>
      </c>
      <c r="Y2193" s="19">
        <v>0</v>
      </c>
      <c r="Z2193" s="72">
        <v>0</v>
      </c>
      <c r="AA2193" s="72">
        <v>1</v>
      </c>
      <c r="AB2193" s="72">
        <v>0</v>
      </c>
      <c r="AC2193" s="72">
        <v>0</v>
      </c>
      <c r="AD2193" s="72">
        <v>0</v>
      </c>
      <c r="AE2193" s="72">
        <v>1</v>
      </c>
      <c r="AF2193" s="72">
        <v>0</v>
      </c>
      <c r="AG2193" s="72">
        <v>2</v>
      </c>
      <c r="AH2193" s="72" t="s">
        <v>219</v>
      </c>
      <c r="AI2193" s="73">
        <v>0</v>
      </c>
      <c r="AJ2193" s="73">
        <v>2</v>
      </c>
      <c r="AK2193" s="73">
        <v>0</v>
      </c>
      <c r="AL2193" s="73">
        <v>1.5</v>
      </c>
      <c r="AM2193" s="72">
        <v>0</v>
      </c>
      <c r="AN2193" s="72">
        <v>0.1</v>
      </c>
      <c r="AO2193" s="72">
        <v>0</v>
      </c>
      <c r="AP2193" s="72">
        <v>0.5</v>
      </c>
      <c r="AQ2193" s="72">
        <v>500</v>
      </c>
      <c r="AR2193" s="72">
        <v>0</v>
      </c>
      <c r="AS2193" s="72">
        <v>15</v>
      </c>
      <c r="AT2193" s="330" t="s">
        <v>4986</v>
      </c>
      <c r="AU2193" s="322" t="s">
        <v>4987</v>
      </c>
      <c r="AV2193" s="93"/>
      <c r="AW2193" s="71" t="s">
        <v>205</v>
      </c>
      <c r="AX2193" s="72" t="s">
        <v>221</v>
      </c>
      <c r="AY2193" s="74">
        <v>10000011</v>
      </c>
      <c r="AZ2193" s="74">
        <v>23000221</v>
      </c>
      <c r="BA2193" s="71" t="s">
        <v>222</v>
      </c>
      <c r="BB2193" s="72">
        <v>0</v>
      </c>
      <c r="BC2193" s="75">
        <v>0</v>
      </c>
      <c r="BD2193" s="75">
        <v>0</v>
      </c>
      <c r="BE2193" s="76" t="s">
        <v>4988</v>
      </c>
      <c r="BF2193" s="76" t="s">
        <v>4989</v>
      </c>
      <c r="BG2193" s="72">
        <v>0</v>
      </c>
      <c r="BH2193" s="72">
        <v>0</v>
      </c>
      <c r="BI2193" s="72">
        <v>0</v>
      </c>
      <c r="BJ2193" s="72">
        <v>0</v>
      </c>
      <c r="BK2193" s="72">
        <v>0</v>
      </c>
      <c r="BL2193" s="72">
        <v>0</v>
      </c>
      <c r="BM2193" s="90">
        <v>0</v>
      </c>
      <c r="BN2193" s="73">
        <v>0</v>
      </c>
      <c r="BO2193" s="73">
        <v>0</v>
      </c>
      <c r="BP2193" s="73">
        <v>0</v>
      </c>
      <c r="BQ2193" s="73">
        <v>0</v>
      </c>
      <c r="BR2193" s="73">
        <v>0</v>
      </c>
      <c r="BS2193" s="73">
        <v>1</v>
      </c>
      <c r="BT2193" s="19">
        <v>0</v>
      </c>
      <c r="BU2193" s="23">
        <v>0</v>
      </c>
      <c r="BV2193" s="23"/>
      <c r="BW2193" s="23"/>
      <c r="BX2193" s="23"/>
      <c r="BY2193" s="23"/>
      <c r="BZ2193" s="23"/>
    </row>
    <row r="2194" spans="3:78" ht="20.100000000000001" customHeight="1">
      <c r="C2194" s="74">
        <v>80004011</v>
      </c>
      <c r="D2194" s="71" t="s">
        <v>4985</v>
      </c>
      <c r="E2194" s="71" t="s">
        <v>958</v>
      </c>
      <c r="F2194" s="72">
        <v>1</v>
      </c>
      <c r="G2194" s="72">
        <v>61012301</v>
      </c>
      <c r="H2194" s="72">
        <v>0</v>
      </c>
      <c r="I2194" s="75">
        <v>0</v>
      </c>
      <c r="J2194" s="74">
        <v>1</v>
      </c>
      <c r="K2194" s="74">
        <v>0</v>
      </c>
      <c r="L2194" s="74">
        <v>0</v>
      </c>
      <c r="M2194" s="72">
        <v>0</v>
      </c>
      <c r="N2194" s="72">
        <v>0</v>
      </c>
      <c r="O2194" s="72">
        <v>2</v>
      </c>
      <c r="P2194" s="72">
        <v>1</v>
      </c>
      <c r="Q2194" s="72">
        <v>0.2</v>
      </c>
      <c r="R2194" s="72">
        <v>0</v>
      </c>
      <c r="S2194" s="73">
        <v>0</v>
      </c>
      <c r="T2194" s="72">
        <v>0</v>
      </c>
      <c r="U2194" s="72">
        <v>1</v>
      </c>
      <c r="V2194" s="72">
        <v>1</v>
      </c>
      <c r="W2194" s="72">
        <v>0</v>
      </c>
      <c r="X2194" s="72">
        <v>1.2</v>
      </c>
      <c r="Y2194" s="19">
        <v>0</v>
      </c>
      <c r="Z2194" s="72">
        <v>0</v>
      </c>
      <c r="AA2194" s="72">
        <v>1</v>
      </c>
      <c r="AB2194" s="72">
        <v>0</v>
      </c>
      <c r="AC2194" s="72">
        <v>0</v>
      </c>
      <c r="AD2194" s="72">
        <v>0</v>
      </c>
      <c r="AE2194" s="72">
        <v>1</v>
      </c>
      <c r="AF2194" s="72">
        <v>0</v>
      </c>
      <c r="AG2194" s="72">
        <v>2</v>
      </c>
      <c r="AH2194" s="72" t="s">
        <v>219</v>
      </c>
      <c r="AI2194" s="73">
        <v>0</v>
      </c>
      <c r="AJ2194" s="73">
        <v>2</v>
      </c>
      <c r="AK2194" s="73">
        <v>0</v>
      </c>
      <c r="AL2194" s="73">
        <v>1.5</v>
      </c>
      <c r="AM2194" s="72">
        <v>0</v>
      </c>
      <c r="AN2194" s="72">
        <v>0.1</v>
      </c>
      <c r="AO2194" s="72">
        <v>0</v>
      </c>
      <c r="AP2194" s="72">
        <v>0.5</v>
      </c>
      <c r="AQ2194" s="72">
        <v>500</v>
      </c>
      <c r="AR2194" s="72">
        <v>0</v>
      </c>
      <c r="AS2194" s="72">
        <v>15</v>
      </c>
      <c r="AT2194" s="330" t="s">
        <v>4990</v>
      </c>
      <c r="AU2194" s="322" t="s">
        <v>4987</v>
      </c>
      <c r="AV2194" s="93"/>
      <c r="AW2194" s="71" t="s">
        <v>205</v>
      </c>
      <c r="AX2194" s="72" t="s">
        <v>221</v>
      </c>
      <c r="AY2194" s="74">
        <v>10000011</v>
      </c>
      <c r="AZ2194" s="74">
        <v>23000221</v>
      </c>
      <c r="BA2194" s="71" t="s">
        <v>222</v>
      </c>
      <c r="BB2194" s="72">
        <v>0</v>
      </c>
      <c r="BC2194" s="75">
        <v>0</v>
      </c>
      <c r="BD2194" s="75">
        <v>0</v>
      </c>
      <c r="BE2194" s="76" t="s">
        <v>4991</v>
      </c>
      <c r="BF2194" s="76" t="s">
        <v>4992</v>
      </c>
      <c r="BG2194" s="72">
        <v>0</v>
      </c>
      <c r="BH2194" s="72">
        <v>0</v>
      </c>
      <c r="BI2194" s="72">
        <v>0</v>
      </c>
      <c r="BJ2194" s="72">
        <v>0</v>
      </c>
      <c r="BK2194" s="72">
        <v>0</v>
      </c>
      <c r="BL2194" s="72">
        <v>0</v>
      </c>
      <c r="BM2194" s="90">
        <v>0</v>
      </c>
      <c r="BN2194" s="73">
        <v>0</v>
      </c>
      <c r="BO2194" s="73">
        <v>0</v>
      </c>
      <c r="BP2194" s="73">
        <v>0</v>
      </c>
      <c r="BQ2194" s="73">
        <v>0</v>
      </c>
      <c r="BR2194" s="73">
        <v>0</v>
      </c>
      <c r="BS2194" s="73">
        <v>1</v>
      </c>
      <c r="BT2194" s="19">
        <v>0</v>
      </c>
      <c r="BU2194" s="23">
        <v>0</v>
      </c>
      <c r="BV2194" s="23"/>
      <c r="BW2194" s="23"/>
      <c r="BX2194" s="23"/>
      <c r="BY2194" s="23"/>
      <c r="BZ2194" s="23"/>
    </row>
    <row r="2195" spans="3:78" ht="19.5" customHeight="1">
      <c r="C2195" s="74">
        <v>80004012</v>
      </c>
      <c r="D2195" s="71" t="s">
        <v>2245</v>
      </c>
      <c r="E2195" s="71" t="s">
        <v>2246</v>
      </c>
      <c r="F2195" s="74">
        <v>1</v>
      </c>
      <c r="G2195" s="72">
        <v>60010100</v>
      </c>
      <c r="H2195" s="74">
        <v>0</v>
      </c>
      <c r="I2195" s="75">
        <v>0</v>
      </c>
      <c r="J2195" s="74">
        <v>1</v>
      </c>
      <c r="K2195" s="74">
        <v>0</v>
      </c>
      <c r="L2195" s="74">
        <v>0</v>
      </c>
      <c r="M2195" s="72">
        <v>0</v>
      </c>
      <c r="N2195" s="72">
        <v>0</v>
      </c>
      <c r="O2195" s="72">
        <v>2</v>
      </c>
      <c r="P2195" s="72">
        <v>1</v>
      </c>
      <c r="Q2195" s="72">
        <v>0.2</v>
      </c>
      <c r="R2195" s="72">
        <v>0</v>
      </c>
      <c r="S2195" s="73">
        <v>0</v>
      </c>
      <c r="T2195" s="72">
        <v>0</v>
      </c>
      <c r="U2195" s="72">
        <v>1</v>
      </c>
      <c r="V2195" s="72">
        <v>1</v>
      </c>
      <c r="W2195" s="72">
        <v>0</v>
      </c>
      <c r="X2195" s="72">
        <v>0.3</v>
      </c>
      <c r="Y2195" s="19">
        <v>0</v>
      </c>
      <c r="Z2195" s="72">
        <v>0</v>
      </c>
      <c r="AA2195" s="72">
        <v>1</v>
      </c>
      <c r="AB2195" s="72">
        <v>0</v>
      </c>
      <c r="AC2195" s="72">
        <v>0</v>
      </c>
      <c r="AD2195" s="72">
        <v>0</v>
      </c>
      <c r="AE2195" s="72">
        <v>1</v>
      </c>
      <c r="AF2195" s="72">
        <v>0</v>
      </c>
      <c r="AG2195" s="72">
        <v>1</v>
      </c>
      <c r="AH2195" s="72" t="s">
        <v>867</v>
      </c>
      <c r="AI2195" s="73">
        <v>0</v>
      </c>
      <c r="AJ2195" s="73">
        <v>0</v>
      </c>
      <c r="AK2195" s="73">
        <v>0</v>
      </c>
      <c r="AL2195" s="73">
        <v>0</v>
      </c>
      <c r="AM2195" s="72">
        <v>0</v>
      </c>
      <c r="AN2195" s="72">
        <v>0</v>
      </c>
      <c r="AO2195" s="72">
        <v>0</v>
      </c>
      <c r="AP2195" s="72">
        <v>0</v>
      </c>
      <c r="AQ2195" s="72">
        <v>5000</v>
      </c>
      <c r="AR2195" s="72">
        <v>0</v>
      </c>
      <c r="AS2195" s="72">
        <v>0</v>
      </c>
      <c r="AT2195" s="73">
        <v>0</v>
      </c>
      <c r="AU2195" s="72">
        <v>80005302</v>
      </c>
      <c r="AV2195" s="72"/>
      <c r="AW2195" s="71" t="s">
        <v>293</v>
      </c>
      <c r="AX2195" s="72" t="s">
        <v>540</v>
      </c>
      <c r="AY2195" s="74">
        <v>10000007</v>
      </c>
      <c r="AZ2195" s="74">
        <v>23000222</v>
      </c>
      <c r="BA2195" s="88" t="s">
        <v>321</v>
      </c>
      <c r="BB2195" s="88" t="s">
        <v>377</v>
      </c>
      <c r="BC2195" s="75">
        <v>0</v>
      </c>
      <c r="BD2195" s="75">
        <v>0</v>
      </c>
      <c r="BE2195" s="76" t="s">
        <v>4993</v>
      </c>
      <c r="BF2195" s="76" t="s">
        <v>4994</v>
      </c>
      <c r="BG2195" s="72">
        <v>0</v>
      </c>
      <c r="BH2195" s="72">
        <v>0</v>
      </c>
      <c r="BI2195" s="72">
        <v>0</v>
      </c>
      <c r="BJ2195" s="72">
        <v>0</v>
      </c>
      <c r="BK2195" s="72">
        <v>0</v>
      </c>
      <c r="BL2195" s="72">
        <v>0</v>
      </c>
      <c r="BM2195" s="90">
        <v>0</v>
      </c>
      <c r="BN2195" s="73">
        <v>0</v>
      </c>
      <c r="BO2195" s="73">
        <v>0</v>
      </c>
      <c r="BP2195" s="73">
        <v>0</v>
      </c>
      <c r="BQ2195" s="73">
        <v>0</v>
      </c>
      <c r="BR2195" s="73">
        <v>0</v>
      </c>
      <c r="BS2195" s="73">
        <v>1</v>
      </c>
      <c r="BT2195" s="19">
        <v>0</v>
      </c>
      <c r="BU2195" s="23">
        <v>0</v>
      </c>
      <c r="BV2195" s="23"/>
      <c r="BW2195" s="23"/>
      <c r="BX2195" s="23"/>
      <c r="BY2195" s="23"/>
      <c r="BZ2195" s="23"/>
    </row>
    <row r="2196" spans="3:78" ht="20.100000000000001" customHeight="1">
      <c r="C2196" s="74">
        <v>80004013</v>
      </c>
      <c r="D2196" s="71" t="s">
        <v>4954</v>
      </c>
      <c r="E2196" s="71" t="s">
        <v>4955</v>
      </c>
      <c r="F2196" s="72">
        <v>1</v>
      </c>
      <c r="G2196" s="74">
        <v>80004013</v>
      </c>
      <c r="H2196" s="72">
        <v>0</v>
      </c>
      <c r="I2196" s="75">
        <v>0</v>
      </c>
      <c r="J2196" s="74">
        <v>1</v>
      </c>
      <c r="K2196" s="74">
        <v>0</v>
      </c>
      <c r="L2196" s="74">
        <v>0</v>
      </c>
      <c r="M2196" s="72">
        <v>0</v>
      </c>
      <c r="N2196" s="72">
        <v>0</v>
      </c>
      <c r="O2196" s="72">
        <v>2</v>
      </c>
      <c r="P2196" s="72">
        <v>1</v>
      </c>
      <c r="Q2196" s="72">
        <v>0.3</v>
      </c>
      <c r="R2196" s="72">
        <v>0</v>
      </c>
      <c r="S2196" s="73">
        <v>0</v>
      </c>
      <c r="T2196" s="72">
        <v>0</v>
      </c>
      <c r="U2196" s="72">
        <v>1</v>
      </c>
      <c r="V2196" s="72">
        <v>1</v>
      </c>
      <c r="W2196" s="72">
        <v>0</v>
      </c>
      <c r="X2196" s="72">
        <v>2</v>
      </c>
      <c r="Y2196" s="19">
        <v>0</v>
      </c>
      <c r="Z2196" s="72">
        <v>0</v>
      </c>
      <c r="AA2196" s="72">
        <v>0</v>
      </c>
      <c r="AB2196" s="72">
        <v>0</v>
      </c>
      <c r="AC2196" s="72">
        <v>0</v>
      </c>
      <c r="AD2196" s="72">
        <v>0</v>
      </c>
      <c r="AE2196" s="72">
        <v>0</v>
      </c>
      <c r="AF2196" s="72">
        <v>6</v>
      </c>
      <c r="AG2196" s="72">
        <v>2</v>
      </c>
      <c r="AH2196" s="72" t="s">
        <v>219</v>
      </c>
      <c r="AI2196" s="73">
        <v>0</v>
      </c>
      <c r="AJ2196" s="73">
        <v>0</v>
      </c>
      <c r="AK2196" s="73">
        <v>0</v>
      </c>
      <c r="AL2196" s="73">
        <v>1.5</v>
      </c>
      <c r="AM2196" s="72">
        <v>0</v>
      </c>
      <c r="AN2196" s="72">
        <v>0</v>
      </c>
      <c r="AO2196" s="72">
        <v>0</v>
      </c>
      <c r="AP2196" s="72">
        <v>0.5</v>
      </c>
      <c r="AQ2196" s="72">
        <v>3000</v>
      </c>
      <c r="AR2196" s="72">
        <v>0.5</v>
      </c>
      <c r="AS2196" s="72">
        <v>0</v>
      </c>
      <c r="AT2196" s="73">
        <v>0</v>
      </c>
      <c r="AU2196" s="72">
        <v>80005305</v>
      </c>
      <c r="AV2196" s="72"/>
      <c r="AW2196" s="71" t="s">
        <v>293</v>
      </c>
      <c r="AX2196" s="72">
        <v>0</v>
      </c>
      <c r="AY2196" s="74">
        <v>10000007</v>
      </c>
      <c r="AZ2196" s="74">
        <v>23000223</v>
      </c>
      <c r="BA2196" s="71" t="s">
        <v>206</v>
      </c>
      <c r="BB2196" s="72">
        <v>0</v>
      </c>
      <c r="BC2196" s="75">
        <v>0</v>
      </c>
      <c r="BD2196" s="75">
        <v>0</v>
      </c>
      <c r="BE2196" s="76" t="s">
        <v>4995</v>
      </c>
      <c r="BF2196" s="76" t="s">
        <v>4996</v>
      </c>
      <c r="BG2196" s="72">
        <v>0</v>
      </c>
      <c r="BH2196" s="72">
        <v>0</v>
      </c>
      <c r="BI2196" s="72">
        <v>0</v>
      </c>
      <c r="BJ2196" s="72">
        <v>0</v>
      </c>
      <c r="BK2196" s="72">
        <v>0</v>
      </c>
      <c r="BL2196" s="72">
        <v>0</v>
      </c>
      <c r="BM2196" s="72">
        <v>0</v>
      </c>
      <c r="BN2196" s="73">
        <v>0</v>
      </c>
      <c r="BO2196" s="73">
        <v>0</v>
      </c>
      <c r="BP2196" s="73">
        <v>0</v>
      </c>
      <c r="BQ2196" s="73">
        <v>0</v>
      </c>
      <c r="BR2196" s="73">
        <v>0</v>
      </c>
      <c r="BS2196" s="73">
        <v>0</v>
      </c>
      <c r="BT2196" s="19">
        <v>0</v>
      </c>
      <c r="BU2196" s="23">
        <v>0</v>
      </c>
      <c r="BV2196" s="23"/>
      <c r="BW2196" s="23"/>
      <c r="BX2196" s="23"/>
      <c r="BY2196" s="23"/>
      <c r="BZ2196" s="23"/>
    </row>
    <row r="2197" spans="3:78" ht="20.100000000000001" customHeight="1">
      <c r="C2197" s="32">
        <v>81000110</v>
      </c>
      <c r="D2197" s="35" t="s">
        <v>1315</v>
      </c>
      <c r="E2197" s="35" t="s">
        <v>1316</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39" t="s">
        <v>4997</v>
      </c>
      <c r="AV2197" s="32"/>
      <c r="AW2197" s="35" t="s">
        <v>205</v>
      </c>
      <c r="AX2197" s="32" t="s">
        <v>540</v>
      </c>
      <c r="AY2197" s="32">
        <v>10000007</v>
      </c>
      <c r="AZ2197" s="32">
        <v>70403003</v>
      </c>
      <c r="BA2197" s="30" t="s">
        <v>1702</v>
      </c>
      <c r="BB2197" s="35">
        <v>0</v>
      </c>
      <c r="BC2197" s="31">
        <v>0</v>
      </c>
      <c r="BD2197" s="31">
        <v>0</v>
      </c>
      <c r="BE2197" s="185" t="s">
        <v>4998</v>
      </c>
      <c r="BF2197" s="185" t="s">
        <v>4999</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c r="BZ2197" s="23"/>
    </row>
    <row r="2198" spans="3:78" ht="19.5" customHeight="1">
      <c r="C2198" s="32">
        <v>81000120</v>
      </c>
      <c r="D2198" s="35" t="s">
        <v>4590</v>
      </c>
      <c r="E2198" s="35" t="s">
        <v>4591</v>
      </c>
      <c r="F2198" s="21">
        <v>1</v>
      </c>
      <c r="G2198" s="32">
        <v>61021301</v>
      </c>
      <c r="H2198" s="32">
        <v>0</v>
      </c>
      <c r="I2198" s="31">
        <v>0</v>
      </c>
      <c r="J2198" s="21">
        <v>1</v>
      </c>
      <c r="K2198" s="32">
        <v>0</v>
      </c>
      <c r="L2198" s="21">
        <v>0</v>
      </c>
      <c r="M2198" s="32">
        <v>0</v>
      </c>
      <c r="N2198" s="32">
        <v>0</v>
      </c>
      <c r="O2198" s="32">
        <v>1</v>
      </c>
      <c r="P2198" s="32">
        <v>0</v>
      </c>
      <c r="Q2198" s="32">
        <v>0</v>
      </c>
      <c r="R2198" s="32">
        <v>0</v>
      </c>
      <c r="S2198" s="19">
        <v>0</v>
      </c>
      <c r="T2198" s="31">
        <v>0</v>
      </c>
      <c r="U2198" s="21">
        <v>1</v>
      </c>
      <c r="V2198" s="32">
        <v>2</v>
      </c>
      <c r="W2198" s="32">
        <v>0</v>
      </c>
      <c r="X2198" s="32">
        <v>0</v>
      </c>
      <c r="Y2198" s="19">
        <v>0</v>
      </c>
      <c r="Z2198" s="32">
        <v>0</v>
      </c>
      <c r="AA2198" s="32">
        <v>1</v>
      </c>
      <c r="AB2198" s="32">
        <v>0</v>
      </c>
      <c r="AC2198" s="32">
        <v>0</v>
      </c>
      <c r="AD2198" s="32">
        <v>0</v>
      </c>
      <c r="AE2198" s="32">
        <v>0</v>
      </c>
      <c r="AF2198" s="32">
        <v>9</v>
      </c>
      <c r="AG2198" s="32">
        <v>2</v>
      </c>
      <c r="AH2198" s="32" t="s">
        <v>1713</v>
      </c>
      <c r="AI2198" s="19">
        <v>2</v>
      </c>
      <c r="AJ2198" s="19">
        <v>3</v>
      </c>
      <c r="AK2198" s="19">
        <v>0</v>
      </c>
      <c r="AL2198" s="19">
        <v>3</v>
      </c>
      <c r="AM2198" s="32">
        <v>0</v>
      </c>
      <c r="AN2198" s="32">
        <v>0</v>
      </c>
      <c r="AO2198" s="32">
        <v>0</v>
      </c>
      <c r="AP2198" s="32">
        <v>0</v>
      </c>
      <c r="AQ2198" s="32">
        <v>3000</v>
      </c>
      <c r="AR2198" s="32">
        <v>0</v>
      </c>
      <c r="AS2198" s="32">
        <v>0</v>
      </c>
      <c r="AT2198" s="19">
        <v>0</v>
      </c>
      <c r="AU2198" s="32">
        <v>81000120</v>
      </c>
      <c r="AV2198" s="32"/>
      <c r="AW2198" s="35" t="s">
        <v>205</v>
      </c>
      <c r="AX2198" s="32" t="s">
        <v>551</v>
      </c>
      <c r="AY2198" s="32">
        <v>10001007</v>
      </c>
      <c r="AZ2198" s="32">
        <v>21010030</v>
      </c>
      <c r="BA2198" s="35" t="s">
        <v>206</v>
      </c>
      <c r="BB2198" s="35">
        <v>0</v>
      </c>
      <c r="BC2198" s="31">
        <v>0</v>
      </c>
      <c r="BD2198" s="31">
        <v>0</v>
      </c>
      <c r="BE2198" s="185" t="s">
        <v>5000</v>
      </c>
      <c r="BF2198" s="185" t="s">
        <v>5001</v>
      </c>
      <c r="BG2198" s="32">
        <v>0</v>
      </c>
      <c r="BH2198" s="21">
        <v>0</v>
      </c>
      <c r="BI2198" s="32">
        <v>0</v>
      </c>
      <c r="BJ2198" s="32">
        <v>0</v>
      </c>
      <c r="BK2198" s="32">
        <v>0</v>
      </c>
      <c r="BL2198" s="32">
        <v>0</v>
      </c>
      <c r="BM2198" s="25">
        <v>0</v>
      </c>
      <c r="BN2198" s="19">
        <v>0</v>
      </c>
      <c r="BO2198" s="19">
        <v>0</v>
      </c>
      <c r="BP2198" s="19">
        <v>0</v>
      </c>
      <c r="BQ2198" s="19">
        <v>0</v>
      </c>
      <c r="BR2198" s="19">
        <v>0</v>
      </c>
      <c r="BS2198" s="19">
        <v>0</v>
      </c>
      <c r="BT2198" s="19">
        <v>0</v>
      </c>
      <c r="BU2198" s="23">
        <v>0</v>
      </c>
      <c r="BV2198" s="23"/>
      <c r="BW2198" s="23"/>
      <c r="BX2198" s="23"/>
      <c r="BY2198" s="23"/>
      <c r="BZ2198" s="23"/>
    </row>
    <row r="2199" spans="3:78" ht="20.100000000000001" customHeight="1">
      <c r="C2199" s="32">
        <v>81000130</v>
      </c>
      <c r="D2199" s="35" t="s">
        <v>5002</v>
      </c>
      <c r="E2199" s="35" t="s">
        <v>5003</v>
      </c>
      <c r="F2199" s="21">
        <v>1</v>
      </c>
      <c r="G2199" s="32">
        <v>61023101</v>
      </c>
      <c r="H2199" s="32">
        <v>0</v>
      </c>
      <c r="I2199" s="31">
        <v>0</v>
      </c>
      <c r="J2199" s="21">
        <v>1</v>
      </c>
      <c r="K2199" s="21">
        <v>0</v>
      </c>
      <c r="L2199" s="21">
        <v>0</v>
      </c>
      <c r="M2199" s="32">
        <v>0</v>
      </c>
      <c r="N2199" s="32">
        <v>0</v>
      </c>
      <c r="O2199" s="32">
        <v>1</v>
      </c>
      <c r="P2199" s="32">
        <v>0</v>
      </c>
      <c r="Q2199" s="32">
        <v>0</v>
      </c>
      <c r="R2199" s="32">
        <v>0</v>
      </c>
      <c r="S2199" s="19">
        <v>0</v>
      </c>
      <c r="T2199" s="31">
        <v>0</v>
      </c>
      <c r="U2199" s="21">
        <v>1</v>
      </c>
      <c r="V2199" s="32">
        <v>2</v>
      </c>
      <c r="W2199" s="32">
        <v>0</v>
      </c>
      <c r="X2199" s="32">
        <v>0</v>
      </c>
      <c r="Y2199" s="19">
        <v>0</v>
      </c>
      <c r="Z2199" s="32">
        <v>0</v>
      </c>
      <c r="AA2199" s="32">
        <v>1</v>
      </c>
      <c r="AB2199" s="32">
        <v>0</v>
      </c>
      <c r="AC2199" s="32">
        <v>0</v>
      </c>
      <c r="AD2199" s="32">
        <v>0</v>
      </c>
      <c r="AE2199" s="32">
        <v>0</v>
      </c>
      <c r="AF2199" s="32">
        <v>9</v>
      </c>
      <c r="AG2199" s="32">
        <v>1</v>
      </c>
      <c r="AH2199" s="32">
        <v>3.5</v>
      </c>
      <c r="AI2199" s="19">
        <v>0</v>
      </c>
      <c r="AJ2199" s="19">
        <v>0</v>
      </c>
      <c r="AK2199" s="19">
        <v>0</v>
      </c>
      <c r="AL2199" s="19">
        <v>3</v>
      </c>
      <c r="AM2199" s="32">
        <v>0</v>
      </c>
      <c r="AN2199" s="32">
        <v>0</v>
      </c>
      <c r="AO2199" s="32">
        <v>0</v>
      </c>
      <c r="AP2199" s="32">
        <v>0</v>
      </c>
      <c r="AQ2199" s="32">
        <v>2000</v>
      </c>
      <c r="AR2199" s="32">
        <v>0</v>
      </c>
      <c r="AS2199" s="32">
        <v>0</v>
      </c>
      <c r="AT2199" s="19">
        <v>0</v>
      </c>
      <c r="AU2199" s="32">
        <v>81000130</v>
      </c>
      <c r="AV2199" s="32"/>
      <c r="AW2199" s="35" t="s">
        <v>205</v>
      </c>
      <c r="AX2199" s="32" t="s">
        <v>540</v>
      </c>
      <c r="AY2199" s="32">
        <v>10000009</v>
      </c>
      <c r="AZ2199" s="32">
        <v>21030010</v>
      </c>
      <c r="BA2199" s="30" t="s">
        <v>1702</v>
      </c>
      <c r="BB2199" s="35">
        <v>0</v>
      </c>
      <c r="BC2199" s="31">
        <v>0</v>
      </c>
      <c r="BD2199" s="31">
        <v>0</v>
      </c>
      <c r="BE2199" s="185" t="s">
        <v>5004</v>
      </c>
      <c r="BF2199" s="185" t="s">
        <v>5005</v>
      </c>
      <c r="BG2199" s="32">
        <v>0</v>
      </c>
      <c r="BH2199" s="21">
        <v>0</v>
      </c>
      <c r="BI2199" s="32">
        <v>0</v>
      </c>
      <c r="BJ2199" s="32">
        <v>0</v>
      </c>
      <c r="BK2199" s="32">
        <v>0</v>
      </c>
      <c r="BL2199" s="32">
        <v>0</v>
      </c>
      <c r="BM2199" s="25">
        <v>0</v>
      </c>
      <c r="BN2199" s="19">
        <v>1</v>
      </c>
      <c r="BO2199" s="19">
        <v>0</v>
      </c>
      <c r="BP2199" s="19">
        <v>0</v>
      </c>
      <c r="BQ2199" s="19">
        <v>0</v>
      </c>
      <c r="BR2199" s="19">
        <v>0</v>
      </c>
      <c r="BS2199" s="19">
        <v>0</v>
      </c>
      <c r="BT2199" s="19">
        <v>0</v>
      </c>
      <c r="BU2199" s="23">
        <v>0</v>
      </c>
      <c r="BV2199" s="23"/>
      <c r="BW2199" s="23"/>
      <c r="BX2199" s="23"/>
      <c r="BY2199" s="23"/>
      <c r="BZ2199" s="23"/>
    </row>
    <row r="2200" spans="3:78" ht="20.100000000000001" customHeight="1">
      <c r="C2200" s="32">
        <v>81000140</v>
      </c>
      <c r="D2200" s="35" t="s">
        <v>5006</v>
      </c>
      <c r="E2200" s="35" t="s">
        <v>5007</v>
      </c>
      <c r="F2200" s="21">
        <v>1</v>
      </c>
      <c r="G2200" s="32">
        <v>61023101</v>
      </c>
      <c r="H2200" s="32">
        <v>0</v>
      </c>
      <c r="I2200" s="31">
        <v>0</v>
      </c>
      <c r="J2200" s="21">
        <v>1</v>
      </c>
      <c r="K2200" s="21">
        <v>0</v>
      </c>
      <c r="L2200" s="21">
        <v>0</v>
      </c>
      <c r="M2200" s="32">
        <v>0</v>
      </c>
      <c r="N2200" s="32">
        <v>0</v>
      </c>
      <c r="O2200" s="32">
        <v>1</v>
      </c>
      <c r="P2200" s="32">
        <v>0</v>
      </c>
      <c r="Q2200" s="32">
        <v>0</v>
      </c>
      <c r="R2200" s="32">
        <v>0</v>
      </c>
      <c r="S2200" s="19">
        <v>0</v>
      </c>
      <c r="T2200" s="31">
        <v>0</v>
      </c>
      <c r="U2200" s="21">
        <v>1</v>
      </c>
      <c r="V2200" s="32">
        <v>2</v>
      </c>
      <c r="W2200" s="32">
        <v>0</v>
      </c>
      <c r="X2200" s="32">
        <v>0</v>
      </c>
      <c r="Y2200" s="19">
        <v>0</v>
      </c>
      <c r="Z2200" s="32">
        <v>0</v>
      </c>
      <c r="AA2200" s="32">
        <v>1</v>
      </c>
      <c r="AB2200" s="32">
        <v>0</v>
      </c>
      <c r="AC2200" s="32">
        <v>0</v>
      </c>
      <c r="AD2200" s="32">
        <v>0</v>
      </c>
      <c r="AE2200" s="32">
        <v>0</v>
      </c>
      <c r="AF2200" s="32">
        <v>9</v>
      </c>
      <c r="AG2200" s="32">
        <v>1</v>
      </c>
      <c r="AH2200" s="32">
        <v>3.5</v>
      </c>
      <c r="AI2200" s="19">
        <v>0</v>
      </c>
      <c r="AJ2200" s="19">
        <v>0</v>
      </c>
      <c r="AK2200" s="19">
        <v>0</v>
      </c>
      <c r="AL2200" s="19">
        <v>3</v>
      </c>
      <c r="AM2200" s="32">
        <v>0</v>
      </c>
      <c r="AN2200" s="32">
        <v>0</v>
      </c>
      <c r="AO2200" s="32">
        <v>0</v>
      </c>
      <c r="AP2200" s="32">
        <v>0</v>
      </c>
      <c r="AQ2200" s="32">
        <v>2000</v>
      </c>
      <c r="AR2200" s="32">
        <v>0</v>
      </c>
      <c r="AS2200" s="32">
        <v>0</v>
      </c>
      <c r="AT2200" s="19">
        <v>0</v>
      </c>
      <c r="AU2200" s="32">
        <v>81000140</v>
      </c>
      <c r="AV2200" s="32"/>
      <c r="AW2200" s="35" t="s">
        <v>205</v>
      </c>
      <c r="AX2200" s="32" t="s">
        <v>540</v>
      </c>
      <c r="AY2200" s="32">
        <v>10000015</v>
      </c>
      <c r="AZ2200" s="32">
        <v>21000030</v>
      </c>
      <c r="BA2200" s="30" t="s">
        <v>1702</v>
      </c>
      <c r="BB2200" s="35">
        <v>0</v>
      </c>
      <c r="BC2200" s="31">
        <v>0</v>
      </c>
      <c r="BD2200" s="31">
        <v>0</v>
      </c>
      <c r="BE2200" s="185" t="s">
        <v>5008</v>
      </c>
      <c r="BF2200" s="185" t="s">
        <v>5009</v>
      </c>
      <c r="BG2200" s="32">
        <v>0</v>
      </c>
      <c r="BH2200" s="21">
        <v>0</v>
      </c>
      <c r="BI2200" s="32">
        <v>0</v>
      </c>
      <c r="BJ2200" s="32">
        <v>0</v>
      </c>
      <c r="BK2200" s="32">
        <v>0</v>
      </c>
      <c r="BL2200" s="32">
        <v>0</v>
      </c>
      <c r="BM2200" s="25">
        <v>0</v>
      </c>
      <c r="BN2200" s="19">
        <v>1</v>
      </c>
      <c r="BO2200" s="19">
        <v>0</v>
      </c>
      <c r="BP2200" s="19">
        <v>0</v>
      </c>
      <c r="BQ2200" s="19">
        <v>0</v>
      </c>
      <c r="BR2200" s="19">
        <v>0</v>
      </c>
      <c r="BS2200" s="19">
        <v>0</v>
      </c>
      <c r="BT2200" s="19">
        <v>0</v>
      </c>
      <c r="BU2200" s="23">
        <v>0</v>
      </c>
      <c r="BV2200" s="23"/>
      <c r="BW2200" s="23"/>
      <c r="BX2200" s="23"/>
      <c r="BY2200" s="23"/>
      <c r="BZ2200" s="23"/>
    </row>
    <row r="2201" spans="3:78" ht="20.100000000000001" customHeight="1">
      <c r="C2201" s="32">
        <v>81000150</v>
      </c>
      <c r="D2201" s="88" t="s">
        <v>5010</v>
      </c>
      <c r="E2201" s="88" t="s">
        <v>5011</v>
      </c>
      <c r="F2201" s="74">
        <v>1</v>
      </c>
      <c r="G2201" s="74">
        <v>63021201</v>
      </c>
      <c r="H2201" s="74">
        <v>0</v>
      </c>
      <c r="I2201" s="75">
        <v>0</v>
      </c>
      <c r="J2201" s="72">
        <v>1</v>
      </c>
      <c r="K2201" s="72">
        <v>0</v>
      </c>
      <c r="L2201" s="74">
        <v>0</v>
      </c>
      <c r="M2201" s="74">
        <v>0</v>
      </c>
      <c r="N2201" s="74">
        <v>0</v>
      </c>
      <c r="O2201" s="74">
        <v>1</v>
      </c>
      <c r="P2201" s="74">
        <v>0</v>
      </c>
      <c r="Q2201" s="74">
        <v>0</v>
      </c>
      <c r="R2201" s="74">
        <v>0</v>
      </c>
      <c r="S2201" s="73">
        <v>0</v>
      </c>
      <c r="T2201" s="75">
        <v>0</v>
      </c>
      <c r="U2201" s="72">
        <v>1</v>
      </c>
      <c r="V2201" s="74">
        <v>2</v>
      </c>
      <c r="W2201" s="74">
        <v>0</v>
      </c>
      <c r="X2201" s="32">
        <v>0</v>
      </c>
      <c r="Y2201" s="19">
        <v>0</v>
      </c>
      <c r="Z2201" s="32">
        <v>0</v>
      </c>
      <c r="AA2201" s="74">
        <v>1</v>
      </c>
      <c r="AB2201" s="74">
        <v>0</v>
      </c>
      <c r="AC2201" s="74">
        <v>0</v>
      </c>
      <c r="AD2201" s="74">
        <v>0</v>
      </c>
      <c r="AE2201" s="74">
        <v>0</v>
      </c>
      <c r="AF2201" s="74">
        <v>9</v>
      </c>
      <c r="AG2201" s="74">
        <v>1</v>
      </c>
      <c r="AH2201" s="74">
        <v>4</v>
      </c>
      <c r="AI2201" s="73">
        <v>2</v>
      </c>
      <c r="AJ2201" s="73">
        <v>1</v>
      </c>
      <c r="AK2201" s="73">
        <v>0</v>
      </c>
      <c r="AL2201" s="73">
        <v>8</v>
      </c>
      <c r="AM2201" s="74">
        <v>0</v>
      </c>
      <c r="AN2201" s="74">
        <v>0</v>
      </c>
      <c r="AO2201" s="74">
        <v>0</v>
      </c>
      <c r="AP2201" s="74">
        <v>0</v>
      </c>
      <c r="AQ2201" s="74">
        <v>360000</v>
      </c>
      <c r="AR2201" s="74">
        <v>0</v>
      </c>
      <c r="AS2201" s="74">
        <v>0</v>
      </c>
      <c r="AT2201" s="73">
        <v>0</v>
      </c>
      <c r="AU2201" s="74">
        <v>0</v>
      </c>
      <c r="AV2201" s="74"/>
      <c r="AW2201" s="35" t="s">
        <v>205</v>
      </c>
      <c r="AX2201" s="74" t="s">
        <v>1473</v>
      </c>
      <c r="AY2201" s="74">
        <v>10002001</v>
      </c>
      <c r="AZ2201" s="74">
        <v>21201020</v>
      </c>
      <c r="BA2201" s="88" t="s">
        <v>1180</v>
      </c>
      <c r="BB2201" s="88" t="s">
        <v>5012</v>
      </c>
      <c r="BC2201" s="75">
        <v>0</v>
      </c>
      <c r="BD2201" s="75">
        <v>0</v>
      </c>
      <c r="BE2201" s="89" t="s">
        <v>5013</v>
      </c>
      <c r="BF2201" s="89" t="s">
        <v>5014</v>
      </c>
      <c r="BG2201" s="74">
        <v>0</v>
      </c>
      <c r="BH2201" s="72">
        <v>0</v>
      </c>
      <c r="BI2201" s="74">
        <v>0</v>
      </c>
      <c r="BJ2201" s="74">
        <v>0</v>
      </c>
      <c r="BK2201" s="74">
        <v>0</v>
      </c>
      <c r="BL2201" s="74">
        <v>0</v>
      </c>
      <c r="BM2201" s="90">
        <v>0</v>
      </c>
      <c r="BN2201" s="73">
        <v>0</v>
      </c>
      <c r="BO2201" s="73">
        <v>0</v>
      </c>
      <c r="BP2201" s="73">
        <v>0</v>
      </c>
      <c r="BQ2201" s="73">
        <v>0</v>
      </c>
      <c r="BR2201" s="73">
        <v>0</v>
      </c>
      <c r="BS2201" s="73">
        <v>0</v>
      </c>
      <c r="BT2201" s="19">
        <v>0</v>
      </c>
      <c r="BU2201" s="23">
        <v>0</v>
      </c>
      <c r="BV2201" s="23"/>
      <c r="BW2201" s="23"/>
      <c r="BX2201" s="23"/>
      <c r="BY2201" s="23"/>
      <c r="BZ2201" s="23"/>
    </row>
    <row r="2202" spans="3:78" ht="19.5" customHeight="1">
      <c r="C2202" s="32">
        <v>81000151</v>
      </c>
      <c r="D2202" s="88" t="s">
        <v>5015</v>
      </c>
      <c r="E2202" s="88" t="s">
        <v>5016</v>
      </c>
      <c r="F2202" s="72">
        <v>1</v>
      </c>
      <c r="G2202" s="74">
        <v>62011101</v>
      </c>
      <c r="H2202" s="72">
        <v>0</v>
      </c>
      <c r="I2202" s="75">
        <v>0</v>
      </c>
      <c r="J2202" s="72">
        <v>1</v>
      </c>
      <c r="K2202" s="72">
        <v>0</v>
      </c>
      <c r="L2202" s="72">
        <v>0</v>
      </c>
      <c r="M2202" s="74">
        <v>0</v>
      </c>
      <c r="N2202" s="74">
        <v>0</v>
      </c>
      <c r="O2202" s="74">
        <v>2</v>
      </c>
      <c r="P2202" s="74">
        <v>10</v>
      </c>
      <c r="Q2202" s="74">
        <v>0.8</v>
      </c>
      <c r="R2202" s="74">
        <v>0</v>
      </c>
      <c r="S2202" s="73">
        <v>0</v>
      </c>
      <c r="T2202" s="75">
        <v>0</v>
      </c>
      <c r="U2202" s="72">
        <v>1</v>
      </c>
      <c r="V2202" s="74">
        <v>2</v>
      </c>
      <c r="W2202" s="74">
        <v>0</v>
      </c>
      <c r="X2202" s="32">
        <v>0</v>
      </c>
      <c r="Y2202" s="19">
        <v>0</v>
      </c>
      <c r="Z2202" s="32">
        <v>0</v>
      </c>
      <c r="AA2202" s="74">
        <v>1</v>
      </c>
      <c r="AB2202" s="74">
        <v>0</v>
      </c>
      <c r="AC2202" s="74">
        <v>0</v>
      </c>
      <c r="AD2202" s="74">
        <v>0</v>
      </c>
      <c r="AE2202" s="74">
        <v>0</v>
      </c>
      <c r="AF2202" s="74">
        <v>9</v>
      </c>
      <c r="AG2202" s="74">
        <v>1</v>
      </c>
      <c r="AH2202" s="74">
        <v>4</v>
      </c>
      <c r="AI2202" s="73">
        <v>2</v>
      </c>
      <c r="AJ2202" s="73">
        <v>1</v>
      </c>
      <c r="AK2202" s="73">
        <v>1</v>
      </c>
      <c r="AL2202" s="73">
        <v>2</v>
      </c>
      <c r="AM2202" s="74">
        <v>0</v>
      </c>
      <c r="AN2202" s="74">
        <v>0</v>
      </c>
      <c r="AO2202" s="74">
        <v>0</v>
      </c>
      <c r="AP2202" s="74">
        <v>0</v>
      </c>
      <c r="AQ2202" s="74">
        <v>3000</v>
      </c>
      <c r="AR2202" s="74">
        <v>0</v>
      </c>
      <c r="AS2202" s="74">
        <v>0</v>
      </c>
      <c r="AT2202" s="73">
        <v>0</v>
      </c>
      <c r="AU2202" s="74">
        <v>81000120</v>
      </c>
      <c r="AV2202" s="74"/>
      <c r="AW2202" s="35" t="s">
        <v>205</v>
      </c>
      <c r="AX2202" s="74" t="s">
        <v>1802</v>
      </c>
      <c r="AY2202" s="74">
        <v>10002001</v>
      </c>
      <c r="AZ2202" s="74">
        <v>21201020</v>
      </c>
      <c r="BA2202" s="88" t="s">
        <v>206</v>
      </c>
      <c r="BB2202" s="88">
        <v>0</v>
      </c>
      <c r="BC2202" s="75">
        <v>0</v>
      </c>
      <c r="BD2202" s="75">
        <v>0</v>
      </c>
      <c r="BE2202" s="208" t="s">
        <v>5017</v>
      </c>
      <c r="BF2202" s="208" t="s">
        <v>5018</v>
      </c>
      <c r="BG2202" s="74">
        <v>0</v>
      </c>
      <c r="BH2202" s="72">
        <v>0</v>
      </c>
      <c r="BI2202" s="74">
        <v>0</v>
      </c>
      <c r="BJ2202" s="74">
        <v>0</v>
      </c>
      <c r="BK2202" s="74">
        <v>0</v>
      </c>
      <c r="BL2202" s="74">
        <v>0</v>
      </c>
      <c r="BM2202" s="90">
        <v>0</v>
      </c>
      <c r="BN2202" s="73">
        <v>0</v>
      </c>
      <c r="BO2202" s="73">
        <v>0</v>
      </c>
      <c r="BP2202" s="73">
        <v>0</v>
      </c>
      <c r="BQ2202" s="73">
        <v>0</v>
      </c>
      <c r="BR2202" s="73">
        <v>0</v>
      </c>
      <c r="BS2202" s="73">
        <v>0</v>
      </c>
      <c r="BT2202" s="19">
        <v>0</v>
      </c>
      <c r="BU2202" s="23">
        <v>0</v>
      </c>
      <c r="BV2202" s="23"/>
      <c r="BW2202" s="23"/>
      <c r="BX2202" s="23"/>
      <c r="BY2202" s="23"/>
      <c r="BZ2202" s="23"/>
    </row>
    <row r="2203" spans="3:78" ht="19.5" customHeight="1">
      <c r="C2203" s="32">
        <v>81000160</v>
      </c>
      <c r="D2203" s="30" t="s">
        <v>5019</v>
      </c>
      <c r="E2203" s="30" t="s">
        <v>5020</v>
      </c>
      <c r="F2203" s="21">
        <v>1</v>
      </c>
      <c r="G2203" s="21">
        <v>62011201</v>
      </c>
      <c r="H2203" s="21">
        <v>0</v>
      </c>
      <c r="I2203" s="31">
        <v>0</v>
      </c>
      <c r="J2203" s="21">
        <v>1</v>
      </c>
      <c r="K2203" s="21">
        <v>0</v>
      </c>
      <c r="L2203" s="21">
        <v>0</v>
      </c>
      <c r="M2203" s="21">
        <v>0</v>
      </c>
      <c r="N2203" s="21">
        <v>0</v>
      </c>
      <c r="O2203" s="21">
        <v>1</v>
      </c>
      <c r="P2203" s="21">
        <v>0</v>
      </c>
      <c r="Q2203" s="21">
        <v>0</v>
      </c>
      <c r="R2203" s="21">
        <v>0</v>
      </c>
      <c r="S2203" s="19">
        <v>0</v>
      </c>
      <c r="T2203" s="21">
        <v>0</v>
      </c>
      <c r="U2203" s="21">
        <v>1</v>
      </c>
      <c r="V2203" s="21">
        <v>2</v>
      </c>
      <c r="W2203" s="21">
        <v>0</v>
      </c>
      <c r="X2203" s="32">
        <v>0</v>
      </c>
      <c r="Y2203" s="19">
        <v>0</v>
      </c>
      <c r="Z2203" s="32">
        <v>0</v>
      </c>
      <c r="AA2203" s="21">
        <v>1</v>
      </c>
      <c r="AB2203" s="21">
        <v>0</v>
      </c>
      <c r="AC2203" s="21">
        <v>0</v>
      </c>
      <c r="AD2203" s="21">
        <v>0</v>
      </c>
      <c r="AE2203" s="21">
        <v>0</v>
      </c>
      <c r="AF2203" s="21">
        <v>9</v>
      </c>
      <c r="AG2203" s="21">
        <v>1</v>
      </c>
      <c r="AH2203" s="21">
        <v>2</v>
      </c>
      <c r="AI2203" s="19">
        <v>7</v>
      </c>
      <c r="AJ2203" s="19">
        <v>0</v>
      </c>
      <c r="AK2203" s="19">
        <v>0</v>
      </c>
      <c r="AL2203" s="19">
        <v>15</v>
      </c>
      <c r="AM2203" s="21">
        <v>0</v>
      </c>
      <c r="AN2203" s="21">
        <v>0</v>
      </c>
      <c r="AO2203" s="21">
        <v>0</v>
      </c>
      <c r="AP2203" s="21">
        <v>0</v>
      </c>
      <c r="AQ2203" s="21">
        <v>3000</v>
      </c>
      <c r="AR2203" s="21">
        <v>0</v>
      </c>
      <c r="AS2203" s="21">
        <v>0</v>
      </c>
      <c r="AT2203" s="19">
        <v>0</v>
      </c>
      <c r="AU2203" s="339" t="s">
        <v>4997</v>
      </c>
      <c r="AV2203" s="32"/>
      <c r="AW2203" s="35" t="s">
        <v>205</v>
      </c>
      <c r="AX2203" s="21" t="s">
        <v>540</v>
      </c>
      <c r="AY2203" s="32">
        <v>10000007</v>
      </c>
      <c r="AZ2203" s="32">
        <v>21101050</v>
      </c>
      <c r="BA2203" s="30" t="s">
        <v>5021</v>
      </c>
      <c r="BB2203" s="21">
        <v>0</v>
      </c>
      <c r="BC2203" s="31">
        <v>0</v>
      </c>
      <c r="BD2203" s="31">
        <v>0</v>
      </c>
      <c r="BE2203" s="185" t="s">
        <v>5022</v>
      </c>
      <c r="BF2203" s="185" t="s">
        <v>5023</v>
      </c>
      <c r="BG2203" s="21">
        <v>0</v>
      </c>
      <c r="BH2203" s="21">
        <v>0</v>
      </c>
      <c r="BI2203" s="21">
        <v>0</v>
      </c>
      <c r="BJ2203" s="21">
        <v>0</v>
      </c>
      <c r="BK2203" s="21">
        <v>0</v>
      </c>
      <c r="BL2203" s="21">
        <v>0</v>
      </c>
      <c r="BM2203" s="25">
        <v>0</v>
      </c>
      <c r="BN2203" s="19">
        <v>0</v>
      </c>
      <c r="BO2203" s="19">
        <v>0</v>
      </c>
      <c r="BP2203" s="19">
        <v>0</v>
      </c>
      <c r="BQ2203" s="19">
        <v>0</v>
      </c>
      <c r="BR2203" s="19">
        <v>0</v>
      </c>
      <c r="BS2203" s="19">
        <v>0</v>
      </c>
      <c r="BT2203" s="19">
        <v>0</v>
      </c>
      <c r="BU2203" s="23">
        <v>0</v>
      </c>
      <c r="BV2203" s="23"/>
      <c r="BW2203" s="23"/>
      <c r="BX2203" s="23"/>
      <c r="BY2203" s="23"/>
      <c r="BZ2203" s="23"/>
    </row>
    <row r="2204" spans="3:78" ht="20.100000000000001" customHeight="1">
      <c r="C2204" s="32">
        <v>81000170</v>
      </c>
      <c r="D2204" s="30" t="s">
        <v>5024</v>
      </c>
      <c r="E2204" s="30" t="s">
        <v>5025</v>
      </c>
      <c r="F2204" s="21">
        <v>1</v>
      </c>
      <c r="G2204" s="21">
        <v>61011301</v>
      </c>
      <c r="H2204" s="21">
        <v>0</v>
      </c>
      <c r="I2204" s="31">
        <v>0</v>
      </c>
      <c r="J2204" s="21">
        <v>1</v>
      </c>
      <c r="K2204" s="21">
        <v>0</v>
      </c>
      <c r="L2204" s="21">
        <v>0</v>
      </c>
      <c r="M2204" s="21">
        <v>0</v>
      </c>
      <c r="N2204" s="21">
        <v>0</v>
      </c>
      <c r="O2204" s="21">
        <v>6</v>
      </c>
      <c r="P2204" s="21">
        <v>0</v>
      </c>
      <c r="Q2204" s="21">
        <v>0</v>
      </c>
      <c r="R2204" s="21">
        <v>0</v>
      </c>
      <c r="S2204" s="19">
        <v>0</v>
      </c>
      <c r="T2204" s="21">
        <v>0</v>
      </c>
      <c r="U2204" s="21">
        <v>1</v>
      </c>
      <c r="V2204" s="21">
        <v>2</v>
      </c>
      <c r="W2204" s="21">
        <v>0</v>
      </c>
      <c r="X2204" s="32">
        <v>0</v>
      </c>
      <c r="Y2204" s="19">
        <v>0</v>
      </c>
      <c r="Z2204" s="32">
        <v>0</v>
      </c>
      <c r="AA2204" s="21">
        <v>1</v>
      </c>
      <c r="AB2204" s="21">
        <v>0</v>
      </c>
      <c r="AC2204" s="21">
        <v>0</v>
      </c>
      <c r="AD2204" s="21">
        <v>0</v>
      </c>
      <c r="AE2204" s="21">
        <v>0</v>
      </c>
      <c r="AF2204" s="21">
        <v>9</v>
      </c>
      <c r="AG2204" s="21">
        <v>1</v>
      </c>
      <c r="AH2204" s="21">
        <v>3</v>
      </c>
      <c r="AI2204" s="19">
        <v>2</v>
      </c>
      <c r="AJ2204" s="19">
        <v>1</v>
      </c>
      <c r="AK2204" s="19">
        <v>0</v>
      </c>
      <c r="AL2204" s="19">
        <v>6</v>
      </c>
      <c r="AM2204" s="21">
        <v>0</v>
      </c>
      <c r="AN2204" s="21">
        <v>0</v>
      </c>
      <c r="AO2204" s="21">
        <v>0</v>
      </c>
      <c r="AP2204" s="21">
        <v>0</v>
      </c>
      <c r="AQ2204" s="21">
        <v>3000</v>
      </c>
      <c r="AR2204" s="21">
        <v>0</v>
      </c>
      <c r="AS2204" s="21">
        <v>0</v>
      </c>
      <c r="AT2204" s="19">
        <v>0</v>
      </c>
      <c r="AU2204" s="21" t="s">
        <v>204</v>
      </c>
      <c r="AV2204" s="21"/>
      <c r="AW2204" s="35" t="s">
        <v>205</v>
      </c>
      <c r="AX2204" s="21" t="s">
        <v>221</v>
      </c>
      <c r="AY2204" s="32">
        <v>10000015</v>
      </c>
      <c r="AZ2204" s="32">
        <v>21000030</v>
      </c>
      <c r="BA2204" s="30" t="s">
        <v>1378</v>
      </c>
      <c r="BB2204" s="21">
        <v>0</v>
      </c>
      <c r="BC2204" s="31">
        <v>0</v>
      </c>
      <c r="BD2204" s="31">
        <v>0</v>
      </c>
      <c r="BE2204" s="171" t="s">
        <v>5026</v>
      </c>
      <c r="BF2204" s="171" t="s">
        <v>5027</v>
      </c>
      <c r="BG2204" s="21">
        <v>0</v>
      </c>
      <c r="BH2204" s="21">
        <v>0</v>
      </c>
      <c r="BI2204" s="21">
        <v>0</v>
      </c>
      <c r="BJ2204" s="21">
        <v>0</v>
      </c>
      <c r="BK2204" s="21">
        <v>0</v>
      </c>
      <c r="BL2204" s="21">
        <v>0</v>
      </c>
      <c r="BM2204" s="25">
        <v>0</v>
      </c>
      <c r="BN2204" s="19">
        <v>0</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81000310</v>
      </c>
      <c r="D2205" s="30" t="s">
        <v>5028</v>
      </c>
      <c r="E2205" s="30" t="s">
        <v>5029</v>
      </c>
      <c r="F2205" s="19">
        <v>1</v>
      </c>
      <c r="G2205" s="32">
        <v>81000310</v>
      </c>
      <c r="H2205" s="19">
        <v>0</v>
      </c>
      <c r="I2205" s="19">
        <v>0</v>
      </c>
      <c r="J2205" s="19">
        <v>1</v>
      </c>
      <c r="K2205" s="19">
        <v>0</v>
      </c>
      <c r="L2205" s="21">
        <v>0</v>
      </c>
      <c r="M2205" s="19">
        <v>0</v>
      </c>
      <c r="N2205" s="19">
        <v>0</v>
      </c>
      <c r="O2205" s="19">
        <v>1</v>
      </c>
      <c r="P2205" s="19">
        <v>0</v>
      </c>
      <c r="Q2205" s="19">
        <v>0</v>
      </c>
      <c r="R2205" s="19">
        <v>0</v>
      </c>
      <c r="S2205" s="19">
        <v>0</v>
      </c>
      <c r="T2205" s="19">
        <v>0</v>
      </c>
      <c r="U2205" s="19">
        <v>1</v>
      </c>
      <c r="V2205" s="19">
        <v>2</v>
      </c>
      <c r="W2205" s="19">
        <v>0</v>
      </c>
      <c r="X2205" s="19">
        <v>0</v>
      </c>
      <c r="Y2205" s="19">
        <v>0</v>
      </c>
      <c r="Z2205" s="19">
        <v>0</v>
      </c>
      <c r="AA2205" s="19">
        <v>1</v>
      </c>
      <c r="AB2205" s="19">
        <v>0</v>
      </c>
      <c r="AC2205" s="19">
        <v>0</v>
      </c>
      <c r="AD2205" s="19">
        <v>0</v>
      </c>
      <c r="AE2205" s="19">
        <v>0</v>
      </c>
      <c r="AF2205" s="19">
        <v>1</v>
      </c>
      <c r="AG2205" s="19">
        <v>0</v>
      </c>
      <c r="AH2205" s="19">
        <v>0</v>
      </c>
      <c r="AI2205" s="19">
        <v>2</v>
      </c>
      <c r="AJ2205" s="19">
        <v>0</v>
      </c>
      <c r="AK2205" s="19">
        <v>0</v>
      </c>
      <c r="AL2205" s="19">
        <v>0</v>
      </c>
      <c r="AM2205" s="19">
        <v>0</v>
      </c>
      <c r="AN2205" s="19">
        <v>0</v>
      </c>
      <c r="AO2205" s="19">
        <v>0</v>
      </c>
      <c r="AP2205" s="19">
        <v>0</v>
      </c>
      <c r="AQ2205" s="19">
        <v>1000</v>
      </c>
      <c r="AR2205" s="19">
        <v>0</v>
      </c>
      <c r="AS2205" s="19">
        <v>0</v>
      </c>
      <c r="AT2205" s="19">
        <v>81000310</v>
      </c>
      <c r="AU2205" s="19" t="s">
        <v>204</v>
      </c>
      <c r="AV2205" s="19"/>
      <c r="AW2205" s="20" t="s">
        <v>205</v>
      </c>
      <c r="AX2205" s="19" t="s">
        <v>2189</v>
      </c>
      <c r="AY2205" s="19">
        <v>0</v>
      </c>
      <c r="AZ2205" s="19">
        <v>0</v>
      </c>
      <c r="BA2205" s="20" t="s">
        <v>206</v>
      </c>
      <c r="BB2205" s="20" t="s">
        <v>204</v>
      </c>
      <c r="BC2205" s="19">
        <v>0</v>
      </c>
      <c r="BD2205" s="19">
        <v>0</v>
      </c>
      <c r="BE2205" s="22" t="s">
        <v>5030</v>
      </c>
      <c r="BF2205" s="22" t="s">
        <v>5031</v>
      </c>
      <c r="BG2205" s="19">
        <v>0</v>
      </c>
      <c r="BH2205" s="19">
        <v>0</v>
      </c>
      <c r="BI2205" s="19">
        <v>0</v>
      </c>
      <c r="BJ2205" s="19">
        <v>0</v>
      </c>
      <c r="BK2205" s="19">
        <v>0</v>
      </c>
      <c r="BL2205" s="19">
        <v>0</v>
      </c>
      <c r="BM2205" s="187">
        <v>0</v>
      </c>
      <c r="BN2205" s="19">
        <v>1</v>
      </c>
      <c r="BO2205" s="19">
        <v>0</v>
      </c>
      <c r="BP2205" s="19">
        <v>0</v>
      </c>
      <c r="BQ2205" s="19">
        <v>0</v>
      </c>
      <c r="BR2205" s="19">
        <v>0</v>
      </c>
      <c r="BS2205" s="19">
        <v>0</v>
      </c>
      <c r="BT2205" s="19">
        <v>0</v>
      </c>
      <c r="BU2205" s="23">
        <v>0</v>
      </c>
      <c r="BV2205" s="23"/>
      <c r="BW2205" s="23"/>
      <c r="BX2205" s="23"/>
      <c r="BY2205" s="23"/>
      <c r="BZ2205" s="23"/>
    </row>
    <row r="2206" spans="3:78" ht="20.100000000000001" customHeight="1">
      <c r="C2206" s="32">
        <v>81000320</v>
      </c>
      <c r="D2206" s="30" t="s">
        <v>5032</v>
      </c>
      <c r="E2206" s="30" t="s">
        <v>5033</v>
      </c>
      <c r="F2206" s="19">
        <v>1</v>
      </c>
      <c r="G2206" s="19">
        <v>68000011</v>
      </c>
      <c r="H2206" s="19">
        <v>0</v>
      </c>
      <c r="I2206" s="19">
        <v>0</v>
      </c>
      <c r="J2206" s="19">
        <v>1</v>
      </c>
      <c r="K2206" s="19">
        <v>0</v>
      </c>
      <c r="L2206" s="21">
        <v>0</v>
      </c>
      <c r="M2206" s="19">
        <v>0</v>
      </c>
      <c r="N2206" s="19">
        <v>0</v>
      </c>
      <c r="O2206" s="19">
        <v>1</v>
      </c>
      <c r="P2206" s="19">
        <v>0</v>
      </c>
      <c r="Q2206" s="19">
        <v>0</v>
      </c>
      <c r="R2206" s="19">
        <v>0</v>
      </c>
      <c r="S2206" s="19">
        <v>0</v>
      </c>
      <c r="T2206" s="19">
        <v>0</v>
      </c>
      <c r="U2206" s="19">
        <v>1</v>
      </c>
      <c r="V2206" s="19">
        <v>2</v>
      </c>
      <c r="W2206" s="19">
        <v>0</v>
      </c>
      <c r="X2206" s="19">
        <v>0</v>
      </c>
      <c r="Y2206" s="19">
        <v>0</v>
      </c>
      <c r="Z2206" s="19">
        <v>0</v>
      </c>
      <c r="AA2206" s="19">
        <v>1</v>
      </c>
      <c r="AB2206" s="19">
        <v>0</v>
      </c>
      <c r="AC2206" s="19">
        <v>0</v>
      </c>
      <c r="AD2206" s="19">
        <v>0</v>
      </c>
      <c r="AE2206" s="19">
        <v>0</v>
      </c>
      <c r="AF2206" s="19">
        <v>1</v>
      </c>
      <c r="AG2206" s="19">
        <v>0</v>
      </c>
      <c r="AH2206" s="19">
        <v>0</v>
      </c>
      <c r="AI2206" s="19">
        <v>2</v>
      </c>
      <c r="AJ2206" s="19">
        <v>0</v>
      </c>
      <c r="AK2206" s="19">
        <v>0</v>
      </c>
      <c r="AL2206" s="19">
        <v>0</v>
      </c>
      <c r="AM2206" s="19">
        <v>0</v>
      </c>
      <c r="AN2206" s="19">
        <v>0</v>
      </c>
      <c r="AO2206" s="19">
        <v>0</v>
      </c>
      <c r="AP2206" s="19">
        <v>0</v>
      </c>
      <c r="AQ2206" s="19">
        <v>1000</v>
      </c>
      <c r="AR2206" s="19">
        <v>0</v>
      </c>
      <c r="AS2206" s="19">
        <v>0</v>
      </c>
      <c r="AT2206" s="19">
        <v>81000320</v>
      </c>
      <c r="AU2206" s="19" t="s">
        <v>204</v>
      </c>
      <c r="AV2206" s="19"/>
      <c r="AW2206" s="20" t="s">
        <v>205</v>
      </c>
      <c r="AX2206" s="19" t="s">
        <v>2189</v>
      </c>
      <c r="AY2206" s="19">
        <v>0</v>
      </c>
      <c r="AZ2206" s="19">
        <v>0</v>
      </c>
      <c r="BA2206" s="20" t="s">
        <v>206</v>
      </c>
      <c r="BB2206" s="20" t="s">
        <v>204</v>
      </c>
      <c r="BC2206" s="19">
        <v>0</v>
      </c>
      <c r="BD2206" s="19">
        <v>0</v>
      </c>
      <c r="BE2206" s="22" t="s">
        <v>5034</v>
      </c>
      <c r="BF2206" s="22" t="s">
        <v>5035</v>
      </c>
      <c r="BG2206" s="19">
        <v>0</v>
      </c>
      <c r="BH2206" s="19">
        <v>0</v>
      </c>
      <c r="BI2206" s="19">
        <v>0</v>
      </c>
      <c r="BJ2206" s="19">
        <v>0</v>
      </c>
      <c r="BK2206" s="19">
        <v>0</v>
      </c>
      <c r="BL2206" s="19">
        <v>0</v>
      </c>
      <c r="BM2206" s="187">
        <v>0</v>
      </c>
      <c r="BN2206" s="19">
        <v>1</v>
      </c>
      <c r="BO2206" s="19">
        <v>0</v>
      </c>
      <c r="BP2206" s="19">
        <v>0</v>
      </c>
      <c r="BQ2206" s="19">
        <v>0</v>
      </c>
      <c r="BR2206" s="19">
        <v>0</v>
      </c>
      <c r="BS2206" s="19">
        <v>0</v>
      </c>
      <c r="BT2206" s="19">
        <v>0</v>
      </c>
      <c r="BU2206" s="23">
        <v>0</v>
      </c>
      <c r="BV2206" s="23"/>
      <c r="BW2206" s="23"/>
      <c r="BX2206" s="23"/>
      <c r="BY2206" s="23"/>
      <c r="BZ2206" s="23"/>
    </row>
    <row r="2207" spans="3:78" ht="19.5" customHeight="1">
      <c r="C2207" s="32">
        <v>81000330</v>
      </c>
      <c r="D2207" s="30" t="s">
        <v>2429</v>
      </c>
      <c r="E2207" s="30" t="s">
        <v>2430</v>
      </c>
      <c r="F2207" s="21">
        <v>1</v>
      </c>
      <c r="G2207" s="21">
        <v>66001008</v>
      </c>
      <c r="H2207" s="19">
        <v>0</v>
      </c>
      <c r="I2207" s="31">
        <v>0</v>
      </c>
      <c r="J2207" s="21">
        <v>1</v>
      </c>
      <c r="K2207" s="21">
        <v>0</v>
      </c>
      <c r="L2207" s="21">
        <v>0</v>
      </c>
      <c r="M2207" s="32">
        <v>0</v>
      </c>
      <c r="N2207" s="32">
        <v>0</v>
      </c>
      <c r="O2207" s="32">
        <v>1</v>
      </c>
      <c r="P2207" s="32">
        <v>0</v>
      </c>
      <c r="Q2207" s="32">
        <v>0</v>
      </c>
      <c r="R2207" s="32">
        <v>0</v>
      </c>
      <c r="S2207" s="19">
        <v>0</v>
      </c>
      <c r="T2207" s="31">
        <v>0</v>
      </c>
      <c r="U2207" s="21">
        <v>1</v>
      </c>
      <c r="V2207" s="32">
        <v>2</v>
      </c>
      <c r="W2207" s="32">
        <v>0</v>
      </c>
      <c r="X2207" s="32">
        <v>0</v>
      </c>
      <c r="Y2207" s="19">
        <v>0</v>
      </c>
      <c r="Z2207" s="32">
        <v>0</v>
      </c>
      <c r="AA2207" s="32">
        <v>1</v>
      </c>
      <c r="AB2207" s="32">
        <v>0</v>
      </c>
      <c r="AC2207" s="32">
        <v>0</v>
      </c>
      <c r="AD2207" s="32">
        <v>0</v>
      </c>
      <c r="AE2207" s="32">
        <v>0</v>
      </c>
      <c r="AF2207" s="32">
        <v>1</v>
      </c>
      <c r="AG2207" s="32">
        <v>1</v>
      </c>
      <c r="AH2207" s="32">
        <v>3</v>
      </c>
      <c r="AI2207" s="19">
        <v>2</v>
      </c>
      <c r="AJ2207" s="19">
        <v>2</v>
      </c>
      <c r="AK2207" s="19">
        <v>0</v>
      </c>
      <c r="AL2207" s="19">
        <v>4</v>
      </c>
      <c r="AM2207" s="32">
        <v>0</v>
      </c>
      <c r="AN2207" s="32">
        <v>0</v>
      </c>
      <c r="AO2207" s="32">
        <v>0</v>
      </c>
      <c r="AP2207" s="32">
        <v>0</v>
      </c>
      <c r="AQ2207" s="32">
        <v>2000</v>
      </c>
      <c r="AR2207" s="32">
        <v>0</v>
      </c>
      <c r="AS2207" s="32">
        <v>10</v>
      </c>
      <c r="AT2207" s="19">
        <v>0</v>
      </c>
      <c r="AU2207" s="32">
        <v>92002001</v>
      </c>
      <c r="AV2207" s="32"/>
      <c r="AW2207" s="35" t="s">
        <v>205</v>
      </c>
      <c r="AX2207" s="32" t="s">
        <v>1810</v>
      </c>
      <c r="AY2207" s="32">
        <v>10003002</v>
      </c>
      <c r="AZ2207" s="32">
        <v>21100020</v>
      </c>
      <c r="BA2207" s="30" t="s">
        <v>1702</v>
      </c>
      <c r="BB2207" s="35">
        <v>0</v>
      </c>
      <c r="BC2207" s="31">
        <v>0</v>
      </c>
      <c r="BD2207" s="31">
        <v>0</v>
      </c>
      <c r="BE2207" s="185" t="s">
        <v>5036</v>
      </c>
      <c r="BF2207" s="185" t="s">
        <v>5037</v>
      </c>
      <c r="BG2207" s="32">
        <v>0</v>
      </c>
      <c r="BH2207" s="21">
        <v>0</v>
      </c>
      <c r="BI2207" s="32">
        <v>0</v>
      </c>
      <c r="BJ2207" s="32">
        <v>0</v>
      </c>
      <c r="BK2207" s="32">
        <v>0</v>
      </c>
      <c r="BL2207" s="32">
        <v>0</v>
      </c>
      <c r="BM2207" s="25">
        <v>0</v>
      </c>
      <c r="BN2207" s="19">
        <v>0</v>
      </c>
      <c r="BO2207" s="19">
        <v>0</v>
      </c>
      <c r="BP2207" s="19">
        <v>0</v>
      </c>
      <c r="BQ2207" s="19">
        <v>0</v>
      </c>
      <c r="BR2207" s="19">
        <v>0</v>
      </c>
      <c r="BS2207" s="19">
        <v>0</v>
      </c>
      <c r="BT2207" s="19">
        <v>0</v>
      </c>
      <c r="BU2207" s="23">
        <v>0</v>
      </c>
      <c r="BV2207" s="23"/>
      <c r="BW2207" s="23"/>
      <c r="BX2207" s="23"/>
      <c r="BY2207" s="23"/>
      <c r="BZ2207" s="23"/>
    </row>
    <row r="2208" spans="3:78" ht="20.100000000000001" customHeight="1">
      <c r="C2208" s="32">
        <v>81000340</v>
      </c>
      <c r="D2208" s="35" t="s">
        <v>1315</v>
      </c>
      <c r="E2208" s="35" t="s">
        <v>1316</v>
      </c>
      <c r="F2208" s="21">
        <v>1</v>
      </c>
      <c r="G2208" s="32">
        <v>61023101</v>
      </c>
      <c r="H2208" s="32">
        <v>0</v>
      </c>
      <c r="I2208" s="31">
        <v>0</v>
      </c>
      <c r="J2208" s="21">
        <v>1</v>
      </c>
      <c r="K2208" s="21">
        <v>0</v>
      </c>
      <c r="L2208" s="21">
        <v>0</v>
      </c>
      <c r="M2208" s="32">
        <v>0</v>
      </c>
      <c r="N2208" s="32">
        <v>0</v>
      </c>
      <c r="O2208" s="32">
        <v>1</v>
      </c>
      <c r="P2208" s="32">
        <v>0</v>
      </c>
      <c r="Q2208" s="32">
        <v>0</v>
      </c>
      <c r="R2208" s="32">
        <v>0</v>
      </c>
      <c r="S2208" s="19">
        <v>0</v>
      </c>
      <c r="T2208" s="31">
        <v>0</v>
      </c>
      <c r="U2208" s="21">
        <v>1</v>
      </c>
      <c r="V2208" s="32">
        <v>2</v>
      </c>
      <c r="W2208" s="32">
        <v>0</v>
      </c>
      <c r="X2208" s="32">
        <v>0</v>
      </c>
      <c r="Y2208" s="19">
        <v>0</v>
      </c>
      <c r="Z2208" s="32">
        <v>0</v>
      </c>
      <c r="AA2208" s="32">
        <v>1</v>
      </c>
      <c r="AB2208" s="32">
        <v>0</v>
      </c>
      <c r="AC2208" s="32">
        <v>0</v>
      </c>
      <c r="AD2208" s="32">
        <v>0</v>
      </c>
      <c r="AE2208" s="32">
        <v>0</v>
      </c>
      <c r="AF2208" s="32">
        <v>1</v>
      </c>
      <c r="AG2208" s="32">
        <v>1</v>
      </c>
      <c r="AH2208" s="32">
        <v>3.5</v>
      </c>
      <c r="AI2208" s="19">
        <v>0</v>
      </c>
      <c r="AJ2208" s="19">
        <v>0</v>
      </c>
      <c r="AK2208" s="19">
        <v>0</v>
      </c>
      <c r="AL2208" s="19">
        <v>3</v>
      </c>
      <c r="AM2208" s="32">
        <v>0</v>
      </c>
      <c r="AN2208" s="32">
        <v>0</v>
      </c>
      <c r="AO2208" s="32">
        <v>0</v>
      </c>
      <c r="AP2208" s="32">
        <v>0</v>
      </c>
      <c r="AQ2208" s="32">
        <v>2000</v>
      </c>
      <c r="AR2208" s="32">
        <v>0</v>
      </c>
      <c r="AS2208" s="32">
        <v>0</v>
      </c>
      <c r="AT2208" s="19">
        <v>0</v>
      </c>
      <c r="AU2208" s="32">
        <v>81000130</v>
      </c>
      <c r="AV2208" s="32"/>
      <c r="AW2208" s="35" t="s">
        <v>205</v>
      </c>
      <c r="AX2208" s="32" t="s">
        <v>540</v>
      </c>
      <c r="AY2208" s="32">
        <v>10000007</v>
      </c>
      <c r="AZ2208" s="32">
        <v>70204001</v>
      </c>
      <c r="BA2208" s="88" t="s">
        <v>206</v>
      </c>
      <c r="BB2208" s="35">
        <v>0</v>
      </c>
      <c r="BC2208" s="31">
        <v>0</v>
      </c>
      <c r="BD2208" s="31">
        <v>0</v>
      </c>
      <c r="BE2208" s="185" t="s">
        <v>5038</v>
      </c>
      <c r="BF2208" s="185" t="s">
        <v>5039</v>
      </c>
      <c r="BG2208" s="32">
        <v>0</v>
      </c>
      <c r="BH2208" s="21">
        <v>0</v>
      </c>
      <c r="BI2208" s="32">
        <v>0</v>
      </c>
      <c r="BJ2208" s="32">
        <v>0</v>
      </c>
      <c r="BK2208" s="32">
        <v>0</v>
      </c>
      <c r="BL2208" s="32">
        <v>0</v>
      </c>
      <c r="BM2208" s="25">
        <v>0</v>
      </c>
      <c r="BN2208" s="19">
        <v>1</v>
      </c>
      <c r="BO2208" s="19">
        <v>0</v>
      </c>
      <c r="BP2208" s="19">
        <v>0</v>
      </c>
      <c r="BQ2208" s="19">
        <v>0</v>
      </c>
      <c r="BR2208" s="19">
        <v>0</v>
      </c>
      <c r="BS2208" s="19">
        <v>0</v>
      </c>
      <c r="BT2208" s="19">
        <v>0</v>
      </c>
      <c r="BU2208" s="23">
        <v>0</v>
      </c>
      <c r="BV2208" s="23"/>
      <c r="BW2208" s="23"/>
      <c r="BX2208" s="23"/>
      <c r="BY2208" s="23"/>
      <c r="BZ2208" s="23"/>
    </row>
    <row r="2209" spans="1:78" ht="19.5" customHeight="1">
      <c r="C2209" s="32">
        <v>81000350</v>
      </c>
      <c r="D2209" s="30" t="s">
        <v>5040</v>
      </c>
      <c r="E2209" s="30" t="s">
        <v>5041</v>
      </c>
      <c r="F2209" s="21">
        <v>1</v>
      </c>
      <c r="G2209" s="21">
        <v>68000014</v>
      </c>
      <c r="H2209" s="21">
        <v>0</v>
      </c>
      <c r="I2209" s="31">
        <v>0</v>
      </c>
      <c r="J2209" s="21">
        <v>1</v>
      </c>
      <c r="K2209" s="21">
        <v>0</v>
      </c>
      <c r="L2209" s="21">
        <v>0</v>
      </c>
      <c r="M2209" s="21">
        <v>0</v>
      </c>
      <c r="N2209" s="21">
        <v>0</v>
      </c>
      <c r="O2209" s="21">
        <v>1</v>
      </c>
      <c r="P2209" s="21">
        <v>0</v>
      </c>
      <c r="Q2209" s="21">
        <v>0</v>
      </c>
      <c r="R2209" s="21">
        <v>0</v>
      </c>
      <c r="S2209" s="19">
        <v>0</v>
      </c>
      <c r="T2209" s="21">
        <v>0</v>
      </c>
      <c r="U2209" s="21">
        <v>1</v>
      </c>
      <c r="V2209" s="21">
        <v>2</v>
      </c>
      <c r="W2209" s="21">
        <v>0</v>
      </c>
      <c r="X2209" s="32">
        <v>0</v>
      </c>
      <c r="Y2209" s="19">
        <v>0</v>
      </c>
      <c r="Z2209" s="32">
        <v>0</v>
      </c>
      <c r="AA2209" s="21">
        <v>1</v>
      </c>
      <c r="AB2209" s="21">
        <v>0</v>
      </c>
      <c r="AC2209" s="21">
        <v>0</v>
      </c>
      <c r="AD2209" s="21">
        <v>0</v>
      </c>
      <c r="AE2209" s="21">
        <v>0</v>
      </c>
      <c r="AF2209" s="21">
        <v>1</v>
      </c>
      <c r="AG2209" s="21">
        <v>1</v>
      </c>
      <c r="AH2209" s="21">
        <v>0</v>
      </c>
      <c r="AI2209" s="19">
        <v>7</v>
      </c>
      <c r="AJ2209" s="19">
        <v>0</v>
      </c>
      <c r="AK2209" s="19">
        <v>0</v>
      </c>
      <c r="AL2209" s="19">
        <v>15</v>
      </c>
      <c r="AM2209" s="21">
        <v>0</v>
      </c>
      <c r="AN2209" s="21">
        <v>0</v>
      </c>
      <c r="AO2209" s="21">
        <v>0</v>
      </c>
      <c r="AP2209" s="21">
        <v>0</v>
      </c>
      <c r="AQ2209" s="21">
        <v>3000</v>
      </c>
      <c r="AR2209" s="21">
        <v>0</v>
      </c>
      <c r="AS2209" s="21">
        <v>0</v>
      </c>
      <c r="AT2209" s="19">
        <v>0</v>
      </c>
      <c r="AU2209" s="32">
        <v>81000130</v>
      </c>
      <c r="AV2209" s="32"/>
      <c r="AW2209" s="35" t="s">
        <v>205</v>
      </c>
      <c r="AX2209" s="21" t="s">
        <v>540</v>
      </c>
      <c r="AY2209" s="32">
        <v>10000007</v>
      </c>
      <c r="AZ2209" s="32">
        <v>21101050</v>
      </c>
      <c r="BA2209" s="30" t="s">
        <v>5021</v>
      </c>
      <c r="BB2209" s="21">
        <v>0</v>
      </c>
      <c r="BC2209" s="31">
        <v>0</v>
      </c>
      <c r="BD2209" s="31">
        <v>0</v>
      </c>
      <c r="BE2209" s="185" t="s">
        <v>5042</v>
      </c>
      <c r="BF2209" s="185" t="s">
        <v>5043</v>
      </c>
      <c r="BG2209" s="21">
        <v>0</v>
      </c>
      <c r="BH2209" s="21">
        <v>0</v>
      </c>
      <c r="BI2209" s="21">
        <v>0</v>
      </c>
      <c r="BJ2209" s="21">
        <v>0</v>
      </c>
      <c r="BK2209" s="21">
        <v>0</v>
      </c>
      <c r="BL2209" s="21">
        <v>0</v>
      </c>
      <c r="BM2209" s="25">
        <v>0</v>
      </c>
      <c r="BN2209" s="19">
        <v>0</v>
      </c>
      <c r="BO2209" s="19">
        <v>0</v>
      </c>
      <c r="BP2209" s="19">
        <v>0</v>
      </c>
      <c r="BQ2209" s="19">
        <v>0</v>
      </c>
      <c r="BR2209" s="19">
        <v>0</v>
      </c>
      <c r="BS2209" s="19">
        <v>0</v>
      </c>
      <c r="BT2209" s="19">
        <v>0</v>
      </c>
      <c r="BU2209" s="23">
        <v>0</v>
      </c>
      <c r="BV2209" s="23"/>
      <c r="BW2209" s="23"/>
      <c r="BX2209" s="23"/>
      <c r="BY2209" s="23"/>
      <c r="BZ2209" s="23"/>
    </row>
    <row r="2210" spans="1:78" ht="19.5" customHeight="1">
      <c r="C2210" s="32">
        <v>81000360</v>
      </c>
      <c r="D2210" s="190" t="s">
        <v>5044</v>
      </c>
      <c r="E2210" s="190" t="s">
        <v>5045</v>
      </c>
      <c r="F2210" s="191">
        <v>1</v>
      </c>
      <c r="G2210" s="19">
        <v>68000006</v>
      </c>
      <c r="H2210" s="21">
        <v>0</v>
      </c>
      <c r="I2210" s="193">
        <v>0</v>
      </c>
      <c r="J2210" s="191">
        <v>1</v>
      </c>
      <c r="K2210" s="191">
        <v>0</v>
      </c>
      <c r="L2210" s="191">
        <v>0</v>
      </c>
      <c r="M2210" s="194">
        <v>0</v>
      </c>
      <c r="N2210" s="194">
        <v>0</v>
      </c>
      <c r="O2210" s="194">
        <v>1</v>
      </c>
      <c r="P2210" s="194">
        <v>0</v>
      </c>
      <c r="Q2210" s="194">
        <v>0</v>
      </c>
      <c r="R2210" s="194">
        <v>0</v>
      </c>
      <c r="S2210" s="195">
        <v>0</v>
      </c>
      <c r="T2210" s="193">
        <v>0</v>
      </c>
      <c r="U2210" s="191">
        <v>1</v>
      </c>
      <c r="V2210" s="194">
        <v>2</v>
      </c>
      <c r="W2210" s="194">
        <v>0</v>
      </c>
      <c r="X2210" s="194">
        <v>0</v>
      </c>
      <c r="Y2210" s="19">
        <v>0</v>
      </c>
      <c r="Z2210" s="191">
        <v>0</v>
      </c>
      <c r="AA2210" s="194">
        <v>1</v>
      </c>
      <c r="AB2210" s="194">
        <v>0</v>
      </c>
      <c r="AC2210" s="194">
        <v>0</v>
      </c>
      <c r="AD2210" s="194">
        <v>0</v>
      </c>
      <c r="AE2210" s="194">
        <v>0</v>
      </c>
      <c r="AF2210" s="194">
        <v>1</v>
      </c>
      <c r="AG2210" s="194">
        <v>1</v>
      </c>
      <c r="AH2210" s="194">
        <v>4</v>
      </c>
      <c r="AI2210" s="195">
        <v>2</v>
      </c>
      <c r="AJ2210" s="195">
        <v>1</v>
      </c>
      <c r="AK2210" s="195">
        <v>0</v>
      </c>
      <c r="AL2210" s="195">
        <v>7</v>
      </c>
      <c r="AM2210" s="194">
        <v>0</v>
      </c>
      <c r="AN2210" s="194">
        <v>0</v>
      </c>
      <c r="AO2210" s="194">
        <v>0</v>
      </c>
      <c r="AP2210" s="194">
        <v>0</v>
      </c>
      <c r="AQ2210" s="194">
        <v>2000</v>
      </c>
      <c r="AR2210" s="194">
        <v>0</v>
      </c>
      <c r="AS2210" s="194">
        <v>0</v>
      </c>
      <c r="AT2210" s="195">
        <v>0</v>
      </c>
      <c r="AU2210" s="194"/>
      <c r="AV2210" s="194"/>
      <c r="AW2210" s="35" t="s">
        <v>205</v>
      </c>
      <c r="AX2210" s="194" t="s">
        <v>1701</v>
      </c>
      <c r="AY2210" s="194">
        <v>10000006</v>
      </c>
      <c r="AZ2210" s="194">
        <v>21101022</v>
      </c>
      <c r="BA2210" s="196" t="s">
        <v>1048</v>
      </c>
      <c r="BB2210" s="190">
        <v>0</v>
      </c>
      <c r="BC2210" s="193">
        <v>0</v>
      </c>
      <c r="BD2210" s="193">
        <v>0</v>
      </c>
      <c r="BE2210" s="197" t="str">
        <f>"立即将附近玩家全部拉到当前位置"</f>
        <v>立即将附近玩家全部拉到当前位置</v>
      </c>
      <c r="BF2210" s="197" t="s">
        <v>5046</v>
      </c>
      <c r="BG2210" s="194">
        <v>0</v>
      </c>
      <c r="BH2210" s="191">
        <v>0</v>
      </c>
      <c r="BI2210" s="194">
        <v>0</v>
      </c>
      <c r="BJ2210" s="194">
        <v>0</v>
      </c>
      <c r="BK2210" s="194">
        <v>0</v>
      </c>
      <c r="BL2210" s="194">
        <v>0</v>
      </c>
      <c r="BM2210" s="198">
        <v>0</v>
      </c>
      <c r="BN2210" s="195">
        <v>0</v>
      </c>
      <c r="BO2210" s="195">
        <v>0</v>
      </c>
      <c r="BP2210" s="195">
        <v>0</v>
      </c>
      <c r="BQ2210" s="195">
        <v>0</v>
      </c>
      <c r="BR2210" s="195">
        <v>0</v>
      </c>
      <c r="BS2210" s="195">
        <v>0</v>
      </c>
      <c r="BT2210" s="19">
        <v>0</v>
      </c>
      <c r="BU2210" s="23">
        <v>0</v>
      </c>
      <c r="BV2210" s="23"/>
      <c r="BW2210" s="23"/>
      <c r="BX2210" s="23"/>
      <c r="BY2210" s="23"/>
      <c r="BZ2210" s="23"/>
    </row>
    <row r="2211" spans="1:78" ht="19.5" customHeight="1">
      <c r="C2211" s="32">
        <v>81000370</v>
      </c>
      <c r="D2211" s="35" t="s">
        <v>5047</v>
      </c>
      <c r="E2211" s="35" t="s">
        <v>5048</v>
      </c>
      <c r="F2211" s="21">
        <v>1</v>
      </c>
      <c r="G2211" s="32">
        <v>68000007</v>
      </c>
      <c r="H2211" s="32">
        <v>0</v>
      </c>
      <c r="I2211" s="31">
        <v>0</v>
      </c>
      <c r="J2211" s="21">
        <v>1</v>
      </c>
      <c r="K2211" s="21">
        <v>0</v>
      </c>
      <c r="L2211" s="21">
        <v>0</v>
      </c>
      <c r="M2211" s="32">
        <v>0</v>
      </c>
      <c r="N2211" s="32">
        <v>0</v>
      </c>
      <c r="O2211" s="32">
        <v>1</v>
      </c>
      <c r="P2211" s="32">
        <v>0</v>
      </c>
      <c r="Q2211" s="32">
        <v>0</v>
      </c>
      <c r="R2211" s="32">
        <v>0</v>
      </c>
      <c r="S2211" s="19">
        <v>0</v>
      </c>
      <c r="T2211" s="31">
        <v>0</v>
      </c>
      <c r="U2211" s="21">
        <v>1</v>
      </c>
      <c r="V2211" s="32">
        <v>2</v>
      </c>
      <c r="W2211" s="32">
        <v>0</v>
      </c>
      <c r="X2211" s="32">
        <v>0</v>
      </c>
      <c r="Y2211" s="19">
        <v>0</v>
      </c>
      <c r="Z2211" s="32">
        <v>0</v>
      </c>
      <c r="AA2211" s="32">
        <v>1</v>
      </c>
      <c r="AB2211" s="32">
        <v>0</v>
      </c>
      <c r="AC2211" s="32">
        <v>0</v>
      </c>
      <c r="AD2211" s="32">
        <v>0</v>
      </c>
      <c r="AE2211" s="32">
        <v>0</v>
      </c>
      <c r="AF2211" s="32">
        <v>1</v>
      </c>
      <c r="AG2211" s="32">
        <v>1</v>
      </c>
      <c r="AH2211" s="32">
        <v>3</v>
      </c>
      <c r="AI2211" s="19">
        <v>2</v>
      </c>
      <c r="AJ2211" s="19">
        <v>1</v>
      </c>
      <c r="AK2211" s="19">
        <v>0</v>
      </c>
      <c r="AL2211" s="19">
        <v>4</v>
      </c>
      <c r="AM2211" s="32">
        <v>0</v>
      </c>
      <c r="AN2211" s="32">
        <v>0</v>
      </c>
      <c r="AO2211" s="32">
        <v>0</v>
      </c>
      <c r="AP2211" s="32">
        <v>0</v>
      </c>
      <c r="AQ2211" s="32">
        <v>30000</v>
      </c>
      <c r="AR2211" s="32">
        <v>0</v>
      </c>
      <c r="AS2211" s="32">
        <v>0</v>
      </c>
      <c r="AT2211" s="19">
        <v>0</v>
      </c>
      <c r="AU2211" s="281">
        <v>81000370</v>
      </c>
      <c r="AV2211" s="282"/>
      <c r="AW2211" s="35" t="s">
        <v>205</v>
      </c>
      <c r="AX2211" s="32" t="s">
        <v>540</v>
      </c>
      <c r="AY2211" s="32">
        <v>10003002</v>
      </c>
      <c r="AZ2211" s="32">
        <v>21100060</v>
      </c>
      <c r="BA2211" s="35" t="s">
        <v>206</v>
      </c>
      <c r="BB2211" s="35">
        <v>0</v>
      </c>
      <c r="BC2211" s="31">
        <v>0</v>
      </c>
      <c r="BD2211" s="31">
        <v>0</v>
      </c>
      <c r="BE2211" s="185" t="s">
        <v>5049</v>
      </c>
      <c r="BF2211" s="185" t="s">
        <v>5050</v>
      </c>
      <c r="BG2211" s="32">
        <v>0</v>
      </c>
      <c r="BH2211" s="21">
        <v>0</v>
      </c>
      <c r="BI2211" s="32">
        <v>0</v>
      </c>
      <c r="BJ2211" s="32">
        <v>0</v>
      </c>
      <c r="BK2211" s="32">
        <v>0</v>
      </c>
      <c r="BL2211" s="32">
        <v>0</v>
      </c>
      <c r="BM2211" s="25">
        <v>0</v>
      </c>
      <c r="BN2211" s="19">
        <v>0</v>
      </c>
      <c r="BO2211" s="19">
        <v>0</v>
      </c>
      <c r="BP2211" s="19">
        <v>0</v>
      </c>
      <c r="BQ2211" s="19">
        <v>0</v>
      </c>
      <c r="BR2211" s="19">
        <v>0</v>
      </c>
      <c r="BS2211" s="19">
        <v>0</v>
      </c>
      <c r="BT2211" s="19">
        <v>0</v>
      </c>
      <c r="BU2211" s="23">
        <v>0</v>
      </c>
      <c r="BV2211" s="23"/>
      <c r="BW2211" s="23"/>
      <c r="BX2211" s="23"/>
      <c r="BY2211" s="23"/>
      <c r="BZ2211" s="23"/>
    </row>
    <row r="2212" spans="1:78" ht="19.5" customHeight="1">
      <c r="A2212" s="140"/>
      <c r="B2212" s="140"/>
      <c r="C2212" s="32">
        <v>82000010</v>
      </c>
      <c r="D2212" s="71" t="s">
        <v>5655</v>
      </c>
      <c r="E2212" s="71" t="s">
        <v>2430</v>
      </c>
      <c r="F2212" s="74">
        <v>1</v>
      </c>
      <c r="G2212" s="72">
        <v>62011301</v>
      </c>
      <c r="H2212" s="74">
        <v>0</v>
      </c>
      <c r="I2212" s="75">
        <v>0</v>
      </c>
      <c r="J2212" s="74">
        <v>1</v>
      </c>
      <c r="K2212" s="74">
        <v>0</v>
      </c>
      <c r="L2212" s="74">
        <v>0</v>
      </c>
      <c r="M2212" s="72">
        <v>0</v>
      </c>
      <c r="N2212" s="72">
        <v>0</v>
      </c>
      <c r="O2212" s="72">
        <v>1</v>
      </c>
      <c r="P2212" s="72">
        <v>0</v>
      </c>
      <c r="Q2212" s="72">
        <v>0</v>
      </c>
      <c r="R2212" s="72">
        <v>0</v>
      </c>
      <c r="S2212" s="73">
        <v>0</v>
      </c>
      <c r="T2212" s="72">
        <v>0</v>
      </c>
      <c r="U2212" s="72">
        <v>1</v>
      </c>
      <c r="V2212" s="72">
        <v>2</v>
      </c>
      <c r="W2212" s="72">
        <v>0</v>
      </c>
      <c r="X2212" s="72">
        <v>0</v>
      </c>
      <c r="Y2212" s="19">
        <v>0</v>
      </c>
      <c r="Z2212" s="72">
        <v>0</v>
      </c>
      <c r="AA2212" s="72">
        <v>0</v>
      </c>
      <c r="AB2212" s="72">
        <v>0</v>
      </c>
      <c r="AC2212" s="72">
        <v>0</v>
      </c>
      <c r="AD2212" s="72">
        <v>0</v>
      </c>
      <c r="AE2212" s="72">
        <v>1</v>
      </c>
      <c r="AF2212" s="72">
        <v>0</v>
      </c>
      <c r="AG2212" s="72">
        <v>1</v>
      </c>
      <c r="AH2212" s="72">
        <v>0</v>
      </c>
      <c r="AI2212" s="73">
        <v>0</v>
      </c>
      <c r="AJ2212" s="73">
        <v>0</v>
      </c>
      <c r="AK2212" s="73">
        <v>0</v>
      </c>
      <c r="AL2212" s="73">
        <v>2</v>
      </c>
      <c r="AM2212" s="72">
        <v>0</v>
      </c>
      <c r="AN2212" s="72">
        <v>0</v>
      </c>
      <c r="AO2212" s="72">
        <v>0</v>
      </c>
      <c r="AP2212" s="72">
        <v>0</v>
      </c>
      <c r="AQ2212" s="72">
        <v>5000</v>
      </c>
      <c r="AR2212" s="72">
        <v>0</v>
      </c>
      <c r="AS2212" s="72">
        <v>0</v>
      </c>
      <c r="AT2212" s="73">
        <v>99008001</v>
      </c>
      <c r="AU2212" s="93">
        <v>0</v>
      </c>
      <c r="AV2212" s="93"/>
      <c r="AW2212" s="71" t="s">
        <v>204</v>
      </c>
      <c r="AX2212" s="72">
        <v>0</v>
      </c>
      <c r="AY2212" s="74">
        <v>0</v>
      </c>
      <c r="AZ2212" s="74">
        <v>0</v>
      </c>
      <c r="BA2212" s="71" t="s">
        <v>206</v>
      </c>
      <c r="BB2212" s="72">
        <v>0</v>
      </c>
      <c r="BC2212" s="75">
        <v>0</v>
      </c>
      <c r="BD2212" s="75">
        <v>1</v>
      </c>
      <c r="BE2212" s="76" t="s">
        <v>2432</v>
      </c>
      <c r="BF2212" s="76" t="s">
        <v>2433</v>
      </c>
      <c r="BG2212" s="72">
        <v>0</v>
      </c>
      <c r="BH2212" s="72">
        <v>0</v>
      </c>
      <c r="BI2212" s="72">
        <v>0</v>
      </c>
      <c r="BJ2212" s="72">
        <v>0</v>
      </c>
      <c r="BK2212" s="72">
        <v>0</v>
      </c>
      <c r="BL2212" s="72">
        <v>0</v>
      </c>
      <c r="BM2212" s="90">
        <v>0</v>
      </c>
      <c r="BN2212" s="73">
        <v>0</v>
      </c>
      <c r="BO2212" s="73">
        <v>0</v>
      </c>
      <c r="BP2212" s="73">
        <v>0</v>
      </c>
      <c r="BQ2212" s="73">
        <v>0</v>
      </c>
      <c r="BR2212" s="73">
        <v>0</v>
      </c>
      <c r="BS2212" s="73">
        <v>0</v>
      </c>
      <c r="BT2212" s="73">
        <v>0</v>
      </c>
      <c r="BU2212" s="73">
        <v>0</v>
      </c>
      <c r="BV2212" s="23"/>
      <c r="BW2212" s="23"/>
      <c r="BX2212" s="23"/>
      <c r="BY2212" s="23"/>
      <c r="BZ2212" s="23">
        <v>1</v>
      </c>
    </row>
    <row r="2213" spans="1:78" ht="20.100000000000001" customHeight="1">
      <c r="C2213" s="32">
        <v>67000262</v>
      </c>
      <c r="D2213" s="30" t="s">
        <v>5051</v>
      </c>
      <c r="E2213" s="30" t="s">
        <v>5052</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0</v>
      </c>
      <c r="Y2213" s="19">
        <v>0</v>
      </c>
      <c r="Z2213" s="21">
        <v>0</v>
      </c>
      <c r="AA2213" s="21">
        <v>0</v>
      </c>
      <c r="AB2213" s="21">
        <v>0</v>
      </c>
      <c r="AC2213" s="21">
        <v>0</v>
      </c>
      <c r="AD2213" s="21">
        <v>0</v>
      </c>
      <c r="AE2213" s="21">
        <v>0</v>
      </c>
      <c r="AF2213" s="21">
        <v>3</v>
      </c>
      <c r="AG2213" s="21">
        <v>2</v>
      </c>
      <c r="AH2213" s="21" t="s">
        <v>219</v>
      </c>
      <c r="AI2213" s="19">
        <v>0</v>
      </c>
      <c r="AJ2213" s="19">
        <v>0</v>
      </c>
      <c r="AK2213" s="19">
        <v>0</v>
      </c>
      <c r="AL2213" s="19">
        <v>1.5</v>
      </c>
      <c r="AM2213" s="21">
        <v>0</v>
      </c>
      <c r="AN2213" s="21">
        <v>0</v>
      </c>
      <c r="AO2213" s="21">
        <v>0</v>
      </c>
      <c r="AP2213" s="21">
        <v>1</v>
      </c>
      <c r="AQ2213" s="21">
        <v>3000</v>
      </c>
      <c r="AR2213" s="21">
        <v>0.5</v>
      </c>
      <c r="AS2213" s="21">
        <v>0</v>
      </c>
      <c r="AT2213" s="19">
        <v>93000201</v>
      </c>
      <c r="AU2213" s="21" t="s">
        <v>204</v>
      </c>
      <c r="AV2213" s="21"/>
      <c r="AW2213" s="30" t="s">
        <v>205</v>
      </c>
      <c r="AX2213" s="21">
        <v>0</v>
      </c>
      <c r="AY2213" s="32">
        <v>0</v>
      </c>
      <c r="AZ2213" s="32">
        <v>0</v>
      </c>
      <c r="BA2213" s="30" t="s">
        <v>5053</v>
      </c>
      <c r="BB2213" s="21">
        <v>0</v>
      </c>
      <c r="BC2213" s="31">
        <v>0</v>
      </c>
      <c r="BD2213" s="31">
        <v>1</v>
      </c>
      <c r="BE2213" s="33" t="s">
        <v>5054</v>
      </c>
      <c r="BF2213" s="33" t="s">
        <v>5055</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1:78" ht="20.100000000000001" customHeight="1">
      <c r="C2214" s="32">
        <v>67000263</v>
      </c>
      <c r="D2214" s="30" t="s">
        <v>5056</v>
      </c>
      <c r="E2214" s="30" t="s">
        <v>5057</v>
      </c>
      <c r="F2214" s="21">
        <v>1</v>
      </c>
      <c r="G2214" s="21">
        <v>90002001</v>
      </c>
      <c r="H2214" s="21">
        <v>0</v>
      </c>
      <c r="I2214" s="31">
        <v>0</v>
      </c>
      <c r="J2214" s="32">
        <v>1</v>
      </c>
      <c r="K2214" s="32">
        <v>0</v>
      </c>
      <c r="L2214" s="32">
        <v>0</v>
      </c>
      <c r="M2214" s="21">
        <v>0</v>
      </c>
      <c r="N2214" s="21">
        <v>0</v>
      </c>
      <c r="O2214" s="21">
        <v>1</v>
      </c>
      <c r="P2214" s="21">
        <v>1</v>
      </c>
      <c r="Q2214" s="21">
        <v>0.1</v>
      </c>
      <c r="R2214" s="21">
        <v>0</v>
      </c>
      <c r="S2214" s="19">
        <v>0</v>
      </c>
      <c r="T2214" s="21">
        <v>0</v>
      </c>
      <c r="U2214" s="21">
        <v>1</v>
      </c>
      <c r="V2214" s="21">
        <v>2</v>
      </c>
      <c r="W2214" s="21">
        <v>0</v>
      </c>
      <c r="X2214" s="21">
        <v>0</v>
      </c>
      <c r="Y2214" s="19">
        <v>0</v>
      </c>
      <c r="Z2214" s="21">
        <v>0</v>
      </c>
      <c r="AA2214" s="21">
        <v>0</v>
      </c>
      <c r="AB2214" s="21">
        <v>0</v>
      </c>
      <c r="AC2214" s="21">
        <v>0</v>
      </c>
      <c r="AD2214" s="21">
        <v>0</v>
      </c>
      <c r="AE2214" s="21">
        <v>0</v>
      </c>
      <c r="AF2214" s="21">
        <v>3</v>
      </c>
      <c r="AG2214" s="21">
        <v>2</v>
      </c>
      <c r="AH2214" s="21" t="s">
        <v>219</v>
      </c>
      <c r="AI2214" s="19">
        <v>1</v>
      </c>
      <c r="AJ2214" s="19">
        <v>0</v>
      </c>
      <c r="AK2214" s="19">
        <v>0</v>
      </c>
      <c r="AL2214" s="19">
        <v>1.5</v>
      </c>
      <c r="AM2214" s="21">
        <v>0</v>
      </c>
      <c r="AN2214" s="21">
        <v>0</v>
      </c>
      <c r="AO2214" s="21">
        <v>0</v>
      </c>
      <c r="AP2214" s="21">
        <v>1</v>
      </c>
      <c r="AQ2214" s="21">
        <v>3000</v>
      </c>
      <c r="AR2214" s="21">
        <v>0.5</v>
      </c>
      <c r="AS2214" s="21">
        <v>0</v>
      </c>
      <c r="AT2214" s="19">
        <v>0</v>
      </c>
      <c r="AU2214" s="21" t="s">
        <v>5058</v>
      </c>
      <c r="AV2214" s="21"/>
      <c r="AW2214" s="30" t="s">
        <v>293</v>
      </c>
      <c r="AX2214" s="21">
        <v>0</v>
      </c>
      <c r="AY2214" s="32">
        <v>0</v>
      </c>
      <c r="AZ2214" s="32">
        <v>0</v>
      </c>
      <c r="BA2214" s="30" t="s">
        <v>206</v>
      </c>
      <c r="BB2214" s="21">
        <v>0</v>
      </c>
      <c r="BC2214" s="31">
        <v>0</v>
      </c>
      <c r="BD2214" s="31">
        <v>1</v>
      </c>
      <c r="BE2214" s="33" t="s">
        <v>5059</v>
      </c>
      <c r="BF2214" s="33" t="s">
        <v>5060</v>
      </c>
      <c r="BG2214" s="21">
        <v>0</v>
      </c>
      <c r="BH2214" s="21">
        <v>0</v>
      </c>
      <c r="BI2214" s="21">
        <v>0</v>
      </c>
      <c r="BJ2214" s="21">
        <v>0</v>
      </c>
      <c r="BK2214" s="21">
        <v>0</v>
      </c>
      <c r="BL2214" s="21">
        <v>0</v>
      </c>
      <c r="BM2214" s="21">
        <v>0</v>
      </c>
      <c r="BN2214" s="19">
        <v>0</v>
      </c>
      <c r="BO2214" s="19">
        <v>0</v>
      </c>
      <c r="BP2214" s="19">
        <v>0</v>
      </c>
      <c r="BQ2214" s="19">
        <v>0</v>
      </c>
      <c r="BR2214" s="19">
        <v>0</v>
      </c>
      <c r="BS2214" s="19">
        <v>0</v>
      </c>
      <c r="BT2214" s="19">
        <v>0</v>
      </c>
      <c r="BU2214" s="23">
        <v>0</v>
      </c>
      <c r="BV2214" s="23"/>
      <c r="BW2214" s="23"/>
      <c r="BX2214" s="23"/>
      <c r="BY2214" s="23"/>
      <c r="BZ2214" s="23"/>
    </row>
    <row r="2215" spans="1:78" ht="20.100000000000001" customHeight="1">
      <c r="C2215" s="32">
        <v>67000264</v>
      </c>
      <c r="D2215" s="71" t="s">
        <v>5061</v>
      </c>
      <c r="E2215" s="71" t="s">
        <v>5062</v>
      </c>
      <c r="F2215" s="21">
        <v>1</v>
      </c>
      <c r="G2215" s="21">
        <v>90002001</v>
      </c>
      <c r="H2215" s="72">
        <v>0</v>
      </c>
      <c r="I2215" s="31">
        <v>0</v>
      </c>
      <c r="J2215" s="32">
        <v>1</v>
      </c>
      <c r="K2215" s="32">
        <v>0</v>
      </c>
      <c r="L2215" s="32">
        <v>0</v>
      </c>
      <c r="M2215" s="72">
        <v>0</v>
      </c>
      <c r="N2215" s="72">
        <v>0</v>
      </c>
      <c r="O2215" s="72">
        <v>1</v>
      </c>
      <c r="P2215" s="21">
        <v>1</v>
      </c>
      <c r="Q2215" s="21">
        <v>0.1</v>
      </c>
      <c r="R2215" s="72">
        <v>0</v>
      </c>
      <c r="S2215" s="19">
        <v>0</v>
      </c>
      <c r="T2215" s="72">
        <v>0</v>
      </c>
      <c r="U2215" s="21">
        <v>1</v>
      </c>
      <c r="V2215" s="72">
        <v>2</v>
      </c>
      <c r="W2215" s="72">
        <v>0</v>
      </c>
      <c r="X2215" s="72">
        <v>1.5</v>
      </c>
      <c r="Y2215" s="19">
        <v>0</v>
      </c>
      <c r="Z2215" s="21">
        <v>0</v>
      </c>
      <c r="AA2215" s="72">
        <v>0</v>
      </c>
      <c r="AB2215" s="72">
        <v>0</v>
      </c>
      <c r="AC2215" s="72">
        <v>0</v>
      </c>
      <c r="AD2215" s="72">
        <v>0</v>
      </c>
      <c r="AE2215" s="72">
        <v>0</v>
      </c>
      <c r="AF2215" s="72">
        <v>10</v>
      </c>
      <c r="AG2215" s="72">
        <v>2</v>
      </c>
      <c r="AH2215" s="72" t="s">
        <v>2256</v>
      </c>
      <c r="AI2215" s="73">
        <v>0</v>
      </c>
      <c r="AJ2215" s="19">
        <v>0</v>
      </c>
      <c r="AK2215" s="19">
        <v>0</v>
      </c>
      <c r="AL2215" s="73">
        <v>1.5</v>
      </c>
      <c r="AM2215" s="72">
        <v>0</v>
      </c>
      <c r="AN2215" s="72">
        <v>0</v>
      </c>
      <c r="AO2215" s="72">
        <v>0</v>
      </c>
      <c r="AP2215" s="72">
        <v>2</v>
      </c>
      <c r="AQ2215" s="72">
        <v>3000</v>
      </c>
      <c r="AR2215" s="72">
        <v>0.5</v>
      </c>
      <c r="AS2215" s="72">
        <v>0</v>
      </c>
      <c r="AT2215" s="19">
        <v>0</v>
      </c>
      <c r="AU2215" s="72" t="s">
        <v>204</v>
      </c>
      <c r="AV2215" s="72"/>
      <c r="AW2215" s="71" t="s">
        <v>293</v>
      </c>
      <c r="AX2215" s="21">
        <v>0</v>
      </c>
      <c r="AY2215" s="74">
        <v>10000007</v>
      </c>
      <c r="AZ2215" s="32">
        <v>23000010</v>
      </c>
      <c r="BA2215" s="71" t="s">
        <v>206</v>
      </c>
      <c r="BB2215" s="72">
        <v>0</v>
      </c>
      <c r="BC2215" s="75">
        <v>0</v>
      </c>
      <c r="BD2215" s="31">
        <v>1</v>
      </c>
      <c r="BE2215" s="76" t="s">
        <v>5063</v>
      </c>
      <c r="BF2215" s="76" t="s">
        <v>5064</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c r="BZ2215" s="23"/>
    </row>
    <row r="2216" spans="1:78" ht="20.100000000000001" customHeight="1">
      <c r="C2216" s="32">
        <v>67000265</v>
      </c>
      <c r="D2216" s="30" t="s">
        <v>5065</v>
      </c>
      <c r="E2216" s="30" t="s">
        <v>5066</v>
      </c>
      <c r="F2216" s="21">
        <v>1</v>
      </c>
      <c r="G2216" s="21">
        <v>90002001</v>
      </c>
      <c r="H2216" s="21">
        <v>0</v>
      </c>
      <c r="I2216" s="31">
        <v>0</v>
      </c>
      <c r="J2216" s="32">
        <v>1</v>
      </c>
      <c r="K2216" s="32">
        <v>0</v>
      </c>
      <c r="L2216" s="32">
        <v>0</v>
      </c>
      <c r="M2216" s="21">
        <v>0</v>
      </c>
      <c r="N2216" s="21">
        <v>0</v>
      </c>
      <c r="O2216" s="21">
        <v>1</v>
      </c>
      <c r="P2216" s="21">
        <v>2</v>
      </c>
      <c r="Q2216" s="21">
        <v>1</v>
      </c>
      <c r="R2216" s="21">
        <v>0</v>
      </c>
      <c r="S2216" s="19">
        <v>0</v>
      </c>
      <c r="T2216" s="21">
        <v>0</v>
      </c>
      <c r="U2216" s="21">
        <v>1</v>
      </c>
      <c r="V2216" s="21">
        <v>2</v>
      </c>
      <c r="W2216" s="21">
        <v>0</v>
      </c>
      <c r="X2216" s="21">
        <v>0</v>
      </c>
      <c r="Y2216" s="19">
        <v>0</v>
      </c>
      <c r="Z2216" s="21">
        <v>0</v>
      </c>
      <c r="AA2216" s="21">
        <v>0</v>
      </c>
      <c r="AB2216" s="21">
        <v>0</v>
      </c>
      <c r="AC2216" s="21">
        <v>0</v>
      </c>
      <c r="AD2216" s="21">
        <v>0</v>
      </c>
      <c r="AE2216" s="21">
        <v>0</v>
      </c>
      <c r="AF2216" s="21">
        <v>30</v>
      </c>
      <c r="AG2216" s="21">
        <v>2</v>
      </c>
      <c r="AH2216" s="21" t="s">
        <v>219</v>
      </c>
      <c r="AI2216" s="19">
        <v>0</v>
      </c>
      <c r="AJ2216" s="19">
        <v>0</v>
      </c>
      <c r="AK2216" s="19">
        <v>0</v>
      </c>
      <c r="AL2216" s="19">
        <v>1.5</v>
      </c>
      <c r="AM2216" s="21">
        <v>0</v>
      </c>
      <c r="AN2216" s="21">
        <v>0</v>
      </c>
      <c r="AO2216" s="21">
        <v>0</v>
      </c>
      <c r="AP2216" s="21">
        <v>1</v>
      </c>
      <c r="AQ2216" s="21">
        <v>3000</v>
      </c>
      <c r="AR2216" s="21">
        <v>0.5</v>
      </c>
      <c r="AS2216" s="21">
        <v>0</v>
      </c>
      <c r="AT2216" s="19">
        <v>93000203</v>
      </c>
      <c r="AU2216" s="21" t="s">
        <v>204</v>
      </c>
      <c r="AV2216" s="21"/>
      <c r="AW2216" s="30" t="s">
        <v>205</v>
      </c>
      <c r="AX2216" s="21">
        <v>0</v>
      </c>
      <c r="AY2216" s="32">
        <v>0</v>
      </c>
      <c r="AZ2216" s="32">
        <v>0</v>
      </c>
      <c r="BA2216" s="30" t="s">
        <v>5053</v>
      </c>
      <c r="BB2216" s="21">
        <v>0</v>
      </c>
      <c r="BC2216" s="31">
        <v>0</v>
      </c>
      <c r="BD2216" s="31">
        <v>1</v>
      </c>
      <c r="BE2216" s="33" t="s">
        <v>5067</v>
      </c>
      <c r="BF2216" s="33" t="s">
        <v>5068</v>
      </c>
      <c r="BG2216" s="21">
        <v>0</v>
      </c>
      <c r="BH2216" s="21">
        <v>0</v>
      </c>
      <c r="BI2216" s="21">
        <v>0</v>
      </c>
      <c r="BJ2216" s="21">
        <v>0</v>
      </c>
      <c r="BK2216" s="21">
        <v>0</v>
      </c>
      <c r="BL2216" s="21">
        <v>0</v>
      </c>
      <c r="BM2216" s="21">
        <v>0</v>
      </c>
      <c r="BN2216" s="19">
        <v>0</v>
      </c>
      <c r="BO2216" s="19">
        <v>0</v>
      </c>
      <c r="BP2216" s="19">
        <v>0</v>
      </c>
      <c r="BQ2216" s="19">
        <v>0</v>
      </c>
      <c r="BR2216" s="19">
        <v>0</v>
      </c>
      <c r="BS2216" s="19">
        <v>0</v>
      </c>
      <c r="BT2216" s="19">
        <v>0</v>
      </c>
      <c r="BU2216" s="23">
        <v>0</v>
      </c>
      <c r="BV2216" s="23"/>
      <c r="BW2216" s="23"/>
      <c r="BX2216" s="23"/>
      <c r="BY2216" s="23"/>
      <c r="BZ2216" s="23"/>
    </row>
    <row r="2217" spans="1:78" ht="20.100000000000001" customHeight="1">
      <c r="C2217" s="32">
        <v>67000266</v>
      </c>
      <c r="D2217" s="30" t="s">
        <v>5069</v>
      </c>
      <c r="E2217" s="30" t="s">
        <v>5070</v>
      </c>
      <c r="F2217" s="21">
        <v>1</v>
      </c>
      <c r="G2217" s="21">
        <v>90002001</v>
      </c>
      <c r="H2217" s="21">
        <v>0</v>
      </c>
      <c r="I2217" s="31">
        <v>0</v>
      </c>
      <c r="J2217" s="32">
        <v>1</v>
      </c>
      <c r="K2217" s="32">
        <v>0</v>
      </c>
      <c r="L2217" s="32">
        <v>0</v>
      </c>
      <c r="M2217" s="21">
        <v>0</v>
      </c>
      <c r="N2217" s="21">
        <v>0</v>
      </c>
      <c r="O2217" s="21">
        <v>1</v>
      </c>
      <c r="P2217" s="21">
        <v>1</v>
      </c>
      <c r="Q2217" s="21">
        <v>0.1</v>
      </c>
      <c r="R2217" s="21">
        <v>0</v>
      </c>
      <c r="S2217" s="19">
        <v>0</v>
      </c>
      <c r="T2217" s="21">
        <v>0</v>
      </c>
      <c r="U2217" s="21">
        <v>1</v>
      </c>
      <c r="V2217" s="21">
        <v>2</v>
      </c>
      <c r="W2217" s="21">
        <v>0</v>
      </c>
      <c r="X2217" s="21">
        <v>1.5</v>
      </c>
      <c r="Y2217" s="19">
        <v>0</v>
      </c>
      <c r="Z2217" s="21">
        <v>0</v>
      </c>
      <c r="AA2217" s="21">
        <v>0</v>
      </c>
      <c r="AB2217" s="21">
        <v>0</v>
      </c>
      <c r="AC2217" s="21">
        <v>0</v>
      </c>
      <c r="AD2217" s="21">
        <v>0</v>
      </c>
      <c r="AE2217" s="21">
        <v>0</v>
      </c>
      <c r="AF2217" s="21">
        <v>3</v>
      </c>
      <c r="AG2217" s="21">
        <v>2</v>
      </c>
      <c r="AH2217" s="21" t="s">
        <v>219</v>
      </c>
      <c r="AI2217" s="19">
        <v>7</v>
      </c>
      <c r="AJ2217" s="19">
        <v>0</v>
      </c>
      <c r="AK2217" s="19">
        <v>0</v>
      </c>
      <c r="AL2217" s="19">
        <v>1.5</v>
      </c>
      <c r="AM2217" s="21">
        <v>0</v>
      </c>
      <c r="AN2217" s="21">
        <v>0</v>
      </c>
      <c r="AO2217" s="21">
        <v>0</v>
      </c>
      <c r="AP2217" s="21">
        <v>1</v>
      </c>
      <c r="AQ2217" s="21">
        <v>3000</v>
      </c>
      <c r="AR2217" s="21">
        <v>0.5</v>
      </c>
      <c r="AS2217" s="21">
        <v>0</v>
      </c>
      <c r="AT2217" s="19">
        <v>0</v>
      </c>
      <c r="AU2217" s="21" t="s">
        <v>5071</v>
      </c>
      <c r="AV2217" s="21"/>
      <c r="AW2217" s="30" t="s">
        <v>293</v>
      </c>
      <c r="AX2217" s="21">
        <v>0</v>
      </c>
      <c r="AY2217" s="32">
        <v>0</v>
      </c>
      <c r="AZ2217" s="32">
        <v>0</v>
      </c>
      <c r="BA2217" s="30" t="s">
        <v>206</v>
      </c>
      <c r="BB2217" s="21">
        <v>0</v>
      </c>
      <c r="BC2217" s="31">
        <v>0</v>
      </c>
      <c r="BD2217" s="31">
        <v>1</v>
      </c>
      <c r="BE2217" s="33" t="s">
        <v>5072</v>
      </c>
      <c r="BF2217" s="33" t="s">
        <v>5073</v>
      </c>
      <c r="BG2217" s="21">
        <v>0</v>
      </c>
      <c r="BH2217" s="21">
        <v>0</v>
      </c>
      <c r="BI2217" s="21">
        <v>0</v>
      </c>
      <c r="BJ2217" s="21">
        <v>0</v>
      </c>
      <c r="BK2217" s="21">
        <v>0</v>
      </c>
      <c r="BL2217" s="21">
        <v>0</v>
      </c>
      <c r="BM2217" s="21">
        <v>0</v>
      </c>
      <c r="BN2217" s="19">
        <v>0</v>
      </c>
      <c r="BO2217" s="19">
        <v>0</v>
      </c>
      <c r="BP2217" s="19">
        <v>0</v>
      </c>
      <c r="BQ2217" s="19">
        <v>0</v>
      </c>
      <c r="BR2217" s="19">
        <v>0</v>
      </c>
      <c r="BS2217" s="19">
        <v>0</v>
      </c>
      <c r="BT2217" s="19">
        <v>0</v>
      </c>
      <c r="BU2217" s="23">
        <v>0</v>
      </c>
      <c r="BV2217" s="23"/>
      <c r="BW2217" s="23"/>
      <c r="BX2217" s="23"/>
      <c r="BY2217" s="23"/>
      <c r="BZ2217" s="23"/>
    </row>
    <row r="2218" spans="1:78" ht="20.100000000000001" customHeight="1">
      <c r="C2218" s="32">
        <v>67000267</v>
      </c>
      <c r="D2218" s="71" t="s">
        <v>5074</v>
      </c>
      <c r="E2218" s="71" t="s">
        <v>5075</v>
      </c>
      <c r="F2218" s="21">
        <v>1</v>
      </c>
      <c r="G2218" s="21">
        <v>90002001</v>
      </c>
      <c r="H2218" s="72">
        <v>0</v>
      </c>
      <c r="I2218" s="31">
        <v>0</v>
      </c>
      <c r="J2218" s="32">
        <v>1</v>
      </c>
      <c r="K2218" s="32">
        <v>0</v>
      </c>
      <c r="L2218" s="32">
        <v>0</v>
      </c>
      <c r="M2218" s="72">
        <v>0</v>
      </c>
      <c r="N2218" s="72">
        <v>0</v>
      </c>
      <c r="O2218" s="72">
        <v>1</v>
      </c>
      <c r="P2218" s="72">
        <v>1</v>
      </c>
      <c r="Q2218" s="72">
        <v>0.1</v>
      </c>
      <c r="R2218" s="72">
        <v>0</v>
      </c>
      <c r="S2218" s="19">
        <v>0</v>
      </c>
      <c r="T2218" s="72">
        <v>0</v>
      </c>
      <c r="U2218" s="21">
        <v>1</v>
      </c>
      <c r="V2218" s="72">
        <v>2</v>
      </c>
      <c r="W2218" s="72">
        <v>0</v>
      </c>
      <c r="X2218" s="72">
        <v>1.5</v>
      </c>
      <c r="Y2218" s="19">
        <v>0</v>
      </c>
      <c r="Z2218" s="72">
        <v>0</v>
      </c>
      <c r="AA2218" s="72">
        <v>0</v>
      </c>
      <c r="AB2218" s="72">
        <v>0</v>
      </c>
      <c r="AC2218" s="72">
        <v>0</v>
      </c>
      <c r="AD2218" s="72">
        <v>0</v>
      </c>
      <c r="AE2218" s="72">
        <v>0</v>
      </c>
      <c r="AF2218" s="72">
        <v>3</v>
      </c>
      <c r="AG2218" s="72">
        <v>1</v>
      </c>
      <c r="AH2218" s="72" t="s">
        <v>867</v>
      </c>
      <c r="AI2218" s="73">
        <v>0</v>
      </c>
      <c r="AJ2218" s="73">
        <v>0</v>
      </c>
      <c r="AK2218" s="19">
        <v>0</v>
      </c>
      <c r="AL2218" s="73">
        <v>1.5</v>
      </c>
      <c r="AM2218" s="72">
        <v>0</v>
      </c>
      <c r="AN2218" s="72">
        <v>0</v>
      </c>
      <c r="AO2218" s="72">
        <v>0</v>
      </c>
      <c r="AP2218" s="72">
        <v>1</v>
      </c>
      <c r="AQ2218" s="72">
        <v>3000</v>
      </c>
      <c r="AR2218" s="72">
        <v>1</v>
      </c>
      <c r="AS2218" s="72">
        <v>0</v>
      </c>
      <c r="AT2218" s="19">
        <v>0</v>
      </c>
      <c r="AU2218" s="72" t="s">
        <v>204</v>
      </c>
      <c r="AV2218" s="72"/>
      <c r="AW2218" s="71" t="s">
        <v>205</v>
      </c>
      <c r="AX2218" s="21">
        <v>0</v>
      </c>
      <c r="AY2218" s="74">
        <v>10000007</v>
      </c>
      <c r="AZ2218" s="32">
        <v>23000020</v>
      </c>
      <c r="BA2218" s="71" t="s">
        <v>206</v>
      </c>
      <c r="BB2218" s="72">
        <v>0</v>
      </c>
      <c r="BC2218" s="75">
        <v>0</v>
      </c>
      <c r="BD2218" s="31">
        <v>1</v>
      </c>
      <c r="BE2218" s="76" t="s">
        <v>5076</v>
      </c>
      <c r="BF2218" s="76" t="s">
        <v>5077</v>
      </c>
      <c r="BG2218" s="72">
        <v>0</v>
      </c>
      <c r="BH2218" s="21">
        <v>0</v>
      </c>
      <c r="BI2218" s="72">
        <v>0</v>
      </c>
      <c r="BJ2218" s="72">
        <v>0</v>
      </c>
      <c r="BK2218" s="72">
        <v>0</v>
      </c>
      <c r="BL2218" s="72">
        <v>0</v>
      </c>
      <c r="BM2218" s="21">
        <v>0</v>
      </c>
      <c r="BN2218" s="19">
        <v>0</v>
      </c>
      <c r="BO2218" s="19">
        <v>0</v>
      </c>
      <c r="BP2218" s="19">
        <v>0</v>
      </c>
      <c r="BQ2218" s="19">
        <v>0</v>
      </c>
      <c r="BR2218" s="19">
        <v>0</v>
      </c>
      <c r="BS2218" s="19">
        <v>0</v>
      </c>
      <c r="BT2218" s="19">
        <v>0</v>
      </c>
      <c r="BU2218" s="23">
        <v>0</v>
      </c>
      <c r="BV2218" s="23"/>
      <c r="BW2218" s="23"/>
      <c r="BX2218" s="23"/>
      <c r="BY2218" s="23"/>
      <c r="BZ2218" s="23"/>
    </row>
    <row r="2219" spans="1:78" ht="20.100000000000001" customHeight="1">
      <c r="C2219" s="32">
        <v>67000268</v>
      </c>
      <c r="D2219" s="71" t="s">
        <v>5078</v>
      </c>
      <c r="E2219" s="71" t="s">
        <v>5079</v>
      </c>
      <c r="F2219" s="21">
        <v>1</v>
      </c>
      <c r="G2219" s="21">
        <v>90002001</v>
      </c>
      <c r="H2219" s="72">
        <v>0</v>
      </c>
      <c r="I2219" s="31">
        <v>0</v>
      </c>
      <c r="J2219" s="32">
        <v>1</v>
      </c>
      <c r="K2219" s="32">
        <v>0</v>
      </c>
      <c r="L2219" s="32">
        <v>0</v>
      </c>
      <c r="M2219" s="72">
        <v>0</v>
      </c>
      <c r="N2219" s="72">
        <v>0</v>
      </c>
      <c r="O2219" s="72">
        <v>1</v>
      </c>
      <c r="P2219" s="72">
        <v>1</v>
      </c>
      <c r="Q2219" s="72">
        <v>0.1</v>
      </c>
      <c r="R2219" s="72">
        <v>0</v>
      </c>
      <c r="S2219" s="19">
        <v>0</v>
      </c>
      <c r="T2219" s="72">
        <v>0</v>
      </c>
      <c r="U2219" s="21">
        <v>1</v>
      </c>
      <c r="V2219" s="72">
        <v>2</v>
      </c>
      <c r="W2219" s="72">
        <v>0</v>
      </c>
      <c r="X2219" s="72">
        <v>1</v>
      </c>
      <c r="Y2219" s="19">
        <v>0</v>
      </c>
      <c r="Z2219" s="72">
        <v>0</v>
      </c>
      <c r="AA2219" s="72">
        <v>0</v>
      </c>
      <c r="AB2219" s="72">
        <v>0</v>
      </c>
      <c r="AC2219" s="72">
        <v>0</v>
      </c>
      <c r="AD2219" s="72">
        <v>0</v>
      </c>
      <c r="AE2219" s="72">
        <v>0</v>
      </c>
      <c r="AF2219" s="72">
        <v>3</v>
      </c>
      <c r="AG2219" s="72">
        <v>2</v>
      </c>
      <c r="AH2219" s="72" t="s">
        <v>219</v>
      </c>
      <c r="AI2219" s="73">
        <v>0</v>
      </c>
      <c r="AJ2219" s="73">
        <v>1</v>
      </c>
      <c r="AK2219" s="19">
        <v>0</v>
      </c>
      <c r="AL2219" s="73">
        <v>1.5</v>
      </c>
      <c r="AM2219" s="72">
        <v>0</v>
      </c>
      <c r="AN2219" s="72">
        <v>0</v>
      </c>
      <c r="AO2219" s="72">
        <v>0</v>
      </c>
      <c r="AP2219" s="72">
        <v>1</v>
      </c>
      <c r="AQ2219" s="72">
        <v>3000</v>
      </c>
      <c r="AR2219" s="72">
        <v>0.5</v>
      </c>
      <c r="AS2219" s="72">
        <v>0</v>
      </c>
      <c r="AT2219" s="19">
        <v>0</v>
      </c>
      <c r="AU2219" s="72" t="s">
        <v>5080</v>
      </c>
      <c r="AV2219" s="72"/>
      <c r="AW2219" s="71" t="s">
        <v>293</v>
      </c>
      <c r="AX2219" s="21">
        <v>0</v>
      </c>
      <c r="AY2219" s="74">
        <v>10000007</v>
      </c>
      <c r="AZ2219" s="32">
        <v>23000030</v>
      </c>
      <c r="BA2219" s="71" t="s">
        <v>206</v>
      </c>
      <c r="BB2219" s="72">
        <v>0</v>
      </c>
      <c r="BC2219" s="75">
        <v>0</v>
      </c>
      <c r="BD2219" s="31">
        <v>1</v>
      </c>
      <c r="BE2219" s="76" t="s">
        <v>5081</v>
      </c>
      <c r="BF2219" s="76" t="s">
        <v>5082</v>
      </c>
      <c r="BG2219" s="72">
        <v>0</v>
      </c>
      <c r="BH2219" s="21">
        <v>0</v>
      </c>
      <c r="BI2219" s="72">
        <v>0</v>
      </c>
      <c r="BJ2219" s="72">
        <v>0</v>
      </c>
      <c r="BK2219" s="72">
        <v>0</v>
      </c>
      <c r="BL2219" s="72">
        <v>0</v>
      </c>
      <c r="BM2219" s="21">
        <v>0</v>
      </c>
      <c r="BN2219" s="19">
        <v>0</v>
      </c>
      <c r="BO2219" s="19">
        <v>0</v>
      </c>
      <c r="BP2219" s="19">
        <v>0</v>
      </c>
      <c r="BQ2219" s="19">
        <v>0</v>
      </c>
      <c r="BR2219" s="19">
        <v>0</v>
      </c>
      <c r="BS2219" s="19">
        <v>0</v>
      </c>
      <c r="BT2219" s="19">
        <v>0</v>
      </c>
      <c r="BU2219" s="23">
        <v>0</v>
      </c>
      <c r="BV2219" s="23"/>
      <c r="BW2219" s="23"/>
      <c r="BX2219" s="23"/>
      <c r="BY2219" s="23"/>
      <c r="BZ2219" s="23"/>
    </row>
    <row r="2220" spans="1:78" ht="20.100000000000001" customHeight="1">
      <c r="C2220" s="32">
        <v>67000269</v>
      </c>
      <c r="D2220" s="71" t="s">
        <v>5083</v>
      </c>
      <c r="E2220" s="71" t="s">
        <v>5084</v>
      </c>
      <c r="F2220" s="21">
        <v>1</v>
      </c>
      <c r="G2220" s="21">
        <v>90002001</v>
      </c>
      <c r="H2220" s="72">
        <v>0</v>
      </c>
      <c r="I2220" s="31">
        <v>0</v>
      </c>
      <c r="J2220" s="32">
        <v>1</v>
      </c>
      <c r="K2220" s="32">
        <v>0</v>
      </c>
      <c r="L2220" s="32">
        <v>0</v>
      </c>
      <c r="M2220" s="72">
        <v>0</v>
      </c>
      <c r="N2220" s="72">
        <v>0</v>
      </c>
      <c r="O2220" s="72">
        <v>1</v>
      </c>
      <c r="P2220" s="72">
        <v>1</v>
      </c>
      <c r="Q2220" s="72">
        <v>0.1</v>
      </c>
      <c r="R2220" s="72">
        <v>0</v>
      </c>
      <c r="S2220" s="19">
        <v>0</v>
      </c>
      <c r="T2220" s="72">
        <v>0</v>
      </c>
      <c r="U2220" s="21">
        <v>1</v>
      </c>
      <c r="V2220" s="72">
        <v>2</v>
      </c>
      <c r="W2220" s="72">
        <v>0</v>
      </c>
      <c r="X2220" s="72">
        <v>1</v>
      </c>
      <c r="Y2220" s="19">
        <v>0</v>
      </c>
      <c r="Z2220" s="72">
        <v>0</v>
      </c>
      <c r="AA2220" s="72">
        <v>0</v>
      </c>
      <c r="AB2220" s="72">
        <v>0</v>
      </c>
      <c r="AC2220" s="72">
        <v>0</v>
      </c>
      <c r="AD2220" s="72">
        <v>0</v>
      </c>
      <c r="AE2220" s="72">
        <v>0</v>
      </c>
      <c r="AF2220" s="72">
        <v>3</v>
      </c>
      <c r="AG2220" s="72">
        <v>2</v>
      </c>
      <c r="AH2220" s="72" t="s">
        <v>219</v>
      </c>
      <c r="AI2220" s="73">
        <v>0</v>
      </c>
      <c r="AJ2220" s="73">
        <v>0</v>
      </c>
      <c r="AK2220" s="19">
        <v>0</v>
      </c>
      <c r="AL2220" s="73">
        <v>1.5</v>
      </c>
      <c r="AM2220" s="72">
        <v>0</v>
      </c>
      <c r="AN2220" s="72">
        <v>0</v>
      </c>
      <c r="AO2220" s="72">
        <v>0</v>
      </c>
      <c r="AP2220" s="72">
        <v>1</v>
      </c>
      <c r="AQ2220" s="72">
        <v>3000</v>
      </c>
      <c r="AR2220" s="72">
        <v>0.5</v>
      </c>
      <c r="AS2220" s="72">
        <v>0</v>
      </c>
      <c r="AT2220" s="19">
        <v>0</v>
      </c>
      <c r="AU2220" s="72" t="s">
        <v>1641</v>
      </c>
      <c r="AV2220" s="72"/>
      <c r="AW2220" s="71" t="s">
        <v>293</v>
      </c>
      <c r="AX2220" s="21">
        <v>0</v>
      </c>
      <c r="AY2220" s="74">
        <v>10000007</v>
      </c>
      <c r="AZ2220" s="32">
        <v>23000040</v>
      </c>
      <c r="BA2220" s="71" t="s">
        <v>206</v>
      </c>
      <c r="BB2220" s="72">
        <v>0</v>
      </c>
      <c r="BC2220" s="75">
        <v>0</v>
      </c>
      <c r="BD2220" s="31">
        <v>1</v>
      </c>
      <c r="BE2220" s="76" t="s">
        <v>5085</v>
      </c>
      <c r="BF2220" s="76" t="s">
        <v>5086</v>
      </c>
      <c r="BG2220" s="72">
        <v>0</v>
      </c>
      <c r="BH2220" s="21">
        <v>0</v>
      </c>
      <c r="BI2220" s="72">
        <v>0</v>
      </c>
      <c r="BJ2220" s="72">
        <v>0</v>
      </c>
      <c r="BK2220" s="72">
        <v>0</v>
      </c>
      <c r="BL2220" s="72">
        <v>0</v>
      </c>
      <c r="BM2220" s="21">
        <v>0</v>
      </c>
      <c r="BN2220" s="19">
        <v>0</v>
      </c>
      <c r="BO2220" s="19">
        <v>0</v>
      </c>
      <c r="BP2220" s="19">
        <v>0</v>
      </c>
      <c r="BQ2220" s="19">
        <v>0</v>
      </c>
      <c r="BR2220" s="19">
        <v>0</v>
      </c>
      <c r="BS2220" s="19">
        <v>0</v>
      </c>
      <c r="BT2220" s="19">
        <v>0</v>
      </c>
      <c r="BU2220" s="23">
        <v>0</v>
      </c>
      <c r="BV2220" s="23"/>
      <c r="BW2220" s="23"/>
      <c r="BX2220" s="23"/>
      <c r="BY2220" s="23"/>
      <c r="BZ2220" s="23"/>
    </row>
    <row r="2221" spans="1:78" ht="20.100000000000001" customHeight="1">
      <c r="C2221" s="32">
        <v>67000270</v>
      </c>
      <c r="D2221" s="30" t="s">
        <v>5087</v>
      </c>
      <c r="E2221" s="30" t="s">
        <v>5088</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1.5</v>
      </c>
      <c r="Y2221" s="19">
        <v>0</v>
      </c>
      <c r="Z2221" s="21">
        <v>0</v>
      </c>
      <c r="AA2221" s="21">
        <v>0</v>
      </c>
      <c r="AB2221" s="21">
        <v>0</v>
      </c>
      <c r="AC2221" s="21">
        <v>0</v>
      </c>
      <c r="AD2221" s="21">
        <v>0</v>
      </c>
      <c r="AE2221" s="21">
        <v>0</v>
      </c>
      <c r="AF2221" s="21">
        <v>3</v>
      </c>
      <c r="AG2221" s="21">
        <v>2</v>
      </c>
      <c r="AH2221" s="21" t="s">
        <v>219</v>
      </c>
      <c r="AI2221" s="19">
        <v>7</v>
      </c>
      <c r="AJ2221" s="19">
        <v>2</v>
      </c>
      <c r="AK2221" s="19">
        <v>0</v>
      </c>
      <c r="AL2221" s="19">
        <v>1.5</v>
      </c>
      <c r="AM2221" s="21">
        <v>0</v>
      </c>
      <c r="AN2221" s="21">
        <v>0</v>
      </c>
      <c r="AO2221" s="21">
        <v>0</v>
      </c>
      <c r="AP2221" s="21">
        <v>1</v>
      </c>
      <c r="AQ2221" s="21">
        <v>3000</v>
      </c>
      <c r="AR2221" s="21">
        <v>0.5</v>
      </c>
      <c r="AS2221" s="21">
        <v>0</v>
      </c>
      <c r="AT2221" s="19">
        <v>0</v>
      </c>
      <c r="AU2221" s="21" t="s">
        <v>5089</v>
      </c>
      <c r="AV2221" s="21"/>
      <c r="AW2221" s="30" t="s">
        <v>293</v>
      </c>
      <c r="AX2221" s="21">
        <v>0</v>
      </c>
      <c r="AY2221" s="32">
        <v>0</v>
      </c>
      <c r="AZ2221" s="32">
        <v>0</v>
      </c>
      <c r="BA2221" s="30" t="s">
        <v>206</v>
      </c>
      <c r="BB2221" s="21">
        <v>0</v>
      </c>
      <c r="BC2221" s="31">
        <v>0</v>
      </c>
      <c r="BD2221" s="31">
        <v>1</v>
      </c>
      <c r="BE2221" s="33" t="s">
        <v>5090</v>
      </c>
      <c r="BF2221" s="33" t="s">
        <v>5091</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1:78" ht="20.100000000000001" customHeight="1">
      <c r="C2222" s="32">
        <v>67000271</v>
      </c>
      <c r="D2222" s="30" t="s">
        <v>5092</v>
      </c>
      <c r="E2222" s="30" t="s">
        <v>5093</v>
      </c>
      <c r="F2222" s="21">
        <v>1</v>
      </c>
      <c r="G2222" s="21">
        <v>90002001</v>
      </c>
      <c r="H2222" s="21">
        <v>0</v>
      </c>
      <c r="I2222" s="31">
        <v>0</v>
      </c>
      <c r="J2222" s="32">
        <v>1</v>
      </c>
      <c r="K2222" s="32">
        <v>0</v>
      </c>
      <c r="L2222" s="32">
        <v>0</v>
      </c>
      <c r="M2222" s="21">
        <v>0</v>
      </c>
      <c r="N2222" s="21">
        <v>0</v>
      </c>
      <c r="O2222" s="21">
        <v>1</v>
      </c>
      <c r="P2222" s="21">
        <v>1</v>
      </c>
      <c r="Q2222" s="21">
        <v>0.1</v>
      </c>
      <c r="R2222" s="21">
        <v>0</v>
      </c>
      <c r="S2222" s="19">
        <v>0</v>
      </c>
      <c r="T2222" s="21">
        <v>0</v>
      </c>
      <c r="U2222" s="21">
        <v>1</v>
      </c>
      <c r="V2222" s="21">
        <v>2</v>
      </c>
      <c r="W2222" s="21">
        <v>0</v>
      </c>
      <c r="X2222" s="21">
        <v>1.5</v>
      </c>
      <c r="Y2222" s="19">
        <v>0</v>
      </c>
      <c r="Z2222" s="21">
        <v>0</v>
      </c>
      <c r="AA2222" s="21">
        <v>0</v>
      </c>
      <c r="AB2222" s="21">
        <v>0</v>
      </c>
      <c r="AC2222" s="21">
        <v>0</v>
      </c>
      <c r="AD2222" s="21">
        <v>0</v>
      </c>
      <c r="AE2222" s="21">
        <v>0</v>
      </c>
      <c r="AF2222" s="21">
        <v>3</v>
      </c>
      <c r="AG2222" s="21">
        <v>2</v>
      </c>
      <c r="AH2222" s="21" t="s">
        <v>219</v>
      </c>
      <c r="AI2222" s="19">
        <v>7</v>
      </c>
      <c r="AJ2222" s="19">
        <v>2</v>
      </c>
      <c r="AK2222" s="19">
        <v>0</v>
      </c>
      <c r="AL2222" s="19">
        <v>1.5</v>
      </c>
      <c r="AM2222" s="21">
        <v>0</v>
      </c>
      <c r="AN2222" s="21">
        <v>0</v>
      </c>
      <c r="AO2222" s="21">
        <v>0</v>
      </c>
      <c r="AP2222" s="21">
        <v>1</v>
      </c>
      <c r="AQ2222" s="21">
        <v>3000</v>
      </c>
      <c r="AR2222" s="21">
        <v>0.5</v>
      </c>
      <c r="AS2222" s="21">
        <v>0</v>
      </c>
      <c r="AT2222" s="19">
        <v>0</v>
      </c>
      <c r="AU2222" s="21" t="s">
        <v>5094</v>
      </c>
      <c r="AV2222" s="21"/>
      <c r="AW2222" s="30" t="s">
        <v>293</v>
      </c>
      <c r="AX2222" s="21">
        <v>0</v>
      </c>
      <c r="AY2222" s="32">
        <v>0</v>
      </c>
      <c r="AZ2222" s="32">
        <v>0</v>
      </c>
      <c r="BA2222" s="30" t="s">
        <v>206</v>
      </c>
      <c r="BB2222" s="21">
        <v>0</v>
      </c>
      <c r="BC2222" s="31">
        <v>0</v>
      </c>
      <c r="BD2222" s="31">
        <v>1</v>
      </c>
      <c r="BE2222" s="33" t="s">
        <v>5095</v>
      </c>
      <c r="BF2222" s="33" t="s">
        <v>5096</v>
      </c>
      <c r="BG2222" s="21">
        <v>0</v>
      </c>
      <c r="BH2222" s="21">
        <v>0</v>
      </c>
      <c r="BI2222" s="21">
        <v>0</v>
      </c>
      <c r="BJ2222" s="21">
        <v>0</v>
      </c>
      <c r="BK2222" s="21">
        <v>0</v>
      </c>
      <c r="BL2222" s="21">
        <v>0</v>
      </c>
      <c r="BM2222" s="21">
        <v>0</v>
      </c>
      <c r="BN2222" s="19">
        <v>0</v>
      </c>
      <c r="BO2222" s="19">
        <v>0</v>
      </c>
      <c r="BP2222" s="19">
        <v>0</v>
      </c>
      <c r="BQ2222" s="19">
        <v>0</v>
      </c>
      <c r="BR2222" s="19">
        <v>0</v>
      </c>
      <c r="BS2222" s="19">
        <v>0</v>
      </c>
      <c r="BT2222" s="19">
        <v>0</v>
      </c>
      <c r="BU2222" s="23">
        <v>0</v>
      </c>
      <c r="BV2222" s="23"/>
      <c r="BW2222" s="23"/>
      <c r="BX2222" s="23"/>
      <c r="BY2222" s="23"/>
      <c r="BZ2222" s="23"/>
    </row>
    <row r="2223" spans="1:78" ht="20.100000000000001" customHeight="1">
      <c r="C2223" s="32">
        <v>67000272</v>
      </c>
      <c r="D2223" s="30" t="s">
        <v>5097</v>
      </c>
      <c r="E2223" s="30" t="s">
        <v>5098</v>
      </c>
      <c r="F2223" s="21">
        <v>1</v>
      </c>
      <c r="G2223" s="21">
        <v>90002001</v>
      </c>
      <c r="H2223" s="21">
        <v>0</v>
      </c>
      <c r="I2223" s="31">
        <v>0</v>
      </c>
      <c r="J2223" s="32">
        <v>1</v>
      </c>
      <c r="K2223" s="32">
        <v>0</v>
      </c>
      <c r="L2223" s="32">
        <v>0</v>
      </c>
      <c r="M2223" s="21">
        <v>0</v>
      </c>
      <c r="N2223" s="21">
        <v>0</v>
      </c>
      <c r="O2223" s="21">
        <v>1</v>
      </c>
      <c r="P2223" s="21">
        <v>1</v>
      </c>
      <c r="Q2223" s="21">
        <v>0.1</v>
      </c>
      <c r="R2223" s="21">
        <v>0</v>
      </c>
      <c r="S2223" s="19">
        <v>0</v>
      </c>
      <c r="T2223" s="21">
        <v>0</v>
      </c>
      <c r="U2223" s="21">
        <v>1</v>
      </c>
      <c r="V2223" s="21">
        <v>2</v>
      </c>
      <c r="W2223" s="21">
        <v>0</v>
      </c>
      <c r="X2223" s="21">
        <v>1.5</v>
      </c>
      <c r="Y2223" s="19">
        <v>0</v>
      </c>
      <c r="Z2223" s="21">
        <v>0</v>
      </c>
      <c r="AA2223" s="21">
        <v>0</v>
      </c>
      <c r="AB2223" s="21">
        <v>0</v>
      </c>
      <c r="AC2223" s="21">
        <v>0</v>
      </c>
      <c r="AD2223" s="21">
        <v>0</v>
      </c>
      <c r="AE2223" s="21">
        <v>0</v>
      </c>
      <c r="AF2223" s="21">
        <v>3</v>
      </c>
      <c r="AG2223" s="21">
        <v>2</v>
      </c>
      <c r="AH2223" s="21" t="s">
        <v>219</v>
      </c>
      <c r="AI2223" s="19">
        <v>7</v>
      </c>
      <c r="AJ2223" s="19">
        <v>2</v>
      </c>
      <c r="AK2223" s="19">
        <v>0</v>
      </c>
      <c r="AL2223" s="19">
        <v>1.5</v>
      </c>
      <c r="AM2223" s="21">
        <v>0</v>
      </c>
      <c r="AN2223" s="21">
        <v>0</v>
      </c>
      <c r="AO2223" s="21">
        <v>0</v>
      </c>
      <c r="AP2223" s="21">
        <v>1</v>
      </c>
      <c r="AQ2223" s="21">
        <v>3000</v>
      </c>
      <c r="AR2223" s="21">
        <v>0.5</v>
      </c>
      <c r="AS2223" s="21">
        <v>0</v>
      </c>
      <c r="AT2223" s="19">
        <v>0</v>
      </c>
      <c r="AU2223" s="21" t="s">
        <v>5099</v>
      </c>
      <c r="AV2223" s="21"/>
      <c r="AW2223" s="30" t="s">
        <v>293</v>
      </c>
      <c r="AX2223" s="21">
        <v>0</v>
      </c>
      <c r="AY2223" s="32">
        <v>0</v>
      </c>
      <c r="AZ2223" s="32">
        <v>0</v>
      </c>
      <c r="BA2223" s="30" t="s">
        <v>206</v>
      </c>
      <c r="BB2223" s="21">
        <v>0</v>
      </c>
      <c r="BC2223" s="31">
        <v>0</v>
      </c>
      <c r="BD2223" s="31">
        <v>1</v>
      </c>
      <c r="BE2223" s="33" t="s">
        <v>5100</v>
      </c>
      <c r="BF2223" s="33" t="s">
        <v>5101</v>
      </c>
      <c r="BG2223" s="21">
        <v>0</v>
      </c>
      <c r="BH2223" s="21">
        <v>0</v>
      </c>
      <c r="BI2223" s="21">
        <v>0</v>
      </c>
      <c r="BJ2223" s="21">
        <v>0</v>
      </c>
      <c r="BK2223" s="21">
        <v>0</v>
      </c>
      <c r="BL2223" s="21">
        <v>0</v>
      </c>
      <c r="BM2223" s="21">
        <v>0</v>
      </c>
      <c r="BN2223" s="19">
        <v>0</v>
      </c>
      <c r="BO2223" s="19">
        <v>0</v>
      </c>
      <c r="BP2223" s="19">
        <v>0</v>
      </c>
      <c r="BQ2223" s="19">
        <v>0</v>
      </c>
      <c r="BR2223" s="19">
        <v>0</v>
      </c>
      <c r="BS2223" s="19">
        <v>0</v>
      </c>
      <c r="BT2223" s="19">
        <v>0</v>
      </c>
      <c r="BU2223" s="23">
        <v>0</v>
      </c>
      <c r="BV2223" s="23"/>
      <c r="BW2223" s="23"/>
      <c r="BX2223" s="23"/>
      <c r="BY2223" s="23"/>
      <c r="BZ2223" s="23"/>
    </row>
    <row r="2224" spans="1:78" ht="20.100000000000001" customHeight="1">
      <c r="C2224" s="32">
        <v>67000273</v>
      </c>
      <c r="D2224" s="30" t="s">
        <v>5102</v>
      </c>
      <c r="E2224" s="30" t="s">
        <v>5103</v>
      </c>
      <c r="F2224" s="21">
        <v>1</v>
      </c>
      <c r="G2224" s="21">
        <v>90002001</v>
      </c>
      <c r="H2224" s="21">
        <v>0</v>
      </c>
      <c r="I2224" s="31">
        <v>0</v>
      </c>
      <c r="J2224" s="32">
        <v>1</v>
      </c>
      <c r="K2224" s="32">
        <v>0</v>
      </c>
      <c r="L2224" s="32">
        <v>0</v>
      </c>
      <c r="M2224" s="21">
        <v>0</v>
      </c>
      <c r="N2224" s="21">
        <v>0</v>
      </c>
      <c r="O2224" s="21">
        <v>1</v>
      </c>
      <c r="P2224" s="21">
        <v>1</v>
      </c>
      <c r="Q2224" s="21">
        <v>0.1</v>
      </c>
      <c r="R2224" s="21">
        <v>0</v>
      </c>
      <c r="S2224" s="19">
        <v>0</v>
      </c>
      <c r="T2224" s="21">
        <v>0</v>
      </c>
      <c r="U2224" s="21">
        <v>1</v>
      </c>
      <c r="V2224" s="21">
        <v>2</v>
      </c>
      <c r="W2224" s="21">
        <v>0</v>
      </c>
      <c r="X2224" s="21">
        <v>2</v>
      </c>
      <c r="Y2224" s="19">
        <v>0</v>
      </c>
      <c r="Z2224" s="21">
        <v>0</v>
      </c>
      <c r="AA2224" s="21">
        <v>0</v>
      </c>
      <c r="AB2224" s="21">
        <v>0</v>
      </c>
      <c r="AC2224" s="21">
        <v>0</v>
      </c>
      <c r="AD2224" s="21">
        <v>0</v>
      </c>
      <c r="AE2224" s="21">
        <v>0</v>
      </c>
      <c r="AF2224" s="21">
        <v>3</v>
      </c>
      <c r="AG2224" s="21">
        <v>2</v>
      </c>
      <c r="AH2224" s="21" t="s">
        <v>219</v>
      </c>
      <c r="AI2224" s="19">
        <v>7</v>
      </c>
      <c r="AJ2224" s="19">
        <v>2</v>
      </c>
      <c r="AK2224" s="19">
        <v>0</v>
      </c>
      <c r="AL2224" s="19">
        <v>1.5</v>
      </c>
      <c r="AM2224" s="21">
        <v>0</v>
      </c>
      <c r="AN2224" s="21">
        <v>0</v>
      </c>
      <c r="AO2224" s="21">
        <v>0</v>
      </c>
      <c r="AP2224" s="21">
        <v>1</v>
      </c>
      <c r="AQ2224" s="21">
        <v>3000</v>
      </c>
      <c r="AR2224" s="21">
        <v>0.5</v>
      </c>
      <c r="AS2224" s="21">
        <v>0</v>
      </c>
      <c r="AT2224" s="19">
        <v>0</v>
      </c>
      <c r="AU2224" s="21" t="s">
        <v>204</v>
      </c>
      <c r="AV2224" s="21"/>
      <c r="AW2224" s="30" t="s">
        <v>293</v>
      </c>
      <c r="AX2224" s="21">
        <v>0</v>
      </c>
      <c r="AY2224" s="32">
        <v>0</v>
      </c>
      <c r="AZ2224" s="32">
        <v>0</v>
      </c>
      <c r="BA2224" s="30" t="s">
        <v>206</v>
      </c>
      <c r="BB2224" s="21">
        <v>0</v>
      </c>
      <c r="BC2224" s="31">
        <v>0</v>
      </c>
      <c r="BD2224" s="31">
        <v>1</v>
      </c>
      <c r="BE2224" s="33" t="s">
        <v>5104</v>
      </c>
      <c r="BF2224" s="33" t="s">
        <v>5105</v>
      </c>
      <c r="BG2224" s="21">
        <v>0</v>
      </c>
      <c r="BH2224" s="21">
        <v>0</v>
      </c>
      <c r="BI2224" s="21">
        <v>0</v>
      </c>
      <c r="BJ2224" s="21">
        <v>0</v>
      </c>
      <c r="BK2224" s="21">
        <v>0</v>
      </c>
      <c r="BL2224" s="21">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67000274</v>
      </c>
      <c r="D2225" s="30" t="s">
        <v>5106</v>
      </c>
      <c r="E2225" s="30" t="s">
        <v>5107</v>
      </c>
      <c r="F2225" s="21">
        <v>1</v>
      </c>
      <c r="G2225" s="21">
        <v>90002001</v>
      </c>
      <c r="H2225" s="21">
        <v>0</v>
      </c>
      <c r="I2225" s="31">
        <v>0</v>
      </c>
      <c r="J2225" s="32">
        <v>1</v>
      </c>
      <c r="K2225" s="32">
        <v>0</v>
      </c>
      <c r="L2225" s="32">
        <v>0</v>
      </c>
      <c r="M2225" s="21">
        <v>0</v>
      </c>
      <c r="N2225" s="21">
        <v>0</v>
      </c>
      <c r="O2225" s="21">
        <v>1</v>
      </c>
      <c r="P2225" s="21">
        <v>1</v>
      </c>
      <c r="Q2225" s="21">
        <v>0.1</v>
      </c>
      <c r="R2225" s="21">
        <v>0</v>
      </c>
      <c r="S2225" s="19">
        <v>0</v>
      </c>
      <c r="T2225" s="21">
        <v>0</v>
      </c>
      <c r="U2225" s="21">
        <v>1</v>
      </c>
      <c r="V2225" s="21">
        <v>2</v>
      </c>
      <c r="W2225" s="21">
        <v>0</v>
      </c>
      <c r="X2225" s="21">
        <v>1</v>
      </c>
      <c r="Y2225" s="19">
        <v>0</v>
      </c>
      <c r="Z2225" s="21">
        <v>0</v>
      </c>
      <c r="AA2225" s="21">
        <v>0</v>
      </c>
      <c r="AB2225" s="21">
        <v>0</v>
      </c>
      <c r="AC2225" s="21">
        <v>0</v>
      </c>
      <c r="AD2225" s="21">
        <v>0</v>
      </c>
      <c r="AE2225" s="21">
        <v>0</v>
      </c>
      <c r="AF2225" s="21">
        <v>10</v>
      </c>
      <c r="AG2225" s="21">
        <v>2</v>
      </c>
      <c r="AH2225" s="21" t="s">
        <v>219</v>
      </c>
      <c r="AI2225" s="19">
        <v>0</v>
      </c>
      <c r="AJ2225" s="19">
        <v>0</v>
      </c>
      <c r="AK2225" s="19">
        <v>0</v>
      </c>
      <c r="AL2225" s="19">
        <v>1.5</v>
      </c>
      <c r="AM2225" s="21">
        <v>0</v>
      </c>
      <c r="AN2225" s="21">
        <v>0</v>
      </c>
      <c r="AO2225" s="21">
        <v>0</v>
      </c>
      <c r="AP2225" s="21">
        <v>1</v>
      </c>
      <c r="AQ2225" s="21">
        <v>3000</v>
      </c>
      <c r="AR2225" s="21">
        <v>0.5</v>
      </c>
      <c r="AS2225" s="21">
        <v>0</v>
      </c>
      <c r="AT2225" s="19">
        <v>0</v>
      </c>
      <c r="AU2225" s="21" t="s">
        <v>1641</v>
      </c>
      <c r="AV2225" s="21"/>
      <c r="AW2225" s="30" t="s">
        <v>293</v>
      </c>
      <c r="AX2225" s="21">
        <v>0</v>
      </c>
      <c r="AY2225" s="32">
        <v>10000007</v>
      </c>
      <c r="AZ2225" s="32">
        <v>23000070</v>
      </c>
      <c r="BA2225" s="30" t="s">
        <v>206</v>
      </c>
      <c r="BB2225" s="21">
        <v>0</v>
      </c>
      <c r="BC2225" s="31">
        <v>0</v>
      </c>
      <c r="BD2225" s="31">
        <v>1</v>
      </c>
      <c r="BE2225" s="33" t="s">
        <v>5108</v>
      </c>
      <c r="BF2225" s="33" t="s">
        <v>5109</v>
      </c>
      <c r="BG2225" s="21">
        <v>0</v>
      </c>
      <c r="BH2225" s="21">
        <v>0</v>
      </c>
      <c r="BI2225" s="21">
        <v>0</v>
      </c>
      <c r="BJ2225" s="21">
        <v>0</v>
      </c>
      <c r="BK2225" s="21">
        <v>0</v>
      </c>
      <c r="BL2225" s="21">
        <v>0</v>
      </c>
      <c r="BM2225" s="21">
        <v>0</v>
      </c>
      <c r="BN2225" s="19">
        <v>0</v>
      </c>
      <c r="BO2225" s="19">
        <v>0</v>
      </c>
      <c r="BP2225" s="19">
        <v>0</v>
      </c>
      <c r="BQ2225" s="19">
        <v>0</v>
      </c>
      <c r="BR2225" s="19">
        <v>0</v>
      </c>
      <c r="BS2225" s="19">
        <v>0</v>
      </c>
      <c r="BT2225" s="19">
        <v>0</v>
      </c>
      <c r="BU2225" s="23">
        <v>0</v>
      </c>
      <c r="BV2225" s="23"/>
      <c r="BW2225" s="23"/>
      <c r="BX2225" s="23"/>
      <c r="BY2225" s="23"/>
      <c r="BZ2225" s="23"/>
    </row>
    <row r="2226" spans="3:78" ht="20.100000000000001" customHeight="1">
      <c r="C2226" s="32">
        <v>67000275</v>
      </c>
      <c r="D2226" s="71" t="s">
        <v>5110</v>
      </c>
      <c r="E2226" s="71" t="s">
        <v>5111</v>
      </c>
      <c r="F2226" s="21">
        <v>1</v>
      </c>
      <c r="G2226" s="21">
        <v>90002001</v>
      </c>
      <c r="H2226" s="72">
        <v>0</v>
      </c>
      <c r="I2226" s="31">
        <v>0</v>
      </c>
      <c r="J2226" s="32">
        <v>1</v>
      </c>
      <c r="K2226" s="32">
        <v>0</v>
      </c>
      <c r="L2226" s="32">
        <v>0</v>
      </c>
      <c r="M2226" s="72">
        <v>0</v>
      </c>
      <c r="N2226" s="72">
        <v>0</v>
      </c>
      <c r="O2226" s="72">
        <v>1</v>
      </c>
      <c r="P2226" s="72">
        <v>2</v>
      </c>
      <c r="Q2226" s="72">
        <v>1</v>
      </c>
      <c r="R2226" s="72">
        <v>0</v>
      </c>
      <c r="S2226" s="19">
        <v>0</v>
      </c>
      <c r="T2226" s="72">
        <v>0</v>
      </c>
      <c r="U2226" s="21">
        <v>1</v>
      </c>
      <c r="V2226" s="72">
        <v>2</v>
      </c>
      <c r="W2226" s="72">
        <v>0</v>
      </c>
      <c r="X2226" s="72">
        <v>0</v>
      </c>
      <c r="Y2226" s="19">
        <v>0</v>
      </c>
      <c r="Z2226" s="72">
        <v>0</v>
      </c>
      <c r="AA2226" s="72">
        <v>0</v>
      </c>
      <c r="AB2226" s="72">
        <v>0</v>
      </c>
      <c r="AC2226" s="72">
        <v>0</v>
      </c>
      <c r="AD2226" s="72">
        <v>0</v>
      </c>
      <c r="AE2226" s="72">
        <v>0</v>
      </c>
      <c r="AF2226" s="72">
        <v>20</v>
      </c>
      <c r="AG2226" s="72">
        <v>2</v>
      </c>
      <c r="AH2226" s="72" t="s">
        <v>219</v>
      </c>
      <c r="AI2226" s="19">
        <v>0</v>
      </c>
      <c r="AJ2226" s="19">
        <v>0</v>
      </c>
      <c r="AK2226" s="19">
        <v>0</v>
      </c>
      <c r="AL2226" s="73">
        <v>1.5</v>
      </c>
      <c r="AM2226" s="72">
        <v>0</v>
      </c>
      <c r="AN2226" s="72">
        <v>0</v>
      </c>
      <c r="AO2226" s="72">
        <v>0</v>
      </c>
      <c r="AP2226" s="72">
        <v>1</v>
      </c>
      <c r="AQ2226" s="72">
        <v>3000</v>
      </c>
      <c r="AR2226" s="72">
        <v>0.5</v>
      </c>
      <c r="AS2226" s="72">
        <v>0</v>
      </c>
      <c r="AT2226" s="19">
        <v>0</v>
      </c>
      <c r="AU2226" s="72" t="s">
        <v>5112</v>
      </c>
      <c r="AV2226" s="72"/>
      <c r="AW2226" s="71" t="s">
        <v>293</v>
      </c>
      <c r="AX2226" s="21">
        <v>0</v>
      </c>
      <c r="AY2226" s="74">
        <v>10000007</v>
      </c>
      <c r="AZ2226" s="32">
        <v>23000050</v>
      </c>
      <c r="BA2226" s="71" t="s">
        <v>206</v>
      </c>
      <c r="BB2226" s="72">
        <v>0</v>
      </c>
      <c r="BC2226" s="75">
        <v>0</v>
      </c>
      <c r="BD2226" s="31">
        <v>1</v>
      </c>
      <c r="BE2226" s="76" t="s">
        <v>5113</v>
      </c>
      <c r="BF2226" s="76" t="s">
        <v>5114</v>
      </c>
      <c r="BG2226" s="72">
        <v>0</v>
      </c>
      <c r="BH2226" s="21">
        <v>0</v>
      </c>
      <c r="BI2226" s="72">
        <v>0</v>
      </c>
      <c r="BJ2226" s="72">
        <v>0</v>
      </c>
      <c r="BK2226" s="72">
        <v>0</v>
      </c>
      <c r="BL2226" s="72">
        <v>0</v>
      </c>
      <c r="BM2226" s="21">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67000276</v>
      </c>
      <c r="D2227" s="71" t="s">
        <v>5115</v>
      </c>
      <c r="E2227" s="71" t="s">
        <v>5116</v>
      </c>
      <c r="F2227" s="21">
        <v>1</v>
      </c>
      <c r="G2227" s="21">
        <v>90002001</v>
      </c>
      <c r="H2227" s="72">
        <v>0</v>
      </c>
      <c r="I2227" s="31">
        <v>0</v>
      </c>
      <c r="J2227" s="32">
        <v>1</v>
      </c>
      <c r="K2227" s="32">
        <v>0</v>
      </c>
      <c r="L2227" s="32">
        <v>0</v>
      </c>
      <c r="M2227" s="72">
        <v>0</v>
      </c>
      <c r="N2227" s="72">
        <v>0</v>
      </c>
      <c r="O2227" s="72">
        <v>1</v>
      </c>
      <c r="P2227" s="72">
        <v>2</v>
      </c>
      <c r="Q2227" s="72">
        <v>1</v>
      </c>
      <c r="R2227" s="72">
        <v>0</v>
      </c>
      <c r="S2227" s="19">
        <v>0</v>
      </c>
      <c r="T2227" s="72">
        <v>0</v>
      </c>
      <c r="U2227" s="21">
        <v>1</v>
      </c>
      <c r="V2227" s="72">
        <v>2</v>
      </c>
      <c r="W2227" s="72">
        <v>0</v>
      </c>
      <c r="X2227" s="72">
        <v>0</v>
      </c>
      <c r="Y2227" s="19">
        <v>0</v>
      </c>
      <c r="Z2227" s="72">
        <v>0</v>
      </c>
      <c r="AA2227" s="72">
        <v>0</v>
      </c>
      <c r="AB2227" s="72">
        <v>0</v>
      </c>
      <c r="AC2227" s="72">
        <v>0</v>
      </c>
      <c r="AD2227" s="72">
        <v>0</v>
      </c>
      <c r="AE2227" s="72">
        <v>0</v>
      </c>
      <c r="AF2227" s="72">
        <v>30</v>
      </c>
      <c r="AG2227" s="72">
        <v>2</v>
      </c>
      <c r="AH2227" s="72" t="s">
        <v>219</v>
      </c>
      <c r="AI2227" s="19">
        <v>0</v>
      </c>
      <c r="AJ2227" s="19">
        <v>0</v>
      </c>
      <c r="AK2227" s="19">
        <v>0</v>
      </c>
      <c r="AL2227" s="73">
        <v>1.5</v>
      </c>
      <c r="AM2227" s="72">
        <v>0</v>
      </c>
      <c r="AN2227" s="72">
        <v>0</v>
      </c>
      <c r="AO2227" s="72">
        <v>0</v>
      </c>
      <c r="AP2227" s="72">
        <v>1</v>
      </c>
      <c r="AQ2227" s="72">
        <v>3000</v>
      </c>
      <c r="AR2227" s="72">
        <v>0.5</v>
      </c>
      <c r="AS2227" s="72">
        <v>0</v>
      </c>
      <c r="AT2227" s="19">
        <v>0</v>
      </c>
      <c r="AU2227" s="72" t="s">
        <v>5117</v>
      </c>
      <c r="AV2227" s="72"/>
      <c r="AW2227" s="71" t="s">
        <v>293</v>
      </c>
      <c r="AX2227" s="21">
        <v>0</v>
      </c>
      <c r="AY2227" s="74">
        <v>10000007</v>
      </c>
      <c r="AZ2227" s="32">
        <v>23000060</v>
      </c>
      <c r="BA2227" s="71" t="s">
        <v>206</v>
      </c>
      <c r="BB2227" s="72">
        <v>0</v>
      </c>
      <c r="BC2227" s="75">
        <v>0</v>
      </c>
      <c r="BD2227" s="75">
        <v>0</v>
      </c>
      <c r="BE2227" s="76" t="s">
        <v>5118</v>
      </c>
      <c r="BF2227" s="76" t="s">
        <v>5119</v>
      </c>
      <c r="BG2227" s="72">
        <v>0</v>
      </c>
      <c r="BH2227" s="21">
        <v>0</v>
      </c>
      <c r="BI2227" s="72">
        <v>0</v>
      </c>
      <c r="BJ2227" s="72">
        <v>0</v>
      </c>
      <c r="BK2227" s="72">
        <v>0</v>
      </c>
      <c r="BL2227" s="72">
        <v>0</v>
      </c>
      <c r="BM2227" s="21">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67000277</v>
      </c>
      <c r="D2228" s="71" t="s">
        <v>631</v>
      </c>
      <c r="E2228" s="71" t="s">
        <v>632</v>
      </c>
      <c r="F2228" s="21">
        <v>1</v>
      </c>
      <c r="G2228" s="21">
        <v>90002001</v>
      </c>
      <c r="H2228" s="72">
        <v>0</v>
      </c>
      <c r="I2228" s="31">
        <v>0</v>
      </c>
      <c r="J2228" s="32">
        <v>1</v>
      </c>
      <c r="K2228" s="32">
        <v>0</v>
      </c>
      <c r="L2228" s="32">
        <v>0</v>
      </c>
      <c r="M2228" s="72">
        <v>0</v>
      </c>
      <c r="N2228" s="72">
        <v>0</v>
      </c>
      <c r="O2228" s="72">
        <v>1</v>
      </c>
      <c r="P2228" s="72">
        <v>0</v>
      </c>
      <c r="Q2228" s="72">
        <v>0</v>
      </c>
      <c r="R2228" s="72">
        <v>0</v>
      </c>
      <c r="S2228" s="19">
        <v>0</v>
      </c>
      <c r="T2228" s="72">
        <v>0</v>
      </c>
      <c r="U2228" s="21">
        <v>1</v>
      </c>
      <c r="V2228" s="72">
        <v>2</v>
      </c>
      <c r="W2228" s="72">
        <v>0</v>
      </c>
      <c r="X2228" s="72">
        <v>1</v>
      </c>
      <c r="Y2228" s="19">
        <v>0</v>
      </c>
      <c r="Z2228" s="72">
        <v>0</v>
      </c>
      <c r="AA2228" s="72">
        <v>0</v>
      </c>
      <c r="AB2228" s="72">
        <v>0</v>
      </c>
      <c r="AC2228" s="72">
        <v>0</v>
      </c>
      <c r="AD2228" s="72">
        <v>0</v>
      </c>
      <c r="AE2228" s="72">
        <v>0</v>
      </c>
      <c r="AF2228" s="72">
        <v>30</v>
      </c>
      <c r="AG2228" s="72">
        <v>2</v>
      </c>
      <c r="AH2228" s="72" t="s">
        <v>633</v>
      </c>
      <c r="AI2228" s="19">
        <v>0</v>
      </c>
      <c r="AJ2228" s="19">
        <v>2</v>
      </c>
      <c r="AK2228" s="19">
        <v>0</v>
      </c>
      <c r="AL2228" s="73">
        <v>0</v>
      </c>
      <c r="AM2228" s="72">
        <v>0</v>
      </c>
      <c r="AN2228" s="72">
        <v>0</v>
      </c>
      <c r="AO2228" s="72">
        <v>0</v>
      </c>
      <c r="AP2228" s="72">
        <v>5</v>
      </c>
      <c r="AQ2228" s="72">
        <v>5000</v>
      </c>
      <c r="AR2228" s="72">
        <v>0</v>
      </c>
      <c r="AS2228" s="72">
        <v>0</v>
      </c>
      <c r="AT2228" s="19">
        <v>0</v>
      </c>
      <c r="AU2228" s="72">
        <v>0</v>
      </c>
      <c r="AV2228" s="72"/>
      <c r="AW2228" s="71" t="s">
        <v>293</v>
      </c>
      <c r="AX2228" s="21">
        <v>0</v>
      </c>
      <c r="AY2228" s="74">
        <v>0</v>
      </c>
      <c r="AZ2228" s="32">
        <v>21000010</v>
      </c>
      <c r="BA2228" s="71" t="s">
        <v>634</v>
      </c>
      <c r="BB2228" s="72" t="s">
        <v>5120</v>
      </c>
      <c r="BC2228" s="75">
        <v>0</v>
      </c>
      <c r="BD2228" s="75">
        <v>0</v>
      </c>
      <c r="BE2228" s="76" t="s">
        <v>5118</v>
      </c>
      <c r="BF2228" s="76" t="s">
        <v>5119</v>
      </c>
      <c r="BG2228" s="72">
        <v>0</v>
      </c>
      <c r="BH2228" s="21">
        <v>0</v>
      </c>
      <c r="BI2228" s="72">
        <v>0</v>
      </c>
      <c r="BJ2228" s="72">
        <v>0</v>
      </c>
      <c r="BK2228" s="72">
        <v>0</v>
      </c>
      <c r="BL2228" s="72">
        <v>0</v>
      </c>
      <c r="BM2228" s="21">
        <v>0</v>
      </c>
      <c r="BN2228" s="19">
        <v>0</v>
      </c>
      <c r="BO2228" s="19">
        <v>0</v>
      </c>
      <c r="BP2228" s="19">
        <v>0</v>
      </c>
      <c r="BQ2228" s="19">
        <v>0</v>
      </c>
      <c r="BR2228" s="19">
        <v>0</v>
      </c>
      <c r="BS2228" s="19">
        <v>0</v>
      </c>
      <c r="BT2228" s="19">
        <v>0</v>
      </c>
      <c r="BU2228" s="23">
        <v>0</v>
      </c>
      <c r="BV2228" s="23"/>
      <c r="BW2228" s="23"/>
      <c r="BX2228" s="23"/>
      <c r="BY2228" s="23"/>
      <c r="BZ2228" s="23"/>
    </row>
    <row r="2229" spans="3:78" ht="20.100000000000001" customHeight="1">
      <c r="C2229" s="32">
        <v>67000278</v>
      </c>
      <c r="D2229" s="35" t="s">
        <v>5121</v>
      </c>
      <c r="E2229" s="35" t="s">
        <v>5122</v>
      </c>
      <c r="F2229" s="21">
        <v>1</v>
      </c>
      <c r="G2229" s="32">
        <v>63001001</v>
      </c>
      <c r="H2229" s="32">
        <v>0</v>
      </c>
      <c r="I2229" s="31">
        <v>0</v>
      </c>
      <c r="J2229" s="32">
        <v>1</v>
      </c>
      <c r="K2229" s="32">
        <v>0</v>
      </c>
      <c r="L2229" s="21">
        <v>0</v>
      </c>
      <c r="M2229" s="32">
        <v>0</v>
      </c>
      <c r="N2229" s="32">
        <v>0</v>
      </c>
      <c r="O2229" s="32">
        <v>1</v>
      </c>
      <c r="P2229" s="32">
        <v>0</v>
      </c>
      <c r="Q2229" s="32">
        <v>1</v>
      </c>
      <c r="R2229" s="32">
        <v>0</v>
      </c>
      <c r="S2229" s="19">
        <v>0</v>
      </c>
      <c r="T2229" s="31">
        <v>0</v>
      </c>
      <c r="U2229" s="21">
        <v>1</v>
      </c>
      <c r="V2229" s="32">
        <v>2</v>
      </c>
      <c r="W2229" s="32">
        <v>0</v>
      </c>
      <c r="X2229" s="32">
        <v>0</v>
      </c>
      <c r="Y2229" s="19">
        <v>0</v>
      </c>
      <c r="Z2229" s="32">
        <v>0</v>
      </c>
      <c r="AA2229" s="32">
        <v>0</v>
      </c>
      <c r="AB2229" s="32">
        <v>0</v>
      </c>
      <c r="AC2229" s="32">
        <v>0</v>
      </c>
      <c r="AD2229" s="32">
        <v>1</v>
      </c>
      <c r="AE2229" s="32">
        <v>0</v>
      </c>
      <c r="AF2229" s="32">
        <v>60</v>
      </c>
      <c r="AG2229" s="32">
        <v>2</v>
      </c>
      <c r="AH2229" s="32" t="s">
        <v>5123</v>
      </c>
      <c r="AI2229" s="19">
        <v>0</v>
      </c>
      <c r="AJ2229" s="19">
        <v>0</v>
      </c>
      <c r="AK2229" s="19">
        <v>0</v>
      </c>
      <c r="AL2229" s="19">
        <v>0</v>
      </c>
      <c r="AM2229" s="32">
        <v>0</v>
      </c>
      <c r="AN2229" s="32">
        <v>0</v>
      </c>
      <c r="AO2229" s="32">
        <v>0</v>
      </c>
      <c r="AP2229" s="32">
        <v>1</v>
      </c>
      <c r="AQ2229" s="32">
        <v>1800000</v>
      </c>
      <c r="AR2229" s="32">
        <v>0</v>
      </c>
      <c r="AS2229" s="32">
        <v>0</v>
      </c>
      <c r="AT2229" s="19">
        <v>0</v>
      </c>
      <c r="AU2229" s="32">
        <v>90106002</v>
      </c>
      <c r="AV2229" s="32"/>
      <c r="AW2229" s="35" t="s">
        <v>204</v>
      </c>
      <c r="AX2229" s="32">
        <v>0</v>
      </c>
      <c r="AY2229" s="32">
        <v>0</v>
      </c>
      <c r="AZ2229" s="32">
        <v>0</v>
      </c>
      <c r="BA2229" s="35" t="s">
        <v>3002</v>
      </c>
      <c r="BB2229" s="35">
        <v>0</v>
      </c>
      <c r="BC2229" s="31">
        <v>0</v>
      </c>
      <c r="BD2229" s="31">
        <v>0</v>
      </c>
      <c r="BE2229" s="185" t="s">
        <v>5124</v>
      </c>
      <c r="BF2229" s="185" t="s">
        <v>5125</v>
      </c>
      <c r="BG2229" s="32">
        <v>0</v>
      </c>
      <c r="BH2229" s="21">
        <v>0</v>
      </c>
      <c r="BI2229" s="32">
        <v>0</v>
      </c>
      <c r="BJ2229" s="32">
        <v>0</v>
      </c>
      <c r="BK2229" s="32">
        <v>0</v>
      </c>
      <c r="BL2229" s="32">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19.5" customHeight="1">
      <c r="C2230" s="32">
        <v>67000279</v>
      </c>
      <c r="D2230" s="30" t="s">
        <v>5126</v>
      </c>
      <c r="E2230" s="30" t="s">
        <v>5127</v>
      </c>
      <c r="F2230" s="21">
        <v>1</v>
      </c>
      <c r="G2230" s="21">
        <v>62011201</v>
      </c>
      <c r="H2230" s="21">
        <v>0</v>
      </c>
      <c r="I2230" s="31">
        <v>0</v>
      </c>
      <c r="J2230" s="21">
        <v>5</v>
      </c>
      <c r="K2230" s="21">
        <v>3</v>
      </c>
      <c r="L2230" s="21">
        <v>0</v>
      </c>
      <c r="M2230" s="21">
        <v>0</v>
      </c>
      <c r="N2230" s="21">
        <v>0</v>
      </c>
      <c r="O2230" s="21">
        <v>1</v>
      </c>
      <c r="P2230" s="21">
        <v>0</v>
      </c>
      <c r="Q2230" s="21">
        <v>0</v>
      </c>
      <c r="R2230" s="21">
        <v>0</v>
      </c>
      <c r="S2230" s="19">
        <v>0</v>
      </c>
      <c r="T2230" s="21">
        <v>0</v>
      </c>
      <c r="U2230" s="21">
        <v>1</v>
      </c>
      <c r="V2230" s="21">
        <v>2</v>
      </c>
      <c r="W2230" s="21">
        <v>0</v>
      </c>
      <c r="X2230" s="21">
        <v>1.5</v>
      </c>
      <c r="Y2230" s="19">
        <v>0</v>
      </c>
      <c r="Z2230" s="21">
        <v>10</v>
      </c>
      <c r="AA2230" s="21">
        <v>1</v>
      </c>
      <c r="AB2230" s="21">
        <v>0</v>
      </c>
      <c r="AC2230" s="21">
        <v>0</v>
      </c>
      <c r="AD2230" s="21">
        <v>0</v>
      </c>
      <c r="AE2230" s="21">
        <v>0</v>
      </c>
      <c r="AF2230" s="21">
        <v>5</v>
      </c>
      <c r="AG2230" s="21">
        <v>1</v>
      </c>
      <c r="AH2230" s="21">
        <v>10</v>
      </c>
      <c r="AI2230" s="19">
        <v>0</v>
      </c>
      <c r="AJ2230" s="19">
        <v>0</v>
      </c>
      <c r="AK2230" s="19">
        <v>0</v>
      </c>
      <c r="AL2230" s="19">
        <v>0</v>
      </c>
      <c r="AM2230" s="21">
        <v>0</v>
      </c>
      <c r="AN2230" s="21">
        <v>0</v>
      </c>
      <c r="AO2230" s="21">
        <v>0</v>
      </c>
      <c r="AP2230" s="21">
        <v>0.5</v>
      </c>
      <c r="AQ2230" s="21">
        <v>3000</v>
      </c>
      <c r="AR2230" s="21">
        <v>0.2</v>
      </c>
      <c r="AS2230" s="21">
        <v>0</v>
      </c>
      <c r="AT2230" s="19">
        <v>0</v>
      </c>
      <c r="AU2230" s="21" t="s">
        <v>204</v>
      </c>
      <c r="AV2230" s="21"/>
      <c r="AW2230" s="30" t="s">
        <v>623</v>
      </c>
      <c r="AX2230" s="21" t="s">
        <v>540</v>
      </c>
      <c r="AY2230" s="32">
        <v>10000007</v>
      </c>
      <c r="AZ2230" s="32">
        <v>21000020</v>
      </c>
      <c r="BA2230" s="30" t="s">
        <v>1702</v>
      </c>
      <c r="BB2230" s="21">
        <v>0</v>
      </c>
      <c r="BC2230" s="31">
        <v>0</v>
      </c>
      <c r="BD2230" s="31">
        <v>0</v>
      </c>
      <c r="BE2230" s="185" t="s">
        <v>5128</v>
      </c>
      <c r="BF2230" s="185" t="s">
        <v>5129</v>
      </c>
      <c r="BG2230" s="21">
        <v>0</v>
      </c>
      <c r="BH2230" s="21">
        <v>0</v>
      </c>
      <c r="BI2230" s="21">
        <v>0</v>
      </c>
      <c r="BJ2230" s="21">
        <v>0</v>
      </c>
      <c r="BK2230" s="21">
        <v>0</v>
      </c>
      <c r="BL2230" s="21">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67000280</v>
      </c>
      <c r="D2231" s="30" t="s">
        <v>5130</v>
      </c>
      <c r="E2231" s="30" t="s">
        <v>5131</v>
      </c>
      <c r="F2231" s="21">
        <v>1</v>
      </c>
      <c r="G2231" s="21">
        <v>62011201</v>
      </c>
      <c r="H2231" s="21">
        <v>0</v>
      </c>
      <c r="I2231" s="31">
        <v>0</v>
      </c>
      <c r="J2231" s="21">
        <v>5</v>
      </c>
      <c r="K2231" s="21">
        <v>3</v>
      </c>
      <c r="L2231" s="21">
        <v>0</v>
      </c>
      <c r="M2231" s="21">
        <v>0</v>
      </c>
      <c r="N2231" s="21">
        <v>0</v>
      </c>
      <c r="O2231" s="21">
        <v>1</v>
      </c>
      <c r="P2231" s="21">
        <v>0</v>
      </c>
      <c r="Q2231" s="21">
        <v>0</v>
      </c>
      <c r="R2231" s="21">
        <v>0</v>
      </c>
      <c r="S2231" s="19">
        <v>0</v>
      </c>
      <c r="T2231" s="21">
        <v>0</v>
      </c>
      <c r="U2231" s="21">
        <v>1</v>
      </c>
      <c r="V2231" s="21">
        <v>2</v>
      </c>
      <c r="W2231" s="21">
        <v>0</v>
      </c>
      <c r="X2231" s="21">
        <v>1.5</v>
      </c>
      <c r="Y2231" s="19">
        <v>0</v>
      </c>
      <c r="Z2231" s="21">
        <v>10</v>
      </c>
      <c r="AA2231" s="21">
        <v>1</v>
      </c>
      <c r="AB2231" s="21">
        <v>0</v>
      </c>
      <c r="AC2231" s="21">
        <v>0</v>
      </c>
      <c r="AD2231" s="21">
        <v>0</v>
      </c>
      <c r="AE2231" s="21">
        <v>0</v>
      </c>
      <c r="AF2231" s="21">
        <v>5</v>
      </c>
      <c r="AG2231" s="21">
        <v>1</v>
      </c>
      <c r="AH2231" s="72">
        <v>3</v>
      </c>
      <c r="AI2231" s="19">
        <v>2</v>
      </c>
      <c r="AJ2231" s="19">
        <v>1</v>
      </c>
      <c r="AK2231" s="19">
        <v>0</v>
      </c>
      <c r="AL2231" s="19">
        <v>8</v>
      </c>
      <c r="AM2231" s="21">
        <v>0</v>
      </c>
      <c r="AN2231" s="21">
        <v>0</v>
      </c>
      <c r="AO2231" s="21">
        <v>0</v>
      </c>
      <c r="AP2231" s="21">
        <v>0.5</v>
      </c>
      <c r="AQ2231" s="21">
        <v>10000</v>
      </c>
      <c r="AR2231" s="21">
        <v>0.2</v>
      </c>
      <c r="AS2231" s="21">
        <v>0</v>
      </c>
      <c r="AT2231" s="19">
        <v>0</v>
      </c>
      <c r="AU2231" s="21" t="s">
        <v>204</v>
      </c>
      <c r="AV2231" s="21"/>
      <c r="AW2231" s="30" t="s">
        <v>623</v>
      </c>
      <c r="AX2231" s="21" t="s">
        <v>540</v>
      </c>
      <c r="AY2231" s="32">
        <v>10000007</v>
      </c>
      <c r="AZ2231" s="32">
        <v>21102020</v>
      </c>
      <c r="BA2231" s="30" t="s">
        <v>1702</v>
      </c>
      <c r="BB2231" s="21">
        <v>0</v>
      </c>
      <c r="BC2231" s="31">
        <v>0</v>
      </c>
      <c r="BD2231" s="31">
        <v>0</v>
      </c>
      <c r="BE2231" s="185" t="s">
        <v>5132</v>
      </c>
      <c r="BF2231" s="185" t="s">
        <v>5133</v>
      </c>
      <c r="BG2231" s="21">
        <v>0</v>
      </c>
      <c r="BH2231" s="21">
        <v>0</v>
      </c>
      <c r="BI2231" s="21">
        <v>0</v>
      </c>
      <c r="BJ2231" s="21">
        <v>0</v>
      </c>
      <c r="BK2231" s="21">
        <v>0</v>
      </c>
      <c r="BL2231" s="21">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0.100000000000001" customHeight="1">
      <c r="C2232" s="32">
        <v>67000281</v>
      </c>
      <c r="D2232" s="30" t="s">
        <v>5134</v>
      </c>
      <c r="E2232" s="30" t="s">
        <v>5135</v>
      </c>
      <c r="F2232" s="21">
        <v>1</v>
      </c>
      <c r="G2232" s="21">
        <v>62011201</v>
      </c>
      <c r="H2232" s="21">
        <v>0</v>
      </c>
      <c r="I2232" s="31">
        <v>0</v>
      </c>
      <c r="J2232" s="21">
        <v>5</v>
      </c>
      <c r="K2232" s="21">
        <v>3</v>
      </c>
      <c r="L2232" s="21">
        <v>0</v>
      </c>
      <c r="M2232" s="21">
        <v>0</v>
      </c>
      <c r="N2232" s="21">
        <v>0</v>
      </c>
      <c r="O2232" s="21">
        <v>1</v>
      </c>
      <c r="P2232" s="21">
        <v>0</v>
      </c>
      <c r="Q2232" s="21">
        <v>0</v>
      </c>
      <c r="R2232" s="21">
        <v>0</v>
      </c>
      <c r="S2232" s="19">
        <v>0</v>
      </c>
      <c r="T2232" s="21">
        <v>0</v>
      </c>
      <c r="U2232" s="21">
        <v>1</v>
      </c>
      <c r="V2232" s="21">
        <v>2</v>
      </c>
      <c r="W2232" s="21">
        <v>0</v>
      </c>
      <c r="X2232" s="21">
        <v>1.5</v>
      </c>
      <c r="Y2232" s="19">
        <v>0</v>
      </c>
      <c r="Z2232" s="21">
        <v>10</v>
      </c>
      <c r="AA2232" s="21">
        <v>1</v>
      </c>
      <c r="AB2232" s="21">
        <v>0</v>
      </c>
      <c r="AC2232" s="21">
        <v>0</v>
      </c>
      <c r="AD2232" s="21">
        <v>0</v>
      </c>
      <c r="AE2232" s="21">
        <v>0</v>
      </c>
      <c r="AF2232" s="21">
        <v>5</v>
      </c>
      <c r="AG2232" s="21">
        <v>1</v>
      </c>
      <c r="AH2232" s="72">
        <v>3</v>
      </c>
      <c r="AI2232" s="19">
        <v>0</v>
      </c>
      <c r="AJ2232" s="19">
        <v>2</v>
      </c>
      <c r="AK2232" s="19">
        <v>0</v>
      </c>
      <c r="AL2232" s="19">
        <v>3</v>
      </c>
      <c r="AM2232" s="21">
        <v>0</v>
      </c>
      <c r="AN2232" s="21">
        <v>0</v>
      </c>
      <c r="AO2232" s="21">
        <v>0</v>
      </c>
      <c r="AP2232" s="21">
        <v>0.5</v>
      </c>
      <c r="AQ2232" s="21">
        <v>10000</v>
      </c>
      <c r="AR2232" s="21">
        <v>0.2</v>
      </c>
      <c r="AS2232" s="21">
        <v>3</v>
      </c>
      <c r="AT2232" s="19">
        <v>0</v>
      </c>
      <c r="AU2232" s="21" t="s">
        <v>204</v>
      </c>
      <c r="AV2232" s="21"/>
      <c r="AW2232" s="30" t="s">
        <v>623</v>
      </c>
      <c r="AX2232" s="21" t="s">
        <v>540</v>
      </c>
      <c r="AY2232" s="32">
        <v>10000007</v>
      </c>
      <c r="AZ2232" s="32">
        <v>21102020</v>
      </c>
      <c r="BA2232" s="30" t="s">
        <v>1718</v>
      </c>
      <c r="BB2232" s="21">
        <v>0</v>
      </c>
      <c r="BC2232" s="31">
        <v>0</v>
      </c>
      <c r="BD2232" s="31">
        <v>0</v>
      </c>
      <c r="BE2232" s="185" t="s">
        <v>5136</v>
      </c>
      <c r="BF2232" s="185" t="s">
        <v>5137</v>
      </c>
      <c r="BG2232" s="21">
        <v>0</v>
      </c>
      <c r="BH2232" s="21">
        <v>0</v>
      </c>
      <c r="BI2232" s="21">
        <v>0</v>
      </c>
      <c r="BJ2232" s="21">
        <v>0</v>
      </c>
      <c r="BK2232" s="21">
        <v>0</v>
      </c>
      <c r="BL2232" s="21">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19.5" customHeight="1">
      <c r="C2233" s="32">
        <v>67000282</v>
      </c>
      <c r="D2233" s="30" t="s">
        <v>5138</v>
      </c>
      <c r="E2233" s="30" t="s">
        <v>5139</v>
      </c>
      <c r="F2233" s="21">
        <v>1</v>
      </c>
      <c r="G2233" s="32">
        <v>61021201</v>
      </c>
      <c r="H2233" s="32">
        <v>0</v>
      </c>
      <c r="I2233" s="31">
        <v>0</v>
      </c>
      <c r="J2233" s="21">
        <f>J2227+5</f>
        <v>6</v>
      </c>
      <c r="K2233" s="21">
        <v>5</v>
      </c>
      <c r="L2233" s="21">
        <v>0</v>
      </c>
      <c r="M2233" s="32">
        <v>0</v>
      </c>
      <c r="N2233" s="32">
        <v>0</v>
      </c>
      <c r="O2233" s="32">
        <v>1</v>
      </c>
      <c r="P2233" s="32">
        <v>0</v>
      </c>
      <c r="Q2233" s="32">
        <v>0</v>
      </c>
      <c r="R2233" s="32">
        <v>0</v>
      </c>
      <c r="S2233" s="19">
        <v>0</v>
      </c>
      <c r="T2233" s="31">
        <v>0</v>
      </c>
      <c r="U2233" s="21">
        <v>1</v>
      </c>
      <c r="V2233" s="32">
        <v>2</v>
      </c>
      <c r="W2233" s="32">
        <v>0</v>
      </c>
      <c r="X2233" s="21">
        <v>3.5</v>
      </c>
      <c r="Y2233" s="19">
        <v>0</v>
      </c>
      <c r="Z2233" s="21">
        <v>500</v>
      </c>
      <c r="AA2233" s="32">
        <v>1</v>
      </c>
      <c r="AB2233" s="32">
        <v>0</v>
      </c>
      <c r="AC2233" s="32">
        <v>0</v>
      </c>
      <c r="AD2233" s="32">
        <v>0</v>
      </c>
      <c r="AE2233" s="32">
        <v>0</v>
      </c>
      <c r="AF2233" s="32">
        <v>7</v>
      </c>
      <c r="AG2233" s="32">
        <v>1</v>
      </c>
      <c r="AH2233" s="32">
        <v>3</v>
      </c>
      <c r="AI2233" s="19">
        <v>2</v>
      </c>
      <c r="AJ2233" s="19">
        <v>1</v>
      </c>
      <c r="AK2233" s="19">
        <v>0</v>
      </c>
      <c r="AL2233" s="19">
        <v>8</v>
      </c>
      <c r="AM2233" s="32">
        <v>0</v>
      </c>
      <c r="AN2233" s="32">
        <v>0.5</v>
      </c>
      <c r="AO2233" s="32">
        <v>0</v>
      </c>
      <c r="AP2233" s="32">
        <v>0.25</v>
      </c>
      <c r="AQ2233" s="32">
        <v>9000</v>
      </c>
      <c r="AR2233" s="32">
        <v>0.5</v>
      </c>
      <c r="AS2233" s="32">
        <v>0</v>
      </c>
      <c r="AT2233" s="19">
        <v>0</v>
      </c>
      <c r="AU2233" s="32">
        <v>0</v>
      </c>
      <c r="AV2233" s="32"/>
      <c r="AW2233" s="35" t="s">
        <v>1705</v>
      </c>
      <c r="AX2233" s="32" t="s">
        <v>1047</v>
      </c>
      <c r="AY2233" s="32">
        <v>10003002</v>
      </c>
      <c r="AZ2233" s="32">
        <v>21010020</v>
      </c>
      <c r="BA2233" s="35" t="s">
        <v>1718</v>
      </c>
      <c r="BB2233" s="35">
        <v>0</v>
      </c>
      <c r="BC2233" s="31">
        <v>0</v>
      </c>
      <c r="BD2233" s="31">
        <v>0</v>
      </c>
      <c r="BE2233" s="185" t="s">
        <v>5140</v>
      </c>
      <c r="BF2233" s="185" t="s">
        <v>5141</v>
      </c>
      <c r="BG2233" s="32">
        <v>0</v>
      </c>
      <c r="BH2233" s="21">
        <v>0</v>
      </c>
      <c r="BI2233" s="32">
        <v>0</v>
      </c>
      <c r="BJ2233" s="32">
        <v>0</v>
      </c>
      <c r="BK2233" s="32">
        <v>0</v>
      </c>
      <c r="BL2233" s="32">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67000283</v>
      </c>
      <c r="D2234" s="35" t="s">
        <v>5142</v>
      </c>
      <c r="E2234" s="35" t="s">
        <v>5143</v>
      </c>
      <c r="F2234" s="21">
        <v>1</v>
      </c>
      <c r="G2234" s="32">
        <v>63001001</v>
      </c>
      <c r="H2234" s="32">
        <v>0</v>
      </c>
      <c r="I2234" s="31">
        <v>0</v>
      </c>
      <c r="J2234" s="32">
        <v>1</v>
      </c>
      <c r="K2234" s="32">
        <v>0</v>
      </c>
      <c r="L2234" s="21">
        <v>0</v>
      </c>
      <c r="M2234" s="32">
        <v>0</v>
      </c>
      <c r="N2234" s="32">
        <v>0</v>
      </c>
      <c r="O2234" s="32">
        <v>1</v>
      </c>
      <c r="P2234" s="32">
        <v>0</v>
      </c>
      <c r="Q2234" s="32">
        <v>1</v>
      </c>
      <c r="R2234" s="32">
        <v>0</v>
      </c>
      <c r="S2234" s="19">
        <v>0</v>
      </c>
      <c r="T2234" s="31">
        <v>0</v>
      </c>
      <c r="U2234" s="21">
        <v>1</v>
      </c>
      <c r="V2234" s="32">
        <v>2</v>
      </c>
      <c r="W2234" s="32">
        <v>0</v>
      </c>
      <c r="X2234" s="32">
        <v>0</v>
      </c>
      <c r="Y2234" s="19">
        <v>0</v>
      </c>
      <c r="Z2234" s="32">
        <v>0</v>
      </c>
      <c r="AA2234" s="32">
        <v>0</v>
      </c>
      <c r="AB2234" s="32">
        <v>0</v>
      </c>
      <c r="AC2234" s="32">
        <v>0</v>
      </c>
      <c r="AD2234" s="32">
        <v>1</v>
      </c>
      <c r="AE2234" s="32">
        <v>0</v>
      </c>
      <c r="AF2234" s="32">
        <v>60</v>
      </c>
      <c r="AG2234" s="32">
        <v>2</v>
      </c>
      <c r="AH2234" s="32" t="s">
        <v>5144</v>
      </c>
      <c r="AI2234" s="19">
        <v>0</v>
      </c>
      <c r="AJ2234" s="19">
        <v>0</v>
      </c>
      <c r="AK2234" s="19">
        <v>0</v>
      </c>
      <c r="AL2234" s="19">
        <v>0</v>
      </c>
      <c r="AM2234" s="32">
        <v>0</v>
      </c>
      <c r="AN2234" s="32">
        <v>0</v>
      </c>
      <c r="AO2234" s="32">
        <v>0</v>
      </c>
      <c r="AP2234" s="32">
        <v>1</v>
      </c>
      <c r="AQ2234" s="32">
        <v>1800000</v>
      </c>
      <c r="AR2234" s="32">
        <v>0</v>
      </c>
      <c r="AS2234" s="32">
        <v>0</v>
      </c>
      <c r="AT2234" s="19">
        <v>0</v>
      </c>
      <c r="AU2234" s="32">
        <v>99002002</v>
      </c>
      <c r="AV2234" s="32"/>
      <c r="AW2234" s="35" t="s">
        <v>204</v>
      </c>
      <c r="AX2234" s="32">
        <v>0</v>
      </c>
      <c r="AY2234" s="32">
        <v>0</v>
      </c>
      <c r="AZ2234" s="32">
        <v>0</v>
      </c>
      <c r="BA2234" s="35" t="s">
        <v>3002</v>
      </c>
      <c r="BB2234" s="35">
        <v>0</v>
      </c>
      <c r="BC2234" s="31">
        <v>0</v>
      </c>
      <c r="BD2234" s="31">
        <v>0</v>
      </c>
      <c r="BE2234" s="185" t="s">
        <v>5124</v>
      </c>
      <c r="BF2234" s="185" t="s">
        <v>5125</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67000284</v>
      </c>
      <c r="D2235" s="35" t="s">
        <v>5145</v>
      </c>
      <c r="E2235" s="35" t="s">
        <v>5146</v>
      </c>
      <c r="F2235" s="21">
        <v>1</v>
      </c>
      <c r="G2235" s="32">
        <v>63001001</v>
      </c>
      <c r="H2235" s="32">
        <v>0</v>
      </c>
      <c r="I2235" s="31">
        <v>0</v>
      </c>
      <c r="J2235" s="32">
        <v>1</v>
      </c>
      <c r="K2235" s="32">
        <v>0</v>
      </c>
      <c r="L2235" s="21">
        <v>0</v>
      </c>
      <c r="M2235" s="32">
        <v>0</v>
      </c>
      <c r="N2235" s="32">
        <v>0</v>
      </c>
      <c r="O2235" s="32">
        <v>1</v>
      </c>
      <c r="P2235" s="32">
        <v>0</v>
      </c>
      <c r="Q2235" s="32">
        <v>1</v>
      </c>
      <c r="R2235" s="32">
        <v>0</v>
      </c>
      <c r="S2235" s="19">
        <v>0</v>
      </c>
      <c r="T2235" s="31">
        <v>0</v>
      </c>
      <c r="U2235" s="21">
        <v>1</v>
      </c>
      <c r="V2235" s="32">
        <v>2</v>
      </c>
      <c r="W2235" s="32">
        <v>0</v>
      </c>
      <c r="X2235" s="32">
        <v>0</v>
      </c>
      <c r="Y2235" s="19">
        <v>0</v>
      </c>
      <c r="Z2235" s="32">
        <v>0</v>
      </c>
      <c r="AA2235" s="32">
        <v>0</v>
      </c>
      <c r="AB2235" s="32">
        <v>0</v>
      </c>
      <c r="AC2235" s="32">
        <v>0</v>
      </c>
      <c r="AD2235" s="32">
        <v>1</v>
      </c>
      <c r="AE2235" s="32">
        <v>0</v>
      </c>
      <c r="AF2235" s="32">
        <v>60</v>
      </c>
      <c r="AG2235" s="32">
        <v>2</v>
      </c>
      <c r="AH2235" s="32" t="s">
        <v>717</v>
      </c>
      <c r="AI2235" s="19">
        <v>0</v>
      </c>
      <c r="AJ2235" s="19">
        <v>0</v>
      </c>
      <c r="AK2235" s="19">
        <v>0</v>
      </c>
      <c r="AL2235" s="19">
        <v>0</v>
      </c>
      <c r="AM2235" s="32">
        <v>0</v>
      </c>
      <c r="AN2235" s="32">
        <v>0</v>
      </c>
      <c r="AO2235" s="32">
        <v>0</v>
      </c>
      <c r="AP2235" s="32">
        <v>1</v>
      </c>
      <c r="AQ2235" s="32">
        <v>1800000</v>
      </c>
      <c r="AR2235" s="32">
        <v>0</v>
      </c>
      <c r="AS2235" s="32">
        <v>0</v>
      </c>
      <c r="AT2235" s="19">
        <v>0</v>
      </c>
      <c r="AU2235" s="32">
        <v>99002002</v>
      </c>
      <c r="AV2235" s="32"/>
      <c r="AW2235" s="35" t="s">
        <v>204</v>
      </c>
      <c r="AX2235" s="32">
        <v>0</v>
      </c>
      <c r="AY2235" s="32">
        <v>0</v>
      </c>
      <c r="AZ2235" s="32">
        <v>0</v>
      </c>
      <c r="BA2235" s="35" t="s">
        <v>3002</v>
      </c>
      <c r="BB2235" s="35">
        <v>0</v>
      </c>
      <c r="BC2235" s="31">
        <v>0</v>
      </c>
      <c r="BD2235" s="31">
        <v>0</v>
      </c>
      <c r="BE2235" s="185" t="s">
        <v>5124</v>
      </c>
      <c r="BF2235" s="185" t="s">
        <v>5125</v>
      </c>
      <c r="BG2235" s="32">
        <v>0</v>
      </c>
      <c r="BH2235" s="21">
        <v>0</v>
      </c>
      <c r="BI2235" s="32">
        <v>0</v>
      </c>
      <c r="BJ2235" s="32">
        <v>0</v>
      </c>
      <c r="BK2235" s="32">
        <v>0</v>
      </c>
      <c r="BL2235" s="32">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1.75" customHeight="1">
      <c r="C2236" s="32">
        <v>90010301</v>
      </c>
      <c r="D2236" s="30" t="s">
        <v>538</v>
      </c>
      <c r="E2236" s="30" t="s">
        <v>261</v>
      </c>
      <c r="F2236" s="32">
        <v>1</v>
      </c>
      <c r="G2236" s="21">
        <v>60010100</v>
      </c>
      <c r="H2236" s="32">
        <v>0</v>
      </c>
      <c r="I2236" s="31">
        <v>0</v>
      </c>
      <c r="J2236" s="32">
        <v>1</v>
      </c>
      <c r="K2236" s="32">
        <v>0</v>
      </c>
      <c r="L2236" s="32">
        <v>0</v>
      </c>
      <c r="M2236" s="21">
        <v>0</v>
      </c>
      <c r="N2236" s="21">
        <v>0</v>
      </c>
      <c r="O2236" s="21">
        <v>2</v>
      </c>
      <c r="P2236" s="21">
        <v>3</v>
      </c>
      <c r="Q2236" s="21">
        <v>1</v>
      </c>
      <c r="R2236" s="21">
        <v>0</v>
      </c>
      <c r="S2236" s="19">
        <v>0</v>
      </c>
      <c r="T2236" s="21">
        <v>0</v>
      </c>
      <c r="U2236" s="21">
        <v>1</v>
      </c>
      <c r="V2236" s="21">
        <v>2</v>
      </c>
      <c r="W2236" s="21">
        <v>0</v>
      </c>
      <c r="X2236" s="21">
        <v>3</v>
      </c>
      <c r="Y2236" s="19">
        <v>0</v>
      </c>
      <c r="Z2236" s="21">
        <v>0</v>
      </c>
      <c r="AA2236" s="21">
        <v>1</v>
      </c>
      <c r="AB2236" s="21">
        <v>0</v>
      </c>
      <c r="AC2236" s="21">
        <v>0</v>
      </c>
      <c r="AD2236" s="21">
        <v>0</v>
      </c>
      <c r="AE2236" s="21">
        <v>0</v>
      </c>
      <c r="AF2236" s="21">
        <v>9</v>
      </c>
      <c r="AG2236" s="21">
        <v>1</v>
      </c>
      <c r="AH2236" s="21">
        <v>4</v>
      </c>
      <c r="AI2236" s="19">
        <v>0</v>
      </c>
      <c r="AJ2236" s="19">
        <v>1</v>
      </c>
      <c r="AK2236" s="19">
        <v>0</v>
      </c>
      <c r="AL2236" s="19">
        <v>2</v>
      </c>
      <c r="AM2236" s="21">
        <v>0</v>
      </c>
      <c r="AN2236" s="21">
        <v>0</v>
      </c>
      <c r="AO2236" s="21">
        <v>0</v>
      </c>
      <c r="AP2236" s="21">
        <v>3</v>
      </c>
      <c r="AQ2236" s="21">
        <v>5000</v>
      </c>
      <c r="AR2236" s="21">
        <v>1.1000000000000001</v>
      </c>
      <c r="AS2236" s="21">
        <v>0</v>
      </c>
      <c r="AT2236" s="19">
        <v>0</v>
      </c>
      <c r="AU2236" s="21">
        <v>90000002</v>
      </c>
      <c r="AV2236" s="21"/>
      <c r="AW2236" s="30" t="s">
        <v>293</v>
      </c>
      <c r="AX2236" s="21" t="s">
        <v>540</v>
      </c>
      <c r="AY2236" s="32">
        <v>10000007</v>
      </c>
      <c r="AZ2236" s="32">
        <v>90010301</v>
      </c>
      <c r="BA2236" s="30" t="s">
        <v>206</v>
      </c>
      <c r="BB2236" s="21" t="s">
        <v>4413</v>
      </c>
      <c r="BC2236" s="31">
        <v>0</v>
      </c>
      <c r="BD2236" s="31">
        <v>0</v>
      </c>
      <c r="BE2236" s="33" t="s">
        <v>542</v>
      </c>
      <c r="BF2236" s="33" t="s">
        <v>543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90010302</v>
      </c>
      <c r="D2237" s="30" t="s">
        <v>549</v>
      </c>
      <c r="E2237" s="30" t="s">
        <v>550</v>
      </c>
      <c r="F2237" s="32">
        <v>1</v>
      </c>
      <c r="G2237" s="21">
        <v>60010300</v>
      </c>
      <c r="H2237" s="32">
        <v>0</v>
      </c>
      <c r="I2237" s="31">
        <v>0</v>
      </c>
      <c r="J2237" s="32">
        <v>1</v>
      </c>
      <c r="K2237" s="32">
        <v>0</v>
      </c>
      <c r="L2237" s="32">
        <v>0</v>
      </c>
      <c r="M2237" s="21">
        <v>0</v>
      </c>
      <c r="N2237" s="21">
        <v>0</v>
      </c>
      <c r="O2237" s="21">
        <v>2</v>
      </c>
      <c r="P2237" s="21">
        <v>1</v>
      </c>
      <c r="Q2237" s="21">
        <v>0.5</v>
      </c>
      <c r="R2237" s="21">
        <v>0</v>
      </c>
      <c r="S2237" s="19">
        <v>0</v>
      </c>
      <c r="T2237" s="21">
        <v>0</v>
      </c>
      <c r="U2237" s="21">
        <v>1</v>
      </c>
      <c r="V2237" s="21">
        <v>2</v>
      </c>
      <c r="W2237" s="21">
        <v>0</v>
      </c>
      <c r="X2237" s="21">
        <v>3</v>
      </c>
      <c r="Y2237" s="19">
        <v>0</v>
      </c>
      <c r="Z2237" s="21">
        <v>0</v>
      </c>
      <c r="AA2237" s="21">
        <v>0</v>
      </c>
      <c r="AB2237" s="21">
        <v>0</v>
      </c>
      <c r="AC2237" s="21">
        <v>0</v>
      </c>
      <c r="AD2237" s="21">
        <v>0</v>
      </c>
      <c r="AE2237" s="21">
        <v>0</v>
      </c>
      <c r="AF2237" s="21">
        <v>12</v>
      </c>
      <c r="AG2237" s="21">
        <v>2</v>
      </c>
      <c r="AH2237" s="21" t="s">
        <v>219</v>
      </c>
      <c r="AI2237" s="19">
        <v>0</v>
      </c>
      <c r="AJ2237" s="19">
        <v>2</v>
      </c>
      <c r="AK2237" s="19">
        <v>0</v>
      </c>
      <c r="AL2237" s="19">
        <v>1.5</v>
      </c>
      <c r="AM2237" s="21">
        <v>0</v>
      </c>
      <c r="AN2237" s="21">
        <v>0</v>
      </c>
      <c r="AO2237" s="21">
        <v>0</v>
      </c>
      <c r="AP2237" s="21">
        <v>1.1000000000000001</v>
      </c>
      <c r="AQ2237" s="21">
        <v>3000</v>
      </c>
      <c r="AR2237" s="21">
        <v>1.1000000000000001</v>
      </c>
      <c r="AS2237" s="21">
        <v>0</v>
      </c>
      <c r="AT2237" s="19">
        <v>0</v>
      </c>
      <c r="AU2237" s="21" t="s">
        <v>204</v>
      </c>
      <c r="AV2237" s="21"/>
      <c r="AW2237" s="35" t="s">
        <v>293</v>
      </c>
      <c r="AX2237" s="21" t="s">
        <v>551</v>
      </c>
      <c r="AY2237" s="32">
        <v>10001007</v>
      </c>
      <c r="AZ2237" s="32">
        <v>70103001</v>
      </c>
      <c r="BA2237" s="30" t="s">
        <v>206</v>
      </c>
      <c r="BB2237" s="21">
        <v>0</v>
      </c>
      <c r="BC2237" s="31">
        <v>0</v>
      </c>
      <c r="BD2237" s="31">
        <v>0</v>
      </c>
      <c r="BE2237" s="33" t="s">
        <v>552</v>
      </c>
      <c r="BF2237" s="33" t="s">
        <v>553</v>
      </c>
      <c r="BG2237" s="21">
        <v>0</v>
      </c>
      <c r="BH2237" s="21">
        <v>0</v>
      </c>
      <c r="BI2237" s="21">
        <v>0</v>
      </c>
      <c r="BJ2237" s="21">
        <v>0</v>
      </c>
      <c r="BK2237" s="21">
        <v>0</v>
      </c>
      <c r="BL2237" s="21">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90010303</v>
      </c>
      <c r="D2238" s="35" t="s">
        <v>544</v>
      </c>
      <c r="E2238" s="35" t="s">
        <v>545</v>
      </c>
      <c r="F2238" s="32">
        <v>1</v>
      </c>
      <c r="G2238" s="32">
        <v>60010500</v>
      </c>
      <c r="H2238" s="32">
        <v>0</v>
      </c>
      <c r="I2238" s="31">
        <v>0</v>
      </c>
      <c r="J2238" s="32">
        <v>1</v>
      </c>
      <c r="K2238" s="32">
        <v>0</v>
      </c>
      <c r="L2238" s="32">
        <v>0</v>
      </c>
      <c r="M2238" s="32">
        <v>0</v>
      </c>
      <c r="N2238" s="32">
        <v>0</v>
      </c>
      <c r="O2238" s="21">
        <v>2</v>
      </c>
      <c r="P2238" s="32">
        <v>2</v>
      </c>
      <c r="Q2238" s="32">
        <v>0.6</v>
      </c>
      <c r="R2238" s="32">
        <v>0</v>
      </c>
      <c r="S2238" s="19">
        <v>0</v>
      </c>
      <c r="T2238" s="31">
        <v>0</v>
      </c>
      <c r="U2238" s="21">
        <v>1</v>
      </c>
      <c r="V2238" s="32">
        <v>2</v>
      </c>
      <c r="W2238" s="32">
        <v>0</v>
      </c>
      <c r="X2238" s="32">
        <v>0</v>
      </c>
      <c r="Y2238" s="19">
        <v>0</v>
      </c>
      <c r="Z2238" s="32">
        <v>0</v>
      </c>
      <c r="AA2238" s="32">
        <v>0</v>
      </c>
      <c r="AB2238" s="32">
        <v>0</v>
      </c>
      <c r="AC2238" s="32">
        <v>0</v>
      </c>
      <c r="AD2238" s="32">
        <v>0</v>
      </c>
      <c r="AE2238" s="32">
        <v>0</v>
      </c>
      <c r="AF2238" s="32">
        <v>20</v>
      </c>
      <c r="AG2238" s="32">
        <v>0</v>
      </c>
      <c r="AH2238" s="32">
        <v>0</v>
      </c>
      <c r="AI2238" s="19">
        <v>0</v>
      </c>
      <c r="AJ2238" s="19">
        <v>0</v>
      </c>
      <c r="AK2238" s="19">
        <v>0</v>
      </c>
      <c r="AL2238" s="19">
        <v>0</v>
      </c>
      <c r="AM2238" s="32">
        <v>0</v>
      </c>
      <c r="AN2238" s="32">
        <v>0</v>
      </c>
      <c r="AO2238" s="32">
        <v>0</v>
      </c>
      <c r="AP2238" s="32">
        <v>0</v>
      </c>
      <c r="AQ2238" s="32">
        <v>1000</v>
      </c>
      <c r="AR2238" s="32">
        <v>0</v>
      </c>
      <c r="AS2238" s="32">
        <v>0</v>
      </c>
      <c r="AT2238" s="19">
        <v>90103001</v>
      </c>
      <c r="AU2238" s="32" t="s">
        <v>204</v>
      </c>
      <c r="AV2238" s="32"/>
      <c r="AW2238" s="35" t="s">
        <v>204</v>
      </c>
      <c r="AX2238" s="32" t="s">
        <v>354</v>
      </c>
      <c r="AY2238" s="32">
        <v>0</v>
      </c>
      <c r="AZ2238" s="32">
        <v>40000003</v>
      </c>
      <c r="BA2238" s="35" t="s">
        <v>206</v>
      </c>
      <c r="BB2238" s="35" t="s">
        <v>204</v>
      </c>
      <c r="BC2238" s="31">
        <v>0</v>
      </c>
      <c r="BD2238" s="31">
        <v>0</v>
      </c>
      <c r="BE2238" s="60" t="s">
        <v>554</v>
      </c>
      <c r="BF2238" s="60" t="s">
        <v>555</v>
      </c>
      <c r="BG2238" s="32">
        <v>0</v>
      </c>
      <c r="BH2238" s="21">
        <v>0</v>
      </c>
      <c r="BI2238" s="32">
        <v>0</v>
      </c>
      <c r="BJ2238" s="32">
        <v>0</v>
      </c>
      <c r="BK2238" s="32">
        <v>0</v>
      </c>
      <c r="BL2238" s="32">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90010401</v>
      </c>
      <c r="D2239" s="25" t="s">
        <v>5147</v>
      </c>
      <c r="E2239" s="25" t="s">
        <v>5148</v>
      </c>
      <c r="F2239" s="25">
        <v>1</v>
      </c>
      <c r="G2239" s="25">
        <v>0</v>
      </c>
      <c r="H2239" s="25">
        <v>0</v>
      </c>
      <c r="I2239" s="26">
        <v>0</v>
      </c>
      <c r="J2239" s="25">
        <v>1</v>
      </c>
      <c r="K2239" s="25">
        <v>0</v>
      </c>
      <c r="L2239" s="26">
        <v>0</v>
      </c>
      <c r="M2239" s="26">
        <v>0</v>
      </c>
      <c r="N2239" s="25">
        <v>0</v>
      </c>
      <c r="O2239" s="25">
        <v>2</v>
      </c>
      <c r="P2239" s="25">
        <v>1</v>
      </c>
      <c r="Q2239" s="25">
        <v>0.1</v>
      </c>
      <c r="R2239" s="25">
        <v>0</v>
      </c>
      <c r="S2239" s="19">
        <v>0</v>
      </c>
      <c r="T2239" s="25">
        <v>0</v>
      </c>
      <c r="U2239" s="21">
        <v>1</v>
      </c>
      <c r="V2239" s="25">
        <v>1</v>
      </c>
      <c r="W2239" s="26">
        <v>0</v>
      </c>
      <c r="X2239" s="25">
        <v>2.5</v>
      </c>
      <c r="Y2239" s="19">
        <v>0</v>
      </c>
      <c r="Z2239" s="25">
        <v>0</v>
      </c>
      <c r="AA2239" s="25">
        <v>1</v>
      </c>
      <c r="AB2239" s="25">
        <v>0</v>
      </c>
      <c r="AC2239" s="26">
        <v>0</v>
      </c>
      <c r="AD2239" s="25">
        <v>0</v>
      </c>
      <c r="AE2239" s="25">
        <v>0</v>
      </c>
      <c r="AF2239" s="25">
        <v>1</v>
      </c>
      <c r="AG2239" s="25">
        <v>0</v>
      </c>
      <c r="AH2239" s="25">
        <v>0</v>
      </c>
      <c r="AI2239" s="19">
        <v>0</v>
      </c>
      <c r="AJ2239" s="19">
        <v>0</v>
      </c>
      <c r="AK2239" s="19">
        <v>0</v>
      </c>
      <c r="AL2239" s="25">
        <v>0</v>
      </c>
      <c r="AM2239" s="27">
        <v>0</v>
      </c>
      <c r="AN2239" s="25">
        <v>0</v>
      </c>
      <c r="AO2239" s="25">
        <v>0</v>
      </c>
      <c r="AP2239" s="25">
        <v>0</v>
      </c>
      <c r="AQ2239" s="25">
        <v>3000</v>
      </c>
      <c r="AR2239" s="25">
        <v>0</v>
      </c>
      <c r="AS2239" s="25">
        <v>0</v>
      </c>
      <c r="AT2239" s="19">
        <v>0</v>
      </c>
      <c r="AU2239" s="25">
        <v>0</v>
      </c>
      <c r="AV2239" s="25"/>
      <c r="AW2239" s="25">
        <v>0</v>
      </c>
      <c r="AX2239" s="26">
        <v>0</v>
      </c>
      <c r="AY2239" s="26">
        <v>0</v>
      </c>
      <c r="AZ2239" s="26">
        <v>0</v>
      </c>
      <c r="BA2239" s="35" t="s">
        <v>206</v>
      </c>
      <c r="BB2239" s="8">
        <v>0</v>
      </c>
      <c r="BC2239" s="57">
        <v>0</v>
      </c>
      <c r="BD2239" s="57">
        <v>0</v>
      </c>
      <c r="BE2239" s="29" t="s">
        <v>640</v>
      </c>
      <c r="BF2239" s="29" t="s">
        <v>641</v>
      </c>
      <c r="BG2239" s="25">
        <v>0</v>
      </c>
      <c r="BH2239" s="25">
        <v>0</v>
      </c>
      <c r="BI2239" s="32">
        <v>0</v>
      </c>
      <c r="BJ2239" s="25">
        <v>0</v>
      </c>
      <c r="BK2239" s="25">
        <v>0</v>
      </c>
      <c r="BL2239" s="27">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1.75" customHeight="1">
      <c r="C2240" s="32">
        <v>90010402</v>
      </c>
      <c r="D2240" s="30" t="s">
        <v>538</v>
      </c>
      <c r="E2240" s="30" t="s">
        <v>261</v>
      </c>
      <c r="F2240" s="32">
        <v>1</v>
      </c>
      <c r="G2240" s="21">
        <v>60010100</v>
      </c>
      <c r="H2240" s="32">
        <v>0</v>
      </c>
      <c r="I2240" s="31">
        <v>0</v>
      </c>
      <c r="J2240" s="32">
        <v>1</v>
      </c>
      <c r="K2240" s="32">
        <v>0</v>
      </c>
      <c r="L2240" s="32">
        <v>0</v>
      </c>
      <c r="M2240" s="21">
        <v>0</v>
      </c>
      <c r="N2240" s="21">
        <v>0</v>
      </c>
      <c r="O2240" s="21">
        <v>2</v>
      </c>
      <c r="P2240" s="21">
        <v>3</v>
      </c>
      <c r="Q2240" s="21">
        <v>1</v>
      </c>
      <c r="R2240" s="21">
        <v>0</v>
      </c>
      <c r="S2240" s="19">
        <v>0</v>
      </c>
      <c r="T2240" s="21">
        <v>0</v>
      </c>
      <c r="U2240" s="21">
        <v>1</v>
      </c>
      <c r="V2240" s="21">
        <v>2</v>
      </c>
      <c r="W2240" s="21">
        <v>0</v>
      </c>
      <c r="X2240" s="21">
        <v>3</v>
      </c>
      <c r="Y2240" s="19">
        <v>0</v>
      </c>
      <c r="Z2240" s="21">
        <v>0</v>
      </c>
      <c r="AA2240" s="21">
        <v>1</v>
      </c>
      <c r="AB2240" s="21">
        <v>0</v>
      </c>
      <c r="AC2240" s="21">
        <v>0</v>
      </c>
      <c r="AD2240" s="21">
        <v>0</v>
      </c>
      <c r="AE2240" s="21">
        <v>0</v>
      </c>
      <c r="AF2240" s="21">
        <v>9</v>
      </c>
      <c r="AG2240" s="21">
        <v>1</v>
      </c>
      <c r="AH2240" s="21">
        <v>5</v>
      </c>
      <c r="AI2240" s="19">
        <v>0</v>
      </c>
      <c r="AJ2240" s="19">
        <v>1</v>
      </c>
      <c r="AK2240" s="19">
        <v>0</v>
      </c>
      <c r="AL2240" s="19">
        <v>2.5</v>
      </c>
      <c r="AM2240" s="21">
        <v>0</v>
      </c>
      <c r="AN2240" s="21">
        <v>0</v>
      </c>
      <c r="AO2240" s="21">
        <v>0</v>
      </c>
      <c r="AP2240" s="21">
        <v>2.5</v>
      </c>
      <c r="AQ2240" s="21">
        <v>5000</v>
      </c>
      <c r="AR2240" s="21">
        <v>2</v>
      </c>
      <c r="AS2240" s="21">
        <v>0</v>
      </c>
      <c r="AT2240" s="19">
        <v>0</v>
      </c>
      <c r="AU2240" s="25">
        <v>91000005</v>
      </c>
      <c r="AV2240" s="25"/>
      <c r="AW2240" s="25" t="s">
        <v>262</v>
      </c>
      <c r="AX2240" s="21">
        <v>0</v>
      </c>
      <c r="AY2240" s="32">
        <v>10000007</v>
      </c>
      <c r="AZ2240" s="32">
        <v>90010402</v>
      </c>
      <c r="BA2240" s="30" t="s">
        <v>206</v>
      </c>
      <c r="BB2240" s="21" t="s">
        <v>5149</v>
      </c>
      <c r="BC2240" s="31">
        <v>0</v>
      </c>
      <c r="BD2240" s="31">
        <v>0</v>
      </c>
      <c r="BE2240" s="33" t="s">
        <v>542</v>
      </c>
      <c r="BF2240" s="33" t="s">
        <v>543</v>
      </c>
      <c r="BG2240" s="21">
        <v>0</v>
      </c>
      <c r="BH2240" s="21">
        <v>0</v>
      </c>
      <c r="BI2240" s="21">
        <v>0</v>
      </c>
      <c r="BJ2240" s="21">
        <v>0</v>
      </c>
      <c r="BK2240" s="21">
        <v>0</v>
      </c>
      <c r="BL2240" s="21">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90010403</v>
      </c>
      <c r="D2241" s="25" t="s">
        <v>5150</v>
      </c>
      <c r="E2241" s="25" t="s">
        <v>5151</v>
      </c>
      <c r="F2241" s="25">
        <v>1</v>
      </c>
      <c r="G2241" s="25">
        <v>0</v>
      </c>
      <c r="H2241" s="25">
        <v>0</v>
      </c>
      <c r="I2241" s="26">
        <v>0</v>
      </c>
      <c r="J2241" s="25">
        <v>1</v>
      </c>
      <c r="K2241" s="25">
        <v>0</v>
      </c>
      <c r="L2241" s="26">
        <v>0</v>
      </c>
      <c r="M2241" s="26">
        <v>0</v>
      </c>
      <c r="N2241" s="25">
        <v>0</v>
      </c>
      <c r="O2241" s="25">
        <v>2</v>
      </c>
      <c r="P2241" s="25">
        <v>2</v>
      </c>
      <c r="Q2241" s="25">
        <v>0.95</v>
      </c>
      <c r="R2241" s="25">
        <v>0</v>
      </c>
      <c r="S2241" s="19">
        <v>0</v>
      </c>
      <c r="T2241" s="25">
        <v>0</v>
      </c>
      <c r="U2241" s="21">
        <v>1</v>
      </c>
      <c r="V2241" s="25">
        <v>1</v>
      </c>
      <c r="W2241" s="26">
        <v>0</v>
      </c>
      <c r="X2241" s="25">
        <v>2.5</v>
      </c>
      <c r="Y2241" s="19">
        <v>0</v>
      </c>
      <c r="Z2241" s="25">
        <v>0</v>
      </c>
      <c r="AA2241" s="25">
        <v>1</v>
      </c>
      <c r="AB2241" s="25">
        <v>0</v>
      </c>
      <c r="AC2241" s="26">
        <v>0</v>
      </c>
      <c r="AD2241" s="25">
        <v>0</v>
      </c>
      <c r="AE2241" s="25">
        <v>0</v>
      </c>
      <c r="AF2241" s="25">
        <v>6</v>
      </c>
      <c r="AG2241" s="25">
        <v>1</v>
      </c>
      <c r="AH2241" s="25">
        <v>3</v>
      </c>
      <c r="AI2241" s="19">
        <v>1</v>
      </c>
      <c r="AJ2241" s="19">
        <v>1</v>
      </c>
      <c r="AK2241" s="19">
        <v>0</v>
      </c>
      <c r="AL2241" s="25">
        <v>1.5</v>
      </c>
      <c r="AM2241" s="27">
        <v>0</v>
      </c>
      <c r="AN2241" s="25">
        <v>0</v>
      </c>
      <c r="AO2241" s="25">
        <v>0</v>
      </c>
      <c r="AP2241" s="25">
        <v>2</v>
      </c>
      <c r="AQ2241" s="25">
        <v>4000</v>
      </c>
      <c r="AR2241" s="25">
        <v>2</v>
      </c>
      <c r="AS2241" s="25">
        <v>0</v>
      </c>
      <c r="AT2241" s="19">
        <v>0</v>
      </c>
      <c r="AU2241" s="66" t="s">
        <v>565</v>
      </c>
      <c r="AV2241" s="66"/>
      <c r="AW2241" s="25" t="s">
        <v>205</v>
      </c>
      <c r="AX2241" s="26">
        <v>0</v>
      </c>
      <c r="AY2241" s="26">
        <v>0</v>
      </c>
      <c r="AZ2241" s="26">
        <v>90010403</v>
      </c>
      <c r="BA2241" s="35" t="s">
        <v>206</v>
      </c>
      <c r="BB2241" s="8">
        <v>0</v>
      </c>
      <c r="BC2241" s="57">
        <v>0</v>
      </c>
      <c r="BD2241" s="57">
        <v>0</v>
      </c>
      <c r="BE2241" s="29" t="s">
        <v>651</v>
      </c>
      <c r="BF2241" s="29" t="s">
        <v>652</v>
      </c>
      <c r="BG2241" s="25">
        <v>2</v>
      </c>
      <c r="BH2241" s="25">
        <v>0</v>
      </c>
      <c r="BI2241" s="32">
        <v>0</v>
      </c>
      <c r="BJ2241" s="25">
        <v>0</v>
      </c>
      <c r="BK2241" s="25">
        <v>3</v>
      </c>
      <c r="BL2241" s="27">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90010404</v>
      </c>
      <c r="D2242" s="25" t="s">
        <v>5152</v>
      </c>
      <c r="E2242" s="25" t="s">
        <v>5153</v>
      </c>
      <c r="F2242" s="25">
        <v>1</v>
      </c>
      <c r="G2242" s="25">
        <v>0</v>
      </c>
      <c r="H2242" s="25">
        <v>0</v>
      </c>
      <c r="I2242" s="26">
        <v>0</v>
      </c>
      <c r="J2242" s="25">
        <v>0</v>
      </c>
      <c r="K2242" s="25">
        <v>0</v>
      </c>
      <c r="L2242" s="26">
        <v>0</v>
      </c>
      <c r="M2242" s="26">
        <v>0</v>
      </c>
      <c r="N2242" s="25">
        <v>0</v>
      </c>
      <c r="O2242" s="25">
        <v>2</v>
      </c>
      <c r="P2242" s="25">
        <v>2</v>
      </c>
      <c r="Q2242" s="25">
        <v>0.9</v>
      </c>
      <c r="R2242" s="25">
        <v>0</v>
      </c>
      <c r="S2242" s="19">
        <v>0</v>
      </c>
      <c r="T2242" s="25">
        <v>0</v>
      </c>
      <c r="U2242" s="21">
        <v>1</v>
      </c>
      <c r="V2242" s="25">
        <v>1</v>
      </c>
      <c r="W2242" s="26">
        <v>0</v>
      </c>
      <c r="X2242" s="25">
        <v>1.5</v>
      </c>
      <c r="Y2242" s="19">
        <v>0</v>
      </c>
      <c r="Z2242" s="25">
        <v>0</v>
      </c>
      <c r="AA2242" s="25">
        <v>1</v>
      </c>
      <c r="AB2242" s="25">
        <v>0</v>
      </c>
      <c r="AC2242" s="26">
        <v>0</v>
      </c>
      <c r="AD2242" s="25">
        <v>0</v>
      </c>
      <c r="AE2242" s="25">
        <v>0</v>
      </c>
      <c r="AF2242" s="25">
        <v>8</v>
      </c>
      <c r="AG2242" s="25">
        <v>2</v>
      </c>
      <c r="AH2242" s="25" t="s">
        <v>570</v>
      </c>
      <c r="AI2242" s="19">
        <v>0</v>
      </c>
      <c r="AJ2242" s="19">
        <v>0</v>
      </c>
      <c r="AK2242" s="19">
        <v>0</v>
      </c>
      <c r="AL2242" s="25">
        <v>0</v>
      </c>
      <c r="AM2242" s="27">
        <v>0</v>
      </c>
      <c r="AN2242" s="25">
        <v>0</v>
      </c>
      <c r="AO2242" s="25">
        <v>0</v>
      </c>
      <c r="AP2242" s="25">
        <v>0.5</v>
      </c>
      <c r="AQ2242" s="25">
        <v>999000</v>
      </c>
      <c r="AR2242" s="25">
        <v>0</v>
      </c>
      <c r="AS2242" s="25">
        <v>0</v>
      </c>
      <c r="AT2242" s="19">
        <v>0</v>
      </c>
      <c r="AU2242" s="28" t="s">
        <v>204</v>
      </c>
      <c r="AV2242" s="28"/>
      <c r="AW2242" s="25" t="s">
        <v>293</v>
      </c>
      <c r="AX2242" s="26">
        <v>0</v>
      </c>
      <c r="AY2242" s="26">
        <v>0</v>
      </c>
      <c r="AZ2242" s="26">
        <v>20000021</v>
      </c>
      <c r="BA2242" s="35" t="s">
        <v>206</v>
      </c>
      <c r="BB2242" s="8">
        <v>0</v>
      </c>
      <c r="BC2242" s="57">
        <v>0</v>
      </c>
      <c r="BD2242" s="57">
        <v>0</v>
      </c>
      <c r="BE2242" s="29" t="s">
        <v>328</v>
      </c>
      <c r="BF2242" s="29" t="s">
        <v>329</v>
      </c>
      <c r="BG2242" s="25">
        <v>0</v>
      </c>
      <c r="BH2242" s="25">
        <v>0</v>
      </c>
      <c r="BI2242" s="32">
        <v>0</v>
      </c>
      <c r="BJ2242" s="25">
        <v>0</v>
      </c>
      <c r="BK2242" s="25">
        <v>0</v>
      </c>
      <c r="BL2242" s="27">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20.100000000000001" customHeight="1">
      <c r="C2243" s="32">
        <v>90010405</v>
      </c>
      <c r="D2243" s="35" t="s">
        <v>573</v>
      </c>
      <c r="E2243" s="35" t="s">
        <v>574</v>
      </c>
      <c r="F2243" s="32">
        <v>1</v>
      </c>
      <c r="G2243" s="32">
        <v>0</v>
      </c>
      <c r="H2243" s="32">
        <v>0</v>
      </c>
      <c r="I2243" s="31">
        <v>0</v>
      </c>
      <c r="J2243" s="32">
        <v>1</v>
      </c>
      <c r="K2243" s="32">
        <v>0</v>
      </c>
      <c r="L2243" s="32">
        <v>0</v>
      </c>
      <c r="M2243" s="32">
        <v>0</v>
      </c>
      <c r="N2243" s="32">
        <v>0</v>
      </c>
      <c r="O2243" s="25">
        <v>2</v>
      </c>
      <c r="P2243" s="32">
        <v>2</v>
      </c>
      <c r="Q2243" s="32">
        <v>0.6</v>
      </c>
      <c r="R2243" s="32">
        <v>0</v>
      </c>
      <c r="S2243" s="19">
        <v>0</v>
      </c>
      <c r="T2243" s="31">
        <v>0</v>
      </c>
      <c r="U2243" s="21">
        <v>1</v>
      </c>
      <c r="V2243" s="32">
        <v>2</v>
      </c>
      <c r="W2243" s="32">
        <v>0</v>
      </c>
      <c r="X2243" s="32">
        <v>0</v>
      </c>
      <c r="Y2243" s="19">
        <v>0</v>
      </c>
      <c r="Z2243" s="32">
        <v>0</v>
      </c>
      <c r="AA2243" s="32">
        <v>0</v>
      </c>
      <c r="AB2243" s="32">
        <v>0</v>
      </c>
      <c r="AC2243" s="32">
        <v>0</v>
      </c>
      <c r="AD2243" s="32">
        <v>0</v>
      </c>
      <c r="AE2243" s="32">
        <v>0</v>
      </c>
      <c r="AF2243" s="21">
        <v>99999</v>
      </c>
      <c r="AG2243" s="32">
        <v>0</v>
      </c>
      <c r="AH2243" s="32">
        <v>0</v>
      </c>
      <c r="AI2243" s="19">
        <v>2</v>
      </c>
      <c r="AJ2243" s="19">
        <v>0</v>
      </c>
      <c r="AK2243" s="19">
        <v>0</v>
      </c>
      <c r="AL2243" s="19">
        <v>0</v>
      </c>
      <c r="AM2243" s="32">
        <v>0</v>
      </c>
      <c r="AN2243" s="32">
        <v>0</v>
      </c>
      <c r="AO2243" s="32">
        <v>0</v>
      </c>
      <c r="AP2243" s="32">
        <v>0</v>
      </c>
      <c r="AQ2243" s="32">
        <v>1000</v>
      </c>
      <c r="AR2243" s="32">
        <v>0</v>
      </c>
      <c r="AS2243" s="32">
        <v>0</v>
      </c>
      <c r="AT2243" s="19">
        <v>90104002</v>
      </c>
      <c r="AU2243" s="32" t="s">
        <v>204</v>
      </c>
      <c r="AV2243" s="69"/>
      <c r="AW2243" s="25" t="s">
        <v>293</v>
      </c>
      <c r="AX2243" s="32" t="s">
        <v>354</v>
      </c>
      <c r="AY2243" s="32">
        <v>0</v>
      </c>
      <c r="AZ2243" s="32">
        <v>0</v>
      </c>
      <c r="BA2243" s="35" t="s">
        <v>206</v>
      </c>
      <c r="BB2243" s="35" t="s">
        <v>204</v>
      </c>
      <c r="BC2243" s="31">
        <v>0</v>
      </c>
      <c r="BD2243" s="31">
        <v>0</v>
      </c>
      <c r="BE2243" s="60" t="s">
        <v>681</v>
      </c>
      <c r="BF2243" s="60" t="s">
        <v>682</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90010406</v>
      </c>
      <c r="D2244" s="35" t="s">
        <v>5154</v>
      </c>
      <c r="E2244" s="35" t="s">
        <v>5155</v>
      </c>
      <c r="F2244" s="32">
        <v>1</v>
      </c>
      <c r="G2244" s="32">
        <v>60010500</v>
      </c>
      <c r="H2244" s="32">
        <v>0</v>
      </c>
      <c r="I2244" s="31">
        <v>0</v>
      </c>
      <c r="J2244" s="32">
        <v>1</v>
      </c>
      <c r="K2244" s="32">
        <v>0</v>
      </c>
      <c r="L2244" s="32">
        <v>0</v>
      </c>
      <c r="M2244" s="32">
        <v>0</v>
      </c>
      <c r="N2244" s="32">
        <v>0</v>
      </c>
      <c r="O2244" s="25">
        <v>2</v>
      </c>
      <c r="P2244" s="32">
        <v>2</v>
      </c>
      <c r="Q2244" s="32">
        <v>0.6</v>
      </c>
      <c r="R2244" s="32">
        <v>0</v>
      </c>
      <c r="S2244" s="19">
        <v>0</v>
      </c>
      <c r="T2244" s="31">
        <v>0</v>
      </c>
      <c r="U2244" s="21">
        <v>1</v>
      </c>
      <c r="V2244" s="32">
        <v>2</v>
      </c>
      <c r="W2244" s="32">
        <v>0</v>
      </c>
      <c r="X2244" s="32">
        <v>0</v>
      </c>
      <c r="Y2244" s="19">
        <v>0</v>
      </c>
      <c r="Z2244" s="32">
        <v>0</v>
      </c>
      <c r="AA2244" s="32">
        <v>0</v>
      </c>
      <c r="AB2244" s="32">
        <v>0</v>
      </c>
      <c r="AC2244" s="32">
        <v>0</v>
      </c>
      <c r="AD2244" s="32">
        <v>0</v>
      </c>
      <c r="AE2244" s="32">
        <v>0</v>
      </c>
      <c r="AF2244" s="32">
        <v>20</v>
      </c>
      <c r="AG2244" s="32">
        <v>0</v>
      </c>
      <c r="AH2244" s="32">
        <v>0</v>
      </c>
      <c r="AI2244" s="19">
        <v>2</v>
      </c>
      <c r="AJ2244" s="19">
        <v>0</v>
      </c>
      <c r="AK2244" s="19">
        <v>0</v>
      </c>
      <c r="AL2244" s="19">
        <v>0</v>
      </c>
      <c r="AM2244" s="32">
        <v>0</v>
      </c>
      <c r="AN2244" s="32">
        <v>0</v>
      </c>
      <c r="AO2244" s="32">
        <v>0</v>
      </c>
      <c r="AP2244" s="32">
        <v>0</v>
      </c>
      <c r="AQ2244" s="32">
        <v>1000</v>
      </c>
      <c r="AR2244" s="32">
        <v>0</v>
      </c>
      <c r="AS2244" s="32">
        <v>0</v>
      </c>
      <c r="AT2244" s="19">
        <v>90103001</v>
      </c>
      <c r="AU2244" s="32" t="s">
        <v>204</v>
      </c>
      <c r="AV2244" s="69"/>
      <c r="AW2244" s="25" t="s">
        <v>293</v>
      </c>
      <c r="AX2244" s="32" t="s">
        <v>354</v>
      </c>
      <c r="AY2244" s="32">
        <v>0</v>
      </c>
      <c r="AZ2244" s="32">
        <v>40000003</v>
      </c>
      <c r="BA2244" s="35" t="s">
        <v>206</v>
      </c>
      <c r="BB2244" s="35" t="s">
        <v>204</v>
      </c>
      <c r="BC2244" s="31">
        <v>0</v>
      </c>
      <c r="BD2244" s="31">
        <v>0</v>
      </c>
      <c r="BE2244" s="60" t="s">
        <v>5156</v>
      </c>
      <c r="BF2244" s="60" t="s">
        <v>5157</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90010501</v>
      </c>
      <c r="D2245" s="35" t="s">
        <v>579</v>
      </c>
      <c r="E2245" s="35" t="s">
        <v>580</v>
      </c>
      <c r="F2245" s="32">
        <v>1</v>
      </c>
      <c r="G2245" s="32">
        <v>60010300</v>
      </c>
      <c r="H2245" s="32">
        <v>0</v>
      </c>
      <c r="I2245" s="31">
        <v>0</v>
      </c>
      <c r="J2245" s="32">
        <v>1</v>
      </c>
      <c r="K2245" s="32">
        <v>0</v>
      </c>
      <c r="L2245" s="32">
        <v>0</v>
      </c>
      <c r="M2245" s="32">
        <v>0</v>
      </c>
      <c r="N2245" s="32">
        <v>0</v>
      </c>
      <c r="O2245" s="21">
        <v>2</v>
      </c>
      <c r="P2245" s="32">
        <v>1</v>
      </c>
      <c r="Q2245" s="32">
        <v>0.5</v>
      </c>
      <c r="R2245" s="32">
        <v>0</v>
      </c>
      <c r="S2245" s="19">
        <v>0</v>
      </c>
      <c r="T2245" s="31">
        <v>0</v>
      </c>
      <c r="U2245" s="21">
        <v>1</v>
      </c>
      <c r="V2245" s="32">
        <v>2</v>
      </c>
      <c r="W2245" s="32">
        <v>0</v>
      </c>
      <c r="X2245" s="32">
        <v>0.5</v>
      </c>
      <c r="Y2245" s="19">
        <v>0</v>
      </c>
      <c r="Z2245" s="32">
        <v>0</v>
      </c>
      <c r="AA2245" s="32">
        <v>0</v>
      </c>
      <c r="AB2245" s="32">
        <v>0</v>
      </c>
      <c r="AC2245" s="32">
        <v>0</v>
      </c>
      <c r="AD2245" s="32">
        <v>0</v>
      </c>
      <c r="AE2245" s="32">
        <v>0</v>
      </c>
      <c r="AF2245" s="32">
        <v>15</v>
      </c>
      <c r="AG2245" s="32">
        <v>1</v>
      </c>
      <c r="AH2245" s="32">
        <v>3</v>
      </c>
      <c r="AI2245" s="19">
        <v>1</v>
      </c>
      <c r="AJ2245" s="19">
        <v>0</v>
      </c>
      <c r="AK2245" s="19">
        <v>0</v>
      </c>
      <c r="AL2245" s="19">
        <v>1.5</v>
      </c>
      <c r="AM2245" s="32">
        <v>0</v>
      </c>
      <c r="AN2245" s="32">
        <v>0</v>
      </c>
      <c r="AO2245" s="32">
        <v>0</v>
      </c>
      <c r="AP2245" s="32">
        <v>1</v>
      </c>
      <c r="AQ2245" s="32">
        <v>360000</v>
      </c>
      <c r="AR2245" s="32">
        <v>0.5</v>
      </c>
      <c r="AS2245" s="32">
        <v>0</v>
      </c>
      <c r="AT2245" s="19">
        <v>0</v>
      </c>
      <c r="AU2245" s="32" t="s">
        <v>581</v>
      </c>
      <c r="AV2245" s="32"/>
      <c r="AW2245" s="35" t="s">
        <v>205</v>
      </c>
      <c r="AX2245" s="32" t="s">
        <v>551</v>
      </c>
      <c r="AY2245" s="32">
        <v>10002001</v>
      </c>
      <c r="AZ2245" s="32">
        <v>70106001</v>
      </c>
      <c r="BA2245" s="35" t="s">
        <v>321</v>
      </c>
      <c r="BB2245" s="35" t="s">
        <v>582</v>
      </c>
      <c r="BC2245" s="31">
        <v>0</v>
      </c>
      <c r="BD2245" s="31">
        <v>0</v>
      </c>
      <c r="BE2245" s="60" t="s">
        <v>583</v>
      </c>
      <c r="BF2245" s="60" t="s">
        <v>584</v>
      </c>
      <c r="BG2245" s="32">
        <v>0</v>
      </c>
      <c r="BH2245" s="21">
        <v>0</v>
      </c>
      <c r="BI2245" s="32">
        <v>0</v>
      </c>
      <c r="BJ2245" s="32">
        <v>0</v>
      </c>
      <c r="BK2245" s="32">
        <v>0</v>
      </c>
      <c r="BL2245" s="32">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90010502</v>
      </c>
      <c r="D2246" s="30" t="s">
        <v>585</v>
      </c>
      <c r="E2246" s="30" t="s">
        <v>586</v>
      </c>
      <c r="F2246" s="32">
        <v>1</v>
      </c>
      <c r="G2246" s="21">
        <v>60010100</v>
      </c>
      <c r="H2246" s="32">
        <v>0</v>
      </c>
      <c r="I2246" s="31">
        <v>0</v>
      </c>
      <c r="J2246" s="32">
        <v>1</v>
      </c>
      <c r="K2246" s="32">
        <v>0</v>
      </c>
      <c r="L2246" s="32">
        <v>0</v>
      </c>
      <c r="M2246" s="21">
        <v>0</v>
      </c>
      <c r="N2246" s="21">
        <v>0</v>
      </c>
      <c r="O2246" s="21">
        <v>2</v>
      </c>
      <c r="P2246" s="21">
        <v>1</v>
      </c>
      <c r="Q2246" s="21">
        <v>0.3</v>
      </c>
      <c r="R2246" s="21">
        <v>0</v>
      </c>
      <c r="S2246" s="19">
        <v>0</v>
      </c>
      <c r="T2246" s="21">
        <v>0</v>
      </c>
      <c r="U2246" s="21">
        <v>1</v>
      </c>
      <c r="V2246" s="21">
        <v>2</v>
      </c>
      <c r="W2246" s="21">
        <v>0</v>
      </c>
      <c r="X2246" s="21">
        <v>3</v>
      </c>
      <c r="Y2246" s="19">
        <v>0</v>
      </c>
      <c r="Z2246" s="21">
        <v>0</v>
      </c>
      <c r="AA2246" s="21">
        <v>0</v>
      </c>
      <c r="AB2246" s="21">
        <v>0</v>
      </c>
      <c r="AC2246" s="21">
        <v>0</v>
      </c>
      <c r="AD2246" s="21">
        <v>0</v>
      </c>
      <c r="AE2246" s="21">
        <v>0</v>
      </c>
      <c r="AF2246" s="21">
        <v>12</v>
      </c>
      <c r="AG2246" s="21">
        <v>1</v>
      </c>
      <c r="AH2246" s="21">
        <v>3</v>
      </c>
      <c r="AI2246" s="19">
        <v>6</v>
      </c>
      <c r="AJ2246" s="19">
        <v>1</v>
      </c>
      <c r="AK2246" s="19">
        <v>0</v>
      </c>
      <c r="AL2246" s="19">
        <v>1.5</v>
      </c>
      <c r="AM2246" s="21">
        <v>0</v>
      </c>
      <c r="AN2246" s="21">
        <v>0</v>
      </c>
      <c r="AO2246" s="21">
        <v>0</v>
      </c>
      <c r="AP2246" s="21">
        <v>3</v>
      </c>
      <c r="AQ2246" s="21">
        <v>5000</v>
      </c>
      <c r="AR2246" s="21">
        <v>2</v>
      </c>
      <c r="AS2246" s="21">
        <v>0</v>
      </c>
      <c r="AT2246" s="19">
        <v>0</v>
      </c>
      <c r="AU2246" s="21" t="s">
        <v>204</v>
      </c>
      <c r="AV2246" s="21"/>
      <c r="AW2246" s="35" t="s">
        <v>205</v>
      </c>
      <c r="AX2246" s="21" t="s">
        <v>540</v>
      </c>
      <c r="AY2246" s="32">
        <v>10000007</v>
      </c>
      <c r="AZ2246" s="32">
        <v>90010502</v>
      </c>
      <c r="BA2246" s="30" t="s">
        <v>206</v>
      </c>
      <c r="BB2246" s="21" t="s">
        <v>5158</v>
      </c>
      <c r="BC2246" s="31">
        <v>0</v>
      </c>
      <c r="BD2246" s="31">
        <v>0</v>
      </c>
      <c r="BE2246" s="33" t="s">
        <v>588</v>
      </c>
      <c r="BF2246" s="33" t="s">
        <v>589</v>
      </c>
      <c r="BG2246" s="21">
        <v>0</v>
      </c>
      <c r="BH2246" s="21">
        <v>0</v>
      </c>
      <c r="BI2246" s="21">
        <v>0</v>
      </c>
      <c r="BJ2246" s="21">
        <v>0</v>
      </c>
      <c r="BK2246" s="21">
        <v>0</v>
      </c>
      <c r="BL2246" s="21">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19.5" customHeight="1">
      <c r="C2247" s="32">
        <v>90010503</v>
      </c>
      <c r="D2247" s="35" t="s">
        <v>590</v>
      </c>
      <c r="E2247" s="35" t="s">
        <v>591</v>
      </c>
      <c r="F2247" s="32">
        <v>1</v>
      </c>
      <c r="G2247" s="32">
        <v>60010300</v>
      </c>
      <c r="H2247" s="32">
        <v>0</v>
      </c>
      <c r="I2247" s="31">
        <v>0</v>
      </c>
      <c r="J2247" s="32">
        <v>1</v>
      </c>
      <c r="K2247" s="32">
        <v>0</v>
      </c>
      <c r="L2247" s="32">
        <v>0</v>
      </c>
      <c r="M2247" s="32">
        <v>0</v>
      </c>
      <c r="N2247" s="32">
        <v>0</v>
      </c>
      <c r="O2247" s="21">
        <v>2</v>
      </c>
      <c r="P2247" s="32">
        <v>1</v>
      </c>
      <c r="Q2247" s="32">
        <v>0.5</v>
      </c>
      <c r="R2247" s="32">
        <v>0</v>
      </c>
      <c r="S2247" s="19">
        <v>0</v>
      </c>
      <c r="T2247" s="31">
        <v>0</v>
      </c>
      <c r="U2247" s="21">
        <v>1</v>
      </c>
      <c r="V2247" s="32">
        <v>2</v>
      </c>
      <c r="W2247" s="32">
        <v>0</v>
      </c>
      <c r="X2247" s="32">
        <v>3</v>
      </c>
      <c r="Y2247" s="19">
        <v>0</v>
      </c>
      <c r="Z2247" s="32">
        <v>0</v>
      </c>
      <c r="AA2247" s="32">
        <v>0</v>
      </c>
      <c r="AB2247" s="32">
        <v>0</v>
      </c>
      <c r="AC2247" s="32">
        <v>0</v>
      </c>
      <c r="AD2247" s="32">
        <v>0</v>
      </c>
      <c r="AE2247" s="32">
        <v>0</v>
      </c>
      <c r="AF2247" s="32">
        <v>9</v>
      </c>
      <c r="AG2247" s="32">
        <v>1</v>
      </c>
      <c r="AH2247" s="32">
        <v>2</v>
      </c>
      <c r="AI2247" s="19">
        <v>2</v>
      </c>
      <c r="AJ2247" s="19">
        <v>2</v>
      </c>
      <c r="AK2247" s="19">
        <v>0</v>
      </c>
      <c r="AL2247" s="19">
        <v>3</v>
      </c>
      <c r="AM2247" s="32">
        <v>0</v>
      </c>
      <c r="AN2247" s="32">
        <v>0</v>
      </c>
      <c r="AO2247" s="32">
        <v>0</v>
      </c>
      <c r="AP2247" s="32">
        <v>2</v>
      </c>
      <c r="AQ2247" s="32">
        <v>30000</v>
      </c>
      <c r="AR2247" s="32">
        <v>2</v>
      </c>
      <c r="AS2247" s="32">
        <v>4</v>
      </c>
      <c r="AT2247" s="19">
        <v>0</v>
      </c>
      <c r="AU2247" s="32" t="s">
        <v>204</v>
      </c>
      <c r="AV2247" s="32"/>
      <c r="AW2247" s="35" t="s">
        <v>205</v>
      </c>
      <c r="AX2247" s="32" t="s">
        <v>551</v>
      </c>
      <c r="AY2247" s="32">
        <v>10003002</v>
      </c>
      <c r="AZ2247" s="32">
        <v>70106005</v>
      </c>
      <c r="BA2247" s="35" t="s">
        <v>592</v>
      </c>
      <c r="BB2247" s="35">
        <v>0</v>
      </c>
      <c r="BC2247" s="31">
        <v>0</v>
      </c>
      <c r="BD2247" s="31">
        <v>0</v>
      </c>
      <c r="BE2247" s="60" t="s">
        <v>583</v>
      </c>
      <c r="BF2247" s="60" t="s">
        <v>584</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20.100000000000001" customHeight="1">
      <c r="C2248" s="32">
        <v>90010504</v>
      </c>
      <c r="D2248" s="35" t="s">
        <v>573</v>
      </c>
      <c r="E2248" s="35" t="s">
        <v>574</v>
      </c>
      <c r="F2248" s="32">
        <v>1</v>
      </c>
      <c r="G2248" s="32">
        <v>60010500</v>
      </c>
      <c r="H2248" s="32">
        <v>0</v>
      </c>
      <c r="I2248" s="31">
        <v>0</v>
      </c>
      <c r="J2248" s="32">
        <v>1</v>
      </c>
      <c r="K2248" s="32">
        <v>0</v>
      </c>
      <c r="L2248" s="32">
        <v>0</v>
      </c>
      <c r="M2248" s="32">
        <v>0</v>
      </c>
      <c r="N2248" s="32">
        <v>0</v>
      </c>
      <c r="O2248" s="21">
        <v>2</v>
      </c>
      <c r="P2248" s="32">
        <v>2</v>
      </c>
      <c r="Q2248" s="32">
        <v>0.6</v>
      </c>
      <c r="R2248" s="32">
        <v>0</v>
      </c>
      <c r="S2248" s="19">
        <v>0</v>
      </c>
      <c r="T2248" s="31">
        <v>0</v>
      </c>
      <c r="U2248" s="21">
        <v>1</v>
      </c>
      <c r="V2248" s="32">
        <v>2</v>
      </c>
      <c r="W2248" s="32">
        <v>0</v>
      </c>
      <c r="X2248" s="32">
        <v>0</v>
      </c>
      <c r="Y2248" s="19">
        <v>0</v>
      </c>
      <c r="Z2248" s="32">
        <v>0</v>
      </c>
      <c r="AA2248" s="32">
        <v>0</v>
      </c>
      <c r="AB2248" s="32">
        <v>0</v>
      </c>
      <c r="AC2248" s="32">
        <v>0</v>
      </c>
      <c r="AD2248" s="32">
        <v>0</v>
      </c>
      <c r="AE2248" s="32">
        <v>0</v>
      </c>
      <c r="AF2248" s="21">
        <v>30</v>
      </c>
      <c r="AG2248" s="32">
        <v>0</v>
      </c>
      <c r="AH2248" s="32">
        <v>0</v>
      </c>
      <c r="AI2248" s="19">
        <v>2</v>
      </c>
      <c r="AJ2248" s="19">
        <v>0</v>
      </c>
      <c r="AK2248" s="19">
        <v>0</v>
      </c>
      <c r="AL2248" s="19">
        <v>0</v>
      </c>
      <c r="AM2248" s="32">
        <v>0</v>
      </c>
      <c r="AN2248" s="32">
        <v>0</v>
      </c>
      <c r="AO2248" s="32">
        <v>0</v>
      </c>
      <c r="AP2248" s="32">
        <v>0</v>
      </c>
      <c r="AQ2248" s="32">
        <v>1000</v>
      </c>
      <c r="AR2248" s="32">
        <v>0</v>
      </c>
      <c r="AS2248" s="32">
        <v>0</v>
      </c>
      <c r="AT2248" s="19">
        <v>90104002</v>
      </c>
      <c r="AU2248" s="32" t="s">
        <v>204</v>
      </c>
      <c r="AV2248" s="32"/>
      <c r="AW2248" s="35" t="s">
        <v>205</v>
      </c>
      <c r="AX2248" s="32" t="s">
        <v>354</v>
      </c>
      <c r="AY2248" s="32">
        <v>0</v>
      </c>
      <c r="AZ2248" s="32">
        <v>0</v>
      </c>
      <c r="BA2248" s="35" t="s">
        <v>206</v>
      </c>
      <c r="BB2248" s="35" t="s">
        <v>204</v>
      </c>
      <c r="BC2248" s="31">
        <v>0</v>
      </c>
      <c r="BD2248" s="31">
        <v>0</v>
      </c>
      <c r="BE2248" s="60" t="s">
        <v>593</v>
      </c>
      <c r="BF2248" s="60" t="s">
        <v>594</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20.100000000000001" customHeight="1">
      <c r="C2249" s="32">
        <v>90010505</v>
      </c>
      <c r="D2249" s="30" t="s">
        <v>595</v>
      </c>
      <c r="E2249" s="30" t="s">
        <v>596</v>
      </c>
      <c r="F2249" s="32">
        <v>1</v>
      </c>
      <c r="G2249" s="21">
        <v>60010300</v>
      </c>
      <c r="H2249" s="32">
        <v>0</v>
      </c>
      <c r="I2249" s="31">
        <v>0</v>
      </c>
      <c r="J2249" s="32">
        <v>1</v>
      </c>
      <c r="K2249" s="32">
        <v>0</v>
      </c>
      <c r="L2249" s="32">
        <v>0</v>
      </c>
      <c r="M2249" s="21">
        <v>0</v>
      </c>
      <c r="N2249" s="21">
        <v>0</v>
      </c>
      <c r="O2249" s="21">
        <v>2</v>
      </c>
      <c r="P2249" s="21">
        <v>1</v>
      </c>
      <c r="Q2249" s="21">
        <v>0.6</v>
      </c>
      <c r="R2249" s="21">
        <v>0</v>
      </c>
      <c r="S2249" s="19">
        <v>0</v>
      </c>
      <c r="T2249" s="21">
        <v>0</v>
      </c>
      <c r="U2249" s="21">
        <v>1</v>
      </c>
      <c r="V2249" s="21">
        <v>2</v>
      </c>
      <c r="W2249" s="21">
        <v>0</v>
      </c>
      <c r="X2249" s="21">
        <v>0</v>
      </c>
      <c r="Y2249" s="19">
        <v>0</v>
      </c>
      <c r="Z2249" s="21">
        <v>0</v>
      </c>
      <c r="AA2249" s="21">
        <v>0</v>
      </c>
      <c r="AB2249" s="21">
        <v>0</v>
      </c>
      <c r="AC2249" s="21">
        <v>0</v>
      </c>
      <c r="AD2249" s="21">
        <v>0</v>
      </c>
      <c r="AE2249" s="21">
        <v>0</v>
      </c>
      <c r="AF2249" s="21">
        <v>20</v>
      </c>
      <c r="AG2249" s="21">
        <v>0</v>
      </c>
      <c r="AH2249" s="21">
        <v>0</v>
      </c>
      <c r="AI2249" s="19">
        <v>2</v>
      </c>
      <c r="AJ2249" s="19">
        <v>2</v>
      </c>
      <c r="AK2249" s="19">
        <v>0</v>
      </c>
      <c r="AL2249" s="19">
        <v>1.5</v>
      </c>
      <c r="AM2249" s="21">
        <v>0</v>
      </c>
      <c r="AN2249" s="21">
        <v>0</v>
      </c>
      <c r="AO2249" s="21">
        <v>0</v>
      </c>
      <c r="AP2249" s="21">
        <v>1</v>
      </c>
      <c r="AQ2249" s="21">
        <v>3000</v>
      </c>
      <c r="AR2249" s="21">
        <v>0.5</v>
      </c>
      <c r="AS2249" s="21">
        <v>0</v>
      </c>
      <c r="AT2249" s="19">
        <v>0</v>
      </c>
      <c r="AU2249" s="21" t="s">
        <v>204</v>
      </c>
      <c r="AV2249" s="21"/>
      <c r="AW2249" s="35" t="s">
        <v>205</v>
      </c>
      <c r="AX2249" s="21" t="s">
        <v>551</v>
      </c>
      <c r="AY2249" s="32">
        <v>0</v>
      </c>
      <c r="AZ2249" s="32">
        <v>0</v>
      </c>
      <c r="BA2249" s="30" t="s">
        <v>534</v>
      </c>
      <c r="BB2249" s="21" t="s">
        <v>597</v>
      </c>
      <c r="BC2249" s="31">
        <v>0</v>
      </c>
      <c r="BD2249" s="31">
        <v>0</v>
      </c>
      <c r="BE2249" s="33" t="s">
        <v>598</v>
      </c>
      <c r="BF2249" s="33" t="s">
        <v>599</v>
      </c>
      <c r="BG2249" s="21">
        <v>0</v>
      </c>
      <c r="BH2249" s="21">
        <v>0</v>
      </c>
      <c r="BI2249" s="21">
        <v>0</v>
      </c>
      <c r="BJ2249" s="21">
        <v>0</v>
      </c>
      <c r="BK2249" s="21">
        <v>0</v>
      </c>
      <c r="BL2249" s="21">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20.100000000000001" customHeight="1">
      <c r="C2250" s="32">
        <v>90010901</v>
      </c>
      <c r="D2250" s="270" t="s">
        <v>5159</v>
      </c>
      <c r="E2250" s="270" t="s">
        <v>5160</v>
      </c>
      <c r="F2250" s="21">
        <v>1</v>
      </c>
      <c r="G2250" s="21">
        <v>62021401</v>
      </c>
      <c r="H2250" s="32">
        <f>C2251</f>
        <v>90010902</v>
      </c>
      <c r="I2250" s="31">
        <v>0</v>
      </c>
      <c r="J2250" s="21">
        <v>27</v>
      </c>
      <c r="K2250" s="21">
        <v>2</v>
      </c>
      <c r="L2250" s="21">
        <v>0</v>
      </c>
      <c r="M2250" s="32">
        <v>0</v>
      </c>
      <c r="N2250" s="32">
        <v>0</v>
      </c>
      <c r="O2250" s="32">
        <v>2</v>
      </c>
      <c r="P2250" s="32">
        <v>2</v>
      </c>
      <c r="Q2250" s="32">
        <v>0.95</v>
      </c>
      <c r="R2250" s="32">
        <v>0</v>
      </c>
      <c r="S2250" s="19">
        <v>0</v>
      </c>
      <c r="T2250" s="31">
        <v>0</v>
      </c>
      <c r="U2250" s="21">
        <v>1</v>
      </c>
      <c r="V2250" s="32">
        <v>2</v>
      </c>
      <c r="W2250" s="32">
        <v>0</v>
      </c>
      <c r="X2250" s="32">
        <v>1.2</v>
      </c>
      <c r="Y2250" s="19">
        <v>0</v>
      </c>
      <c r="Z2250" s="32">
        <v>500</v>
      </c>
      <c r="AA2250" s="32">
        <v>0</v>
      </c>
      <c r="AB2250" s="32">
        <v>0</v>
      </c>
      <c r="AC2250" s="32">
        <v>0</v>
      </c>
      <c r="AD2250" s="32">
        <v>0</v>
      </c>
      <c r="AE2250" s="32">
        <v>0</v>
      </c>
      <c r="AF2250" s="32">
        <v>6</v>
      </c>
      <c r="AG2250" s="32">
        <v>1</v>
      </c>
      <c r="AH2250" s="32">
        <v>3</v>
      </c>
      <c r="AI2250" s="19">
        <v>2</v>
      </c>
      <c r="AJ2250" s="19">
        <v>1</v>
      </c>
      <c r="AK2250" s="19">
        <v>0</v>
      </c>
      <c r="AL2250" s="19">
        <v>7</v>
      </c>
      <c r="AM2250" s="32">
        <v>0</v>
      </c>
      <c r="AN2250" s="32">
        <v>0</v>
      </c>
      <c r="AO2250" s="32">
        <v>6</v>
      </c>
      <c r="AP2250" s="32">
        <v>0.25</v>
      </c>
      <c r="AQ2250" s="32">
        <v>6000</v>
      </c>
      <c r="AR2250" s="32">
        <v>0</v>
      </c>
      <c r="AS2250" s="32">
        <v>0</v>
      </c>
      <c r="AT2250" s="19">
        <v>0</v>
      </c>
      <c r="AU2250" s="32">
        <v>92014001</v>
      </c>
      <c r="AV2250" s="32"/>
      <c r="AW2250" s="35" t="s">
        <v>375</v>
      </c>
      <c r="AX2250" s="32" t="s">
        <v>376</v>
      </c>
      <c r="AY2250" s="32">
        <v>10002001</v>
      </c>
      <c r="AZ2250" s="32">
        <v>21101040</v>
      </c>
      <c r="BA2250" s="35" t="s">
        <v>321</v>
      </c>
      <c r="BB2250" s="35" t="s">
        <v>1864</v>
      </c>
      <c r="BC2250" s="31">
        <v>0</v>
      </c>
      <c r="BD2250" s="31">
        <v>0</v>
      </c>
      <c r="BE2250" s="185" t="str">
        <f t="shared" ref="BE2250" si="154">"对目标区域持续造成伤害,在此范围内的敌方目标每秒造成2次"&amp;X2250*100&amp;"%攻击伤害+"&amp;Z2250&amp;"点固定伤害,目标移动速度降低75%,持续6秒,当在施法过程中进行移动会中断此技能施放"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50" s="185" t="s">
        <v>5161</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21">
        <v>90010902</v>
      </c>
      <c r="D2251" s="270" t="s">
        <v>5162</v>
      </c>
      <c r="E2251" s="270" t="s">
        <v>5163</v>
      </c>
      <c r="F2251" s="21">
        <v>1</v>
      </c>
      <c r="G2251" s="32">
        <v>62021301</v>
      </c>
      <c r="H2251" s="21">
        <v>62021203</v>
      </c>
      <c r="I2251" s="31">
        <v>0</v>
      </c>
      <c r="J2251" s="21">
        <v>32</v>
      </c>
      <c r="K2251" s="21">
        <v>2</v>
      </c>
      <c r="L2251" s="21">
        <v>0</v>
      </c>
      <c r="M2251" s="32">
        <v>0</v>
      </c>
      <c r="N2251" s="32">
        <v>0</v>
      </c>
      <c r="O2251" s="32">
        <v>2</v>
      </c>
      <c r="P2251" s="32">
        <v>2</v>
      </c>
      <c r="Q2251" s="32">
        <v>0.95</v>
      </c>
      <c r="R2251" s="32">
        <v>0</v>
      </c>
      <c r="S2251" s="19">
        <v>0</v>
      </c>
      <c r="T2251" s="31">
        <v>0</v>
      </c>
      <c r="U2251" s="21">
        <v>1</v>
      </c>
      <c r="V2251" s="32">
        <v>2</v>
      </c>
      <c r="W2251" s="32">
        <v>0</v>
      </c>
      <c r="X2251" s="32">
        <v>2.5</v>
      </c>
      <c r="Y2251" s="19">
        <v>0</v>
      </c>
      <c r="Z2251" s="32">
        <v>1500</v>
      </c>
      <c r="AA2251" s="32">
        <v>0</v>
      </c>
      <c r="AB2251" s="32">
        <v>0</v>
      </c>
      <c r="AC2251" s="32">
        <v>0</v>
      </c>
      <c r="AD2251" s="32">
        <v>0</v>
      </c>
      <c r="AE2251" s="32">
        <v>0</v>
      </c>
      <c r="AF2251" s="32">
        <v>12</v>
      </c>
      <c r="AG2251" s="32">
        <v>1</v>
      </c>
      <c r="AH2251" s="32">
        <v>3</v>
      </c>
      <c r="AI2251" s="19">
        <v>2</v>
      </c>
      <c r="AJ2251" s="19">
        <v>2</v>
      </c>
      <c r="AK2251" s="19">
        <v>0</v>
      </c>
      <c r="AL2251" s="19">
        <v>4</v>
      </c>
      <c r="AM2251" s="32">
        <v>0</v>
      </c>
      <c r="AN2251" s="32">
        <v>3</v>
      </c>
      <c r="AO2251" s="32">
        <v>0</v>
      </c>
      <c r="AP2251" s="32">
        <v>0.25</v>
      </c>
      <c r="AQ2251" s="32">
        <v>2000</v>
      </c>
      <c r="AR2251" s="32">
        <v>0</v>
      </c>
      <c r="AS2251" s="32">
        <v>10</v>
      </c>
      <c r="AT2251" s="19">
        <v>0</v>
      </c>
      <c r="AU2251" s="32">
        <v>92002001</v>
      </c>
      <c r="AV2251" s="32"/>
      <c r="AW2251" s="35" t="s">
        <v>205</v>
      </c>
      <c r="AX2251" s="32" t="s">
        <v>551</v>
      </c>
      <c r="AY2251" s="32">
        <v>10003002</v>
      </c>
      <c r="AZ2251" s="32">
        <v>21101030</v>
      </c>
      <c r="BA2251" s="35" t="s">
        <v>592</v>
      </c>
      <c r="BB2251" s="35">
        <v>0</v>
      </c>
      <c r="BC2251" s="31">
        <v>0</v>
      </c>
      <c r="BD2251" s="31">
        <v>0</v>
      </c>
      <c r="BE2251" s="185" t="str">
        <f t="shared" ref="BE2251" si="155">"立即对指定前方区域释放冲击波,冲击波对触碰的怪物造成"&amp;X2251*100&amp;"%攻击伤害+"&amp;Z2251&amp;"点固定伤害"</f>
        <v>立即对指定前方区域释放冲击波,冲击波对触碰的怪物造成250%攻击伤害+1500点固定伤害</v>
      </c>
      <c r="BF2251" s="185" t="s">
        <v>1891</v>
      </c>
      <c r="BG2251" s="32">
        <v>0</v>
      </c>
      <c r="BH2251" s="21">
        <v>0</v>
      </c>
      <c r="BI2251" s="32">
        <v>0</v>
      </c>
      <c r="BJ2251" s="32">
        <v>0</v>
      </c>
      <c r="BK2251" s="32">
        <v>0</v>
      </c>
      <c r="BL2251" s="32">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32">
        <v>90010903</v>
      </c>
      <c r="D2252" s="270" t="s">
        <v>5164</v>
      </c>
      <c r="E2252" s="270" t="s">
        <v>5165</v>
      </c>
      <c r="F2252" s="21">
        <v>1</v>
      </c>
      <c r="G2252" s="32">
        <v>62021301</v>
      </c>
      <c r="H2252" s="21">
        <v>62021203</v>
      </c>
      <c r="I2252" s="31">
        <v>0</v>
      </c>
      <c r="J2252" s="21">
        <v>32</v>
      </c>
      <c r="K2252" s="21">
        <v>2</v>
      </c>
      <c r="L2252" s="21">
        <v>0</v>
      </c>
      <c r="M2252" s="32">
        <v>0</v>
      </c>
      <c r="N2252" s="32">
        <v>0</v>
      </c>
      <c r="O2252" s="32">
        <v>2</v>
      </c>
      <c r="P2252" s="32">
        <v>2</v>
      </c>
      <c r="Q2252" s="32">
        <v>0.95</v>
      </c>
      <c r="R2252" s="32">
        <v>0</v>
      </c>
      <c r="S2252" s="19">
        <v>0</v>
      </c>
      <c r="T2252" s="31">
        <v>0</v>
      </c>
      <c r="U2252" s="21">
        <v>1</v>
      </c>
      <c r="V2252" s="32">
        <v>2</v>
      </c>
      <c r="W2252" s="32">
        <v>0</v>
      </c>
      <c r="X2252" s="32">
        <v>2.5</v>
      </c>
      <c r="Y2252" s="19">
        <v>0</v>
      </c>
      <c r="Z2252" s="32">
        <v>1500</v>
      </c>
      <c r="AA2252" s="32">
        <v>0</v>
      </c>
      <c r="AB2252" s="32">
        <v>0</v>
      </c>
      <c r="AC2252" s="32">
        <v>0</v>
      </c>
      <c r="AD2252" s="32">
        <v>0</v>
      </c>
      <c r="AE2252" s="32">
        <v>0</v>
      </c>
      <c r="AF2252" s="32">
        <v>12</v>
      </c>
      <c r="AG2252" s="32">
        <v>1</v>
      </c>
      <c r="AH2252" s="32">
        <v>3</v>
      </c>
      <c r="AI2252" s="19">
        <v>2</v>
      </c>
      <c r="AJ2252" s="19">
        <v>2</v>
      </c>
      <c r="AK2252" s="19">
        <v>0</v>
      </c>
      <c r="AL2252" s="19">
        <v>4</v>
      </c>
      <c r="AM2252" s="32">
        <v>0</v>
      </c>
      <c r="AN2252" s="32">
        <v>3</v>
      </c>
      <c r="AO2252" s="32">
        <v>0</v>
      </c>
      <c r="AP2252" s="32">
        <v>0.25</v>
      </c>
      <c r="AQ2252" s="32">
        <v>2000</v>
      </c>
      <c r="AR2252" s="32">
        <v>0</v>
      </c>
      <c r="AS2252" s="32">
        <v>10</v>
      </c>
      <c r="AT2252" s="19">
        <v>0</v>
      </c>
      <c r="AU2252" s="32">
        <v>92002001</v>
      </c>
      <c r="AV2252" s="32"/>
      <c r="AW2252" s="35" t="s">
        <v>205</v>
      </c>
      <c r="AX2252" s="32" t="s">
        <v>551</v>
      </c>
      <c r="AY2252" s="32">
        <v>10003002</v>
      </c>
      <c r="AZ2252" s="32">
        <v>21101030</v>
      </c>
      <c r="BA2252" s="35" t="s">
        <v>592</v>
      </c>
      <c r="BB2252" s="35">
        <v>0</v>
      </c>
      <c r="BC2252" s="31">
        <v>0</v>
      </c>
      <c r="BD2252" s="31">
        <v>0</v>
      </c>
      <c r="BE2252" s="185" t="str">
        <f t="shared" ref="BE2252" si="156">"立即对指定前方区域释放冲击波,冲击波对触碰的怪物造成"&amp;X2252*100&amp;"%攻击伤害+"&amp;Z2252&amp;"点固定伤害"</f>
        <v>立即对指定前方区域释放冲击波,冲击波对触碰的怪物造成250%攻击伤害+1500点固定伤害</v>
      </c>
      <c r="BF2252" s="185" t="s">
        <v>1891</v>
      </c>
      <c r="BG2252" s="32">
        <v>0</v>
      </c>
      <c r="BH2252" s="21">
        <v>0</v>
      </c>
      <c r="BI2252" s="32">
        <v>0</v>
      </c>
      <c r="BJ2252" s="32">
        <v>0</v>
      </c>
      <c r="BK2252" s="32">
        <v>0</v>
      </c>
      <c r="BL2252" s="32">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19.5" customHeight="1">
      <c r="C2253" s="21">
        <v>90010904</v>
      </c>
      <c r="D2253" s="35" t="s">
        <v>5166</v>
      </c>
      <c r="E2253" s="35" t="s">
        <v>5167</v>
      </c>
      <c r="F2253" s="32">
        <v>1</v>
      </c>
      <c r="G2253" s="32">
        <v>60010300</v>
      </c>
      <c r="H2253" s="32">
        <v>0</v>
      </c>
      <c r="I2253" s="31">
        <v>0</v>
      </c>
      <c r="J2253" s="32">
        <v>1</v>
      </c>
      <c r="K2253" s="32">
        <v>0</v>
      </c>
      <c r="L2253" s="32">
        <v>0</v>
      </c>
      <c r="M2253" s="32">
        <v>0</v>
      </c>
      <c r="N2253" s="32">
        <v>0</v>
      </c>
      <c r="O2253" s="21">
        <v>1</v>
      </c>
      <c r="P2253" s="32">
        <v>0</v>
      </c>
      <c r="Q2253" s="32">
        <v>0</v>
      </c>
      <c r="R2253" s="32">
        <v>0</v>
      </c>
      <c r="S2253" s="19">
        <v>0</v>
      </c>
      <c r="T2253" s="31">
        <v>0</v>
      </c>
      <c r="U2253" s="21">
        <v>1</v>
      </c>
      <c r="V2253" s="32">
        <v>2</v>
      </c>
      <c r="W2253" s="32">
        <v>0</v>
      </c>
      <c r="X2253" s="32">
        <v>3</v>
      </c>
      <c r="Y2253" s="19">
        <v>0</v>
      </c>
      <c r="Z2253" s="32">
        <v>0</v>
      </c>
      <c r="AA2253" s="32">
        <v>0</v>
      </c>
      <c r="AB2253" s="32">
        <v>0</v>
      </c>
      <c r="AC2253" s="32">
        <v>0</v>
      </c>
      <c r="AD2253" s="32">
        <v>0</v>
      </c>
      <c r="AE2253" s="32">
        <v>0</v>
      </c>
      <c r="AF2253" s="32">
        <v>9</v>
      </c>
      <c r="AG2253" s="32">
        <v>1</v>
      </c>
      <c r="AH2253" s="32">
        <v>2</v>
      </c>
      <c r="AI2253" s="19">
        <v>2</v>
      </c>
      <c r="AJ2253" s="19">
        <v>2</v>
      </c>
      <c r="AK2253" s="19">
        <v>0</v>
      </c>
      <c r="AL2253" s="19">
        <v>3</v>
      </c>
      <c r="AM2253" s="32">
        <v>0</v>
      </c>
      <c r="AN2253" s="32">
        <v>0</v>
      </c>
      <c r="AO2253" s="32">
        <v>0</v>
      </c>
      <c r="AP2253" s="32">
        <v>0.5</v>
      </c>
      <c r="AQ2253" s="32">
        <v>2000</v>
      </c>
      <c r="AR2253" s="32">
        <v>0</v>
      </c>
      <c r="AS2253" s="32">
        <v>20</v>
      </c>
      <c r="AT2253" s="19">
        <v>0</v>
      </c>
      <c r="AU2253" s="32" t="s">
        <v>204</v>
      </c>
      <c r="AV2253" s="32"/>
      <c r="AW2253" s="35" t="s">
        <v>205</v>
      </c>
      <c r="AX2253" s="32" t="s">
        <v>551</v>
      </c>
      <c r="AY2253" s="32">
        <v>10003002</v>
      </c>
      <c r="AZ2253" s="32">
        <v>70106005</v>
      </c>
      <c r="BA2253" s="35" t="s">
        <v>2000</v>
      </c>
      <c r="BB2253" s="35">
        <v>0</v>
      </c>
      <c r="BC2253" s="31">
        <v>0</v>
      </c>
      <c r="BD2253" s="31">
        <v>0</v>
      </c>
      <c r="BE2253" s="60" t="s">
        <v>5168</v>
      </c>
      <c r="BF2253" s="60" t="s">
        <v>5169</v>
      </c>
      <c r="BG2253" s="32">
        <v>0</v>
      </c>
      <c r="BH2253" s="21">
        <v>0</v>
      </c>
      <c r="BI2253" s="32">
        <v>0</v>
      </c>
      <c r="BJ2253" s="32">
        <v>0</v>
      </c>
      <c r="BK2253" s="32">
        <v>0</v>
      </c>
      <c r="BL2253" s="32">
        <v>0</v>
      </c>
      <c r="BM2253" s="25">
        <v>0</v>
      </c>
      <c r="BN2253" s="19">
        <v>0</v>
      </c>
      <c r="BO2253" s="19">
        <v>0</v>
      </c>
      <c r="BP2253" s="19">
        <v>0</v>
      </c>
      <c r="BQ2253" s="19">
        <v>0</v>
      </c>
      <c r="BR2253" s="19">
        <v>0</v>
      </c>
      <c r="BS2253" s="19">
        <v>0</v>
      </c>
      <c r="BT2253" s="19">
        <v>0</v>
      </c>
      <c r="BU2253" s="23">
        <v>0</v>
      </c>
      <c r="BV2253" s="23"/>
      <c r="BW2253" s="23"/>
      <c r="BX2253" s="23"/>
      <c r="BY2253" s="23"/>
      <c r="BZ2253" s="23"/>
    </row>
    <row r="2254" spans="3:78" ht="19.5" customHeight="1">
      <c r="C2254" s="32">
        <v>90010905</v>
      </c>
      <c r="D2254" s="35" t="s">
        <v>5170</v>
      </c>
      <c r="E2254" s="35" t="s">
        <v>5171</v>
      </c>
      <c r="F2254" s="32">
        <v>1</v>
      </c>
      <c r="G2254" s="32">
        <v>60010300</v>
      </c>
      <c r="H2254" s="32">
        <v>0</v>
      </c>
      <c r="I2254" s="31">
        <v>0</v>
      </c>
      <c r="J2254" s="32">
        <v>1</v>
      </c>
      <c r="K2254" s="32">
        <v>0</v>
      </c>
      <c r="L2254" s="32">
        <v>0</v>
      </c>
      <c r="M2254" s="32">
        <v>0</v>
      </c>
      <c r="N2254" s="32">
        <v>0</v>
      </c>
      <c r="O2254" s="21">
        <v>1</v>
      </c>
      <c r="P2254" s="32">
        <v>0</v>
      </c>
      <c r="Q2254" s="32">
        <v>0</v>
      </c>
      <c r="R2254" s="32">
        <v>0</v>
      </c>
      <c r="S2254" s="19">
        <v>0</v>
      </c>
      <c r="T2254" s="31">
        <v>0</v>
      </c>
      <c r="U2254" s="21">
        <v>1</v>
      </c>
      <c r="V2254" s="32">
        <v>2</v>
      </c>
      <c r="W2254" s="32">
        <v>0</v>
      </c>
      <c r="X2254" s="32">
        <v>3</v>
      </c>
      <c r="Y2254" s="19">
        <v>0</v>
      </c>
      <c r="Z2254" s="32">
        <v>0</v>
      </c>
      <c r="AA2254" s="32">
        <v>0</v>
      </c>
      <c r="AB2254" s="32">
        <v>0</v>
      </c>
      <c r="AC2254" s="32">
        <v>0</v>
      </c>
      <c r="AD2254" s="32">
        <v>0</v>
      </c>
      <c r="AE2254" s="32">
        <v>0</v>
      </c>
      <c r="AF2254" s="32">
        <v>9</v>
      </c>
      <c r="AG2254" s="32">
        <v>1</v>
      </c>
      <c r="AH2254" s="32">
        <v>2</v>
      </c>
      <c r="AI2254" s="19">
        <v>2</v>
      </c>
      <c r="AJ2254" s="19">
        <v>1</v>
      </c>
      <c r="AK2254" s="19">
        <v>0</v>
      </c>
      <c r="AL2254" s="19">
        <v>5</v>
      </c>
      <c r="AM2254" s="32">
        <v>0</v>
      </c>
      <c r="AN2254" s="32">
        <v>0</v>
      </c>
      <c r="AO2254" s="32">
        <v>0</v>
      </c>
      <c r="AP2254" s="32">
        <v>0.5</v>
      </c>
      <c r="AQ2254" s="32">
        <v>2000</v>
      </c>
      <c r="AR2254" s="32">
        <v>0</v>
      </c>
      <c r="AS2254" s="32">
        <v>20</v>
      </c>
      <c r="AT2254" s="19">
        <v>0</v>
      </c>
      <c r="AU2254" s="32" t="s">
        <v>204</v>
      </c>
      <c r="AV2254" s="32"/>
      <c r="AW2254" s="35" t="s">
        <v>205</v>
      </c>
      <c r="AX2254" s="32" t="s">
        <v>551</v>
      </c>
      <c r="AY2254" s="32">
        <v>0</v>
      </c>
      <c r="AZ2254" s="32">
        <v>70106005</v>
      </c>
      <c r="BA2254" s="35" t="s">
        <v>2135</v>
      </c>
      <c r="BB2254" s="358" t="s">
        <v>5172</v>
      </c>
      <c r="BC2254" s="31">
        <v>0</v>
      </c>
      <c r="BD2254" s="31">
        <v>0</v>
      </c>
      <c r="BE2254" s="60" t="s">
        <v>5173</v>
      </c>
      <c r="BF2254" s="60" t="s">
        <v>5174</v>
      </c>
      <c r="BG2254" s="32">
        <v>0</v>
      </c>
      <c r="BH2254" s="21">
        <v>0</v>
      </c>
      <c r="BI2254" s="32">
        <v>0</v>
      </c>
      <c r="BJ2254" s="32">
        <v>0</v>
      </c>
      <c r="BK2254" s="32">
        <v>0</v>
      </c>
      <c r="BL2254" s="32">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90010906</v>
      </c>
      <c r="D2255" s="30" t="s">
        <v>5175</v>
      </c>
      <c r="E2255" s="30" t="s">
        <v>5176</v>
      </c>
      <c r="F2255" s="21">
        <v>1</v>
      </c>
      <c r="G2255" s="21">
        <v>62011201</v>
      </c>
      <c r="H2255" s="21">
        <v>0</v>
      </c>
      <c r="I2255" s="31">
        <v>0</v>
      </c>
      <c r="J2255" s="21">
        <v>5</v>
      </c>
      <c r="K2255" s="21">
        <v>3</v>
      </c>
      <c r="L2255" s="21">
        <v>0</v>
      </c>
      <c r="M2255" s="21">
        <v>0</v>
      </c>
      <c r="N2255" s="21">
        <v>0</v>
      </c>
      <c r="O2255" s="21">
        <v>1</v>
      </c>
      <c r="P2255" s="21">
        <v>0</v>
      </c>
      <c r="Q2255" s="21">
        <v>0</v>
      </c>
      <c r="R2255" s="21">
        <v>0</v>
      </c>
      <c r="S2255" s="19">
        <v>0</v>
      </c>
      <c r="T2255" s="21">
        <v>0</v>
      </c>
      <c r="U2255" s="21">
        <v>1</v>
      </c>
      <c r="V2255" s="21">
        <v>2</v>
      </c>
      <c r="W2255" s="21">
        <v>0</v>
      </c>
      <c r="X2255" s="21">
        <v>1.5</v>
      </c>
      <c r="Y2255" s="19">
        <v>0</v>
      </c>
      <c r="Z2255" s="21">
        <v>10</v>
      </c>
      <c r="AA2255" s="21">
        <v>1</v>
      </c>
      <c r="AB2255" s="21">
        <v>0</v>
      </c>
      <c r="AC2255" s="21">
        <v>0</v>
      </c>
      <c r="AD2255" s="21">
        <v>0</v>
      </c>
      <c r="AE2255" s="21">
        <v>0</v>
      </c>
      <c r="AF2255" s="21">
        <v>5</v>
      </c>
      <c r="AG2255" s="21">
        <v>1</v>
      </c>
      <c r="AH2255" s="21">
        <v>2</v>
      </c>
      <c r="AI2255" s="19">
        <v>7</v>
      </c>
      <c r="AJ2255" s="19">
        <v>0</v>
      </c>
      <c r="AK2255" s="19">
        <v>0</v>
      </c>
      <c r="AL2255" s="19">
        <v>7</v>
      </c>
      <c r="AM2255" s="21">
        <v>0</v>
      </c>
      <c r="AN2255" s="21">
        <v>0</v>
      </c>
      <c r="AO2255" s="21">
        <v>0</v>
      </c>
      <c r="AP2255" s="21">
        <v>0.5</v>
      </c>
      <c r="AQ2255" s="21">
        <v>3000</v>
      </c>
      <c r="AR2255" s="21">
        <v>0</v>
      </c>
      <c r="AS2255" s="21">
        <v>0</v>
      </c>
      <c r="AT2255" s="19">
        <v>0</v>
      </c>
      <c r="AU2255" s="21" t="s">
        <v>204</v>
      </c>
      <c r="AV2255" s="21"/>
      <c r="AW2255" s="30" t="s">
        <v>623</v>
      </c>
      <c r="AX2255" s="21" t="s">
        <v>540</v>
      </c>
      <c r="AY2255" s="32">
        <v>10000007</v>
      </c>
      <c r="AZ2255" s="32">
        <v>21000020</v>
      </c>
      <c r="BA2255" s="30" t="s">
        <v>5021</v>
      </c>
      <c r="BB2255" s="21">
        <v>0</v>
      </c>
      <c r="BC2255" s="31">
        <v>0</v>
      </c>
      <c r="BD2255" s="31">
        <v>0</v>
      </c>
      <c r="BE2255" s="185" t="s">
        <v>5128</v>
      </c>
      <c r="BF2255" s="185" t="s">
        <v>5129</v>
      </c>
      <c r="BG2255" s="21">
        <v>0</v>
      </c>
      <c r="BH2255" s="21">
        <v>0</v>
      </c>
      <c r="BI2255" s="21">
        <v>0</v>
      </c>
      <c r="BJ2255" s="21">
        <v>0</v>
      </c>
      <c r="BK2255" s="21">
        <v>0</v>
      </c>
      <c r="BL2255" s="21">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19.5" customHeight="1">
      <c r="C2256" s="21">
        <v>90010907</v>
      </c>
      <c r="D2256" s="30" t="s">
        <v>5177</v>
      </c>
      <c r="E2256" s="30" t="s">
        <v>5178</v>
      </c>
      <c r="F2256" s="21">
        <v>1</v>
      </c>
      <c r="G2256" s="21">
        <v>62011201</v>
      </c>
      <c r="H2256" s="21">
        <v>0</v>
      </c>
      <c r="I2256" s="31">
        <v>0</v>
      </c>
      <c r="J2256" s="21">
        <v>5</v>
      </c>
      <c r="K2256" s="21">
        <v>3</v>
      </c>
      <c r="L2256" s="21">
        <v>0</v>
      </c>
      <c r="M2256" s="21">
        <v>0</v>
      </c>
      <c r="N2256" s="21">
        <v>0</v>
      </c>
      <c r="O2256" s="21">
        <v>1</v>
      </c>
      <c r="P2256" s="21">
        <v>0</v>
      </c>
      <c r="Q2256" s="21">
        <v>0</v>
      </c>
      <c r="R2256" s="21">
        <v>0</v>
      </c>
      <c r="S2256" s="19">
        <v>0</v>
      </c>
      <c r="T2256" s="21">
        <v>0</v>
      </c>
      <c r="U2256" s="21">
        <v>1</v>
      </c>
      <c r="V2256" s="21">
        <v>2</v>
      </c>
      <c r="W2256" s="21">
        <v>0</v>
      </c>
      <c r="X2256" s="21">
        <v>1.5</v>
      </c>
      <c r="Y2256" s="19">
        <v>0</v>
      </c>
      <c r="Z2256" s="21">
        <v>10</v>
      </c>
      <c r="AA2256" s="21">
        <v>1</v>
      </c>
      <c r="AB2256" s="21">
        <v>0</v>
      </c>
      <c r="AC2256" s="21">
        <v>0</v>
      </c>
      <c r="AD2256" s="21">
        <v>0</v>
      </c>
      <c r="AE2256" s="21">
        <v>0</v>
      </c>
      <c r="AF2256" s="21">
        <v>5</v>
      </c>
      <c r="AG2256" s="21">
        <v>1</v>
      </c>
      <c r="AH2256" s="21">
        <v>3</v>
      </c>
      <c r="AI2256" s="19">
        <v>2</v>
      </c>
      <c r="AJ2256" s="19">
        <v>1</v>
      </c>
      <c r="AK2256" s="19">
        <v>0</v>
      </c>
      <c r="AL2256" s="19">
        <v>7</v>
      </c>
      <c r="AM2256" s="21">
        <v>0</v>
      </c>
      <c r="AN2256" s="21">
        <v>0</v>
      </c>
      <c r="AO2256" s="21">
        <v>0</v>
      </c>
      <c r="AP2256" s="21">
        <v>0.5</v>
      </c>
      <c r="AQ2256" s="21">
        <v>3000</v>
      </c>
      <c r="AR2256" s="21">
        <v>0</v>
      </c>
      <c r="AS2256" s="21">
        <v>0</v>
      </c>
      <c r="AT2256" s="19">
        <v>0</v>
      </c>
      <c r="AU2256" s="21" t="s">
        <v>204</v>
      </c>
      <c r="AV2256" s="21"/>
      <c r="AW2256" s="30" t="s">
        <v>623</v>
      </c>
      <c r="AX2256" s="21" t="s">
        <v>540</v>
      </c>
      <c r="AY2256" s="32">
        <v>10000007</v>
      </c>
      <c r="AZ2256" s="32">
        <v>21000020</v>
      </c>
      <c r="BA2256" s="30" t="s">
        <v>1048</v>
      </c>
      <c r="BB2256" s="21">
        <v>0</v>
      </c>
      <c r="BC2256" s="31">
        <v>0</v>
      </c>
      <c r="BD2256" s="31">
        <v>0</v>
      </c>
      <c r="BE2256" s="185" t="s">
        <v>5128</v>
      </c>
      <c r="BF2256" s="185" t="s">
        <v>5129</v>
      </c>
      <c r="BG2256" s="21">
        <v>0</v>
      </c>
      <c r="BH2256" s="21">
        <v>0</v>
      </c>
      <c r="BI2256" s="21">
        <v>0</v>
      </c>
      <c r="BJ2256" s="21">
        <v>0</v>
      </c>
      <c r="BK2256" s="21">
        <v>0</v>
      </c>
      <c r="BL2256" s="21">
        <v>0</v>
      </c>
      <c r="BM2256" s="25">
        <v>0</v>
      </c>
      <c r="BN2256" s="19">
        <v>0</v>
      </c>
      <c r="BO2256" s="19">
        <v>0</v>
      </c>
      <c r="BP2256" s="19">
        <v>0</v>
      </c>
      <c r="BQ2256" s="19">
        <v>0</v>
      </c>
      <c r="BR2256" s="19">
        <v>0</v>
      </c>
      <c r="BS2256" s="19">
        <v>0</v>
      </c>
      <c r="BT2256" s="19">
        <v>0</v>
      </c>
      <c r="BU2256" s="23">
        <v>0</v>
      </c>
      <c r="BV2256" s="23"/>
      <c r="BW2256" s="23"/>
      <c r="BX2256" s="23"/>
      <c r="BY2256" s="23"/>
      <c r="BZ2256" s="23"/>
    </row>
    <row r="2257" spans="3:78" ht="20.100000000000001" customHeight="1">
      <c r="C2257" s="72">
        <v>90010908</v>
      </c>
      <c r="D2257" s="88" t="s">
        <v>5179</v>
      </c>
      <c r="E2257" s="88" t="s">
        <v>5180</v>
      </c>
      <c r="F2257" s="74">
        <v>1</v>
      </c>
      <c r="G2257" s="90">
        <v>0</v>
      </c>
      <c r="H2257" s="74">
        <v>0</v>
      </c>
      <c r="I2257" s="75">
        <v>0</v>
      </c>
      <c r="J2257" s="74">
        <v>1</v>
      </c>
      <c r="K2257" s="74">
        <v>0</v>
      </c>
      <c r="L2257" s="74">
        <v>0</v>
      </c>
      <c r="M2257" s="74">
        <v>0</v>
      </c>
      <c r="N2257" s="74">
        <v>0</v>
      </c>
      <c r="O2257" s="74">
        <v>1</v>
      </c>
      <c r="P2257" s="74">
        <v>0</v>
      </c>
      <c r="Q2257" s="74">
        <v>0</v>
      </c>
      <c r="R2257" s="74">
        <v>0</v>
      </c>
      <c r="S2257" s="73">
        <v>0</v>
      </c>
      <c r="T2257" s="75">
        <v>0</v>
      </c>
      <c r="U2257" s="72">
        <v>1</v>
      </c>
      <c r="V2257" s="74">
        <v>1</v>
      </c>
      <c r="W2257" s="74">
        <v>0</v>
      </c>
      <c r="X2257" s="74">
        <v>1.5</v>
      </c>
      <c r="Y2257" s="19">
        <v>0</v>
      </c>
      <c r="Z2257" s="74">
        <v>0</v>
      </c>
      <c r="AA2257" s="74">
        <v>0</v>
      </c>
      <c r="AB2257" s="74">
        <v>0</v>
      </c>
      <c r="AC2257" s="74">
        <v>0</v>
      </c>
      <c r="AD2257" s="74">
        <v>1</v>
      </c>
      <c r="AE2257" s="74">
        <v>0</v>
      </c>
      <c r="AF2257" s="74">
        <v>5</v>
      </c>
      <c r="AG2257" s="74">
        <v>1</v>
      </c>
      <c r="AH2257" s="74">
        <v>3</v>
      </c>
      <c r="AI2257" s="73">
        <v>2</v>
      </c>
      <c r="AJ2257" s="73">
        <v>1</v>
      </c>
      <c r="AK2257" s="73">
        <v>0</v>
      </c>
      <c r="AL2257" s="73">
        <v>6</v>
      </c>
      <c r="AM2257" s="74">
        <v>0</v>
      </c>
      <c r="AN2257" s="74">
        <v>0</v>
      </c>
      <c r="AO2257" s="74">
        <v>0</v>
      </c>
      <c r="AP2257" s="74">
        <v>0</v>
      </c>
      <c r="AQ2257" s="74">
        <v>5000</v>
      </c>
      <c r="AR2257" s="74">
        <v>0.2</v>
      </c>
      <c r="AS2257" s="74">
        <v>0</v>
      </c>
      <c r="AT2257" s="73">
        <v>0</v>
      </c>
      <c r="AU2257" s="74" t="s">
        <v>204</v>
      </c>
      <c r="AV2257" s="74"/>
      <c r="AW2257" s="88" t="s">
        <v>204</v>
      </c>
      <c r="AX2257" s="74" t="s">
        <v>1735</v>
      </c>
      <c r="AY2257" s="74">
        <v>10000006</v>
      </c>
      <c r="AZ2257" s="127">
        <v>60000004</v>
      </c>
      <c r="BA2257" s="88" t="s">
        <v>1736</v>
      </c>
      <c r="BB2257" s="88" t="s">
        <v>204</v>
      </c>
      <c r="BC2257" s="75">
        <v>0</v>
      </c>
      <c r="BD2257" s="75">
        <v>0</v>
      </c>
      <c r="BE2257" s="89"/>
      <c r="BF2257" s="89"/>
      <c r="BG2257" s="74">
        <v>0</v>
      </c>
      <c r="BH2257" s="72">
        <v>0</v>
      </c>
      <c r="BI2257" s="74">
        <v>0</v>
      </c>
      <c r="BJ2257" s="74">
        <v>0</v>
      </c>
      <c r="BK2257" s="74">
        <v>0</v>
      </c>
      <c r="BL2257" s="74">
        <v>0</v>
      </c>
      <c r="BM2257" s="90">
        <v>0</v>
      </c>
      <c r="BN2257" s="73">
        <v>1</v>
      </c>
      <c r="BO2257" s="73">
        <v>0</v>
      </c>
      <c r="BP2257" s="73">
        <v>0</v>
      </c>
      <c r="BQ2257" s="73">
        <v>0</v>
      </c>
      <c r="BR2257" s="73">
        <v>0</v>
      </c>
      <c r="BS2257" s="73">
        <v>0</v>
      </c>
      <c r="BT2257" s="19">
        <v>0</v>
      </c>
      <c r="BU2257" s="23">
        <v>0</v>
      </c>
      <c r="BV2257" s="23"/>
      <c r="BW2257" s="23"/>
      <c r="BX2257" s="23"/>
      <c r="BY2257" s="23"/>
      <c r="BZ2257" s="23"/>
    </row>
    <row r="2258" spans="3:78" ht="20.100000000000001" customHeight="1">
      <c r="C2258" s="21">
        <v>90010909</v>
      </c>
      <c r="D2258" s="30" t="s">
        <v>5181</v>
      </c>
      <c r="E2258" s="30" t="s">
        <v>5182</v>
      </c>
      <c r="F2258" s="21">
        <v>0</v>
      </c>
      <c r="G2258" s="21">
        <v>61011301</v>
      </c>
      <c r="H2258" s="21">
        <v>0</v>
      </c>
      <c r="I2258" s="31">
        <v>0</v>
      </c>
      <c r="J2258" s="21">
        <v>10</v>
      </c>
      <c r="K2258" s="21">
        <v>3</v>
      </c>
      <c r="L2258" s="21">
        <v>0</v>
      </c>
      <c r="M2258" s="21">
        <v>0</v>
      </c>
      <c r="N2258" s="21">
        <v>0</v>
      </c>
      <c r="O2258" s="21">
        <v>2</v>
      </c>
      <c r="P2258" s="21">
        <v>1</v>
      </c>
      <c r="Q2258" s="21">
        <v>0.1</v>
      </c>
      <c r="R2258" s="21">
        <v>0</v>
      </c>
      <c r="S2258" s="19">
        <v>3</v>
      </c>
      <c r="T2258" s="21">
        <v>0</v>
      </c>
      <c r="U2258" s="21">
        <v>1</v>
      </c>
      <c r="V2258" s="21">
        <v>2</v>
      </c>
      <c r="W2258" s="21">
        <v>0</v>
      </c>
      <c r="X2258" s="21">
        <v>3</v>
      </c>
      <c r="Y2258" s="19">
        <v>0</v>
      </c>
      <c r="Z2258" s="21">
        <v>350</v>
      </c>
      <c r="AA2258" s="21">
        <v>1</v>
      </c>
      <c r="AB2258" s="21">
        <v>0</v>
      </c>
      <c r="AC2258" s="21">
        <v>0</v>
      </c>
      <c r="AD2258" s="21">
        <v>0</v>
      </c>
      <c r="AE2258" s="21">
        <v>0</v>
      </c>
      <c r="AF2258" s="21">
        <v>9</v>
      </c>
      <c r="AG2258" s="21">
        <v>1</v>
      </c>
      <c r="AH2258" s="21">
        <v>3</v>
      </c>
      <c r="AI2258" s="19">
        <v>2</v>
      </c>
      <c r="AJ2258" s="19">
        <v>1</v>
      </c>
      <c r="AK2258" s="19">
        <v>0</v>
      </c>
      <c r="AL2258" s="19">
        <v>6</v>
      </c>
      <c r="AM2258" s="21">
        <v>0</v>
      </c>
      <c r="AN2258" s="21">
        <v>0</v>
      </c>
      <c r="AO2258" s="21">
        <v>0</v>
      </c>
      <c r="AP2258" s="21">
        <v>1</v>
      </c>
      <c r="AQ2258" s="21">
        <v>3000</v>
      </c>
      <c r="AR2258" s="21">
        <v>4</v>
      </c>
      <c r="AS2258" s="21">
        <v>0</v>
      </c>
      <c r="AT2258" s="19">
        <v>0</v>
      </c>
      <c r="AU2258" s="21" t="s">
        <v>204</v>
      </c>
      <c r="AV2258" s="21"/>
      <c r="AW2258" s="30" t="s">
        <v>768</v>
      </c>
      <c r="AX2258" s="21" t="s">
        <v>221</v>
      </c>
      <c r="AY2258" s="32">
        <v>10000015</v>
      </c>
      <c r="AZ2258" s="32">
        <v>21000030</v>
      </c>
      <c r="BA2258" s="30" t="s">
        <v>777</v>
      </c>
      <c r="BB2258" s="21">
        <v>0</v>
      </c>
      <c r="BC2258" s="31">
        <v>0</v>
      </c>
      <c r="BD2258" s="31">
        <v>0</v>
      </c>
      <c r="BE2258" s="171" t="str">
        <f>"&lt;color=#D3FD3A&gt;冲锋击(剑类武器技能):\n&lt;/color&gt;"&amp;BE2282&amp;"\n\n&lt;color=#D3FD3A&gt;跳跃击(刀类武器技能):\n&lt;/color&gt;"&amp;BE2264</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8" s="171" t="s">
        <v>5183</v>
      </c>
      <c r="BG2258" s="21">
        <v>0</v>
      </c>
      <c r="BH2258" s="21">
        <v>0</v>
      </c>
      <c r="BI2258" s="21">
        <v>0</v>
      </c>
      <c r="BJ2258" s="21">
        <v>0</v>
      </c>
      <c r="BK2258" s="21">
        <v>0</v>
      </c>
      <c r="BL2258" s="21">
        <v>0</v>
      </c>
      <c r="BM2258" s="25">
        <v>0</v>
      </c>
      <c r="BN2258" s="19">
        <v>0</v>
      </c>
      <c r="BO2258" s="19">
        <v>0</v>
      </c>
      <c r="BP2258" s="19">
        <v>0</v>
      </c>
      <c r="BQ2258" s="19">
        <v>0</v>
      </c>
      <c r="BR2258" s="19">
        <v>0</v>
      </c>
      <c r="BS2258" s="19">
        <v>0</v>
      </c>
      <c r="BT2258" s="19">
        <v>0</v>
      </c>
      <c r="BU2258" s="23">
        <v>0</v>
      </c>
      <c r="BV2258" s="23"/>
      <c r="BW2258" s="23"/>
      <c r="BX2258" s="23"/>
      <c r="BY2258" s="23"/>
      <c r="BZ2258" s="23"/>
    </row>
    <row r="2259" spans="3:78" ht="19.5" customHeight="1">
      <c r="C2259" s="21">
        <v>90010910</v>
      </c>
      <c r="D2259" s="35" t="s">
        <v>5184</v>
      </c>
      <c r="E2259" s="35" t="s">
        <v>5185</v>
      </c>
      <c r="F2259" s="32">
        <v>1</v>
      </c>
      <c r="G2259" s="32">
        <v>60010300</v>
      </c>
      <c r="H2259" s="32">
        <v>0</v>
      </c>
      <c r="I2259" s="31">
        <v>0</v>
      </c>
      <c r="J2259" s="32">
        <v>1</v>
      </c>
      <c r="K2259" s="32">
        <v>0</v>
      </c>
      <c r="L2259" s="32">
        <v>0</v>
      </c>
      <c r="M2259" s="32">
        <v>0</v>
      </c>
      <c r="N2259" s="32">
        <v>0</v>
      </c>
      <c r="O2259" s="21">
        <v>1</v>
      </c>
      <c r="P2259" s="32">
        <v>0</v>
      </c>
      <c r="Q2259" s="32">
        <v>0</v>
      </c>
      <c r="R2259" s="32">
        <v>0</v>
      </c>
      <c r="S2259" s="19">
        <v>0</v>
      </c>
      <c r="T2259" s="31">
        <v>0</v>
      </c>
      <c r="U2259" s="21">
        <v>1</v>
      </c>
      <c r="V2259" s="32">
        <v>2</v>
      </c>
      <c r="W2259" s="32">
        <v>0</v>
      </c>
      <c r="X2259" s="32">
        <v>3</v>
      </c>
      <c r="Y2259" s="19">
        <v>0</v>
      </c>
      <c r="Z2259" s="32">
        <v>0</v>
      </c>
      <c r="AA2259" s="32">
        <v>0</v>
      </c>
      <c r="AB2259" s="32">
        <v>0</v>
      </c>
      <c r="AC2259" s="32">
        <v>0</v>
      </c>
      <c r="AD2259" s="32">
        <v>0</v>
      </c>
      <c r="AE2259" s="32">
        <v>0</v>
      </c>
      <c r="AF2259" s="32">
        <v>9</v>
      </c>
      <c r="AG2259" s="32">
        <v>1</v>
      </c>
      <c r="AH2259" s="32">
        <v>2</v>
      </c>
      <c r="AI2259" s="19">
        <v>2</v>
      </c>
      <c r="AJ2259" s="19">
        <v>1</v>
      </c>
      <c r="AK2259" s="19">
        <v>0</v>
      </c>
      <c r="AL2259" s="19">
        <v>5</v>
      </c>
      <c r="AM2259" s="32">
        <v>0</v>
      </c>
      <c r="AN2259" s="32">
        <v>0</v>
      </c>
      <c r="AO2259" s="32">
        <v>0</v>
      </c>
      <c r="AP2259" s="32">
        <v>0.5</v>
      </c>
      <c r="AQ2259" s="32">
        <v>2000</v>
      </c>
      <c r="AR2259" s="32">
        <v>0</v>
      </c>
      <c r="AS2259" s="32">
        <v>20</v>
      </c>
      <c r="AT2259" s="19">
        <v>0</v>
      </c>
      <c r="AU2259" s="32" t="s">
        <v>204</v>
      </c>
      <c r="AV2259" s="32"/>
      <c r="AW2259" s="35" t="s">
        <v>205</v>
      </c>
      <c r="AX2259" s="32" t="s">
        <v>551</v>
      </c>
      <c r="AY2259" s="32">
        <v>0</v>
      </c>
      <c r="AZ2259" s="32">
        <v>70106005</v>
      </c>
      <c r="BA2259" s="35" t="s">
        <v>2135</v>
      </c>
      <c r="BB2259" s="358" t="s">
        <v>2136</v>
      </c>
      <c r="BC2259" s="31">
        <v>0</v>
      </c>
      <c r="BD2259" s="31">
        <v>0</v>
      </c>
      <c r="BE2259" s="60" t="s">
        <v>5173</v>
      </c>
      <c r="BF2259" s="60" t="s">
        <v>5174</v>
      </c>
      <c r="BG2259" s="32">
        <v>0</v>
      </c>
      <c r="BH2259" s="336" t="s">
        <v>5186</v>
      </c>
      <c r="BI2259" s="32">
        <v>0</v>
      </c>
      <c r="BJ2259" s="32">
        <v>0</v>
      </c>
      <c r="BK2259" s="32">
        <v>0</v>
      </c>
      <c r="BL2259" s="32">
        <v>0</v>
      </c>
      <c r="BM2259" s="25">
        <v>0</v>
      </c>
      <c r="BN2259" s="19">
        <v>0</v>
      </c>
      <c r="BO2259" s="19">
        <v>0</v>
      </c>
      <c r="BP2259" s="19">
        <v>0</v>
      </c>
      <c r="BQ2259" s="19">
        <v>0</v>
      </c>
      <c r="BR2259" s="19">
        <v>0</v>
      </c>
      <c r="BS2259" s="19">
        <v>0</v>
      </c>
      <c r="BT2259" s="19">
        <v>0</v>
      </c>
      <c r="BU2259" s="23">
        <v>0</v>
      </c>
      <c r="BV2259" s="23"/>
      <c r="BW2259" s="23"/>
      <c r="BX2259" s="23"/>
      <c r="BY2259" s="23"/>
      <c r="BZ2259" s="23"/>
    </row>
    <row r="2260" spans="3:78" ht="20.100000000000001" customHeight="1">
      <c r="C2260" s="107">
        <v>90010911</v>
      </c>
      <c r="D2260" s="110" t="s">
        <v>5187</v>
      </c>
      <c r="E2260" s="110" t="s">
        <v>5188</v>
      </c>
      <c r="F2260" s="107">
        <v>1</v>
      </c>
      <c r="G2260" s="100">
        <v>60010100</v>
      </c>
      <c r="H2260" s="107">
        <v>0</v>
      </c>
      <c r="I2260" s="105">
        <v>0</v>
      </c>
      <c r="J2260" s="107">
        <v>1</v>
      </c>
      <c r="K2260" s="107">
        <v>0</v>
      </c>
      <c r="L2260" s="107">
        <v>0</v>
      </c>
      <c r="M2260" s="100">
        <v>0</v>
      </c>
      <c r="N2260" s="100">
        <v>0</v>
      </c>
      <c r="O2260" s="100">
        <v>2</v>
      </c>
      <c r="P2260" s="100">
        <v>10</v>
      </c>
      <c r="Q2260" s="100">
        <v>0.5</v>
      </c>
      <c r="R2260" s="100">
        <v>0</v>
      </c>
      <c r="S2260" s="99">
        <v>1</v>
      </c>
      <c r="T2260" s="100">
        <v>0</v>
      </c>
      <c r="U2260" s="100">
        <v>1</v>
      </c>
      <c r="V2260" s="100">
        <v>1</v>
      </c>
      <c r="W2260" s="100">
        <v>0</v>
      </c>
      <c r="X2260" s="100">
        <v>0</v>
      </c>
      <c r="Y2260" s="19">
        <v>0</v>
      </c>
      <c r="Z2260" s="100">
        <v>0</v>
      </c>
      <c r="AA2260" s="100">
        <v>0</v>
      </c>
      <c r="AB2260" s="100">
        <v>0</v>
      </c>
      <c r="AC2260" s="100">
        <v>0</v>
      </c>
      <c r="AD2260" s="100">
        <v>0</v>
      </c>
      <c r="AE2260" s="100">
        <v>1</v>
      </c>
      <c r="AF2260" s="100">
        <v>15</v>
      </c>
      <c r="AG2260" s="100">
        <v>1</v>
      </c>
      <c r="AH2260" s="100">
        <v>2</v>
      </c>
      <c r="AI2260" s="99">
        <v>1</v>
      </c>
      <c r="AJ2260" s="99">
        <v>0</v>
      </c>
      <c r="AK2260" s="99">
        <v>0</v>
      </c>
      <c r="AL2260" s="99">
        <v>0</v>
      </c>
      <c r="AM2260" s="100">
        <v>0</v>
      </c>
      <c r="AN2260" s="100">
        <v>0</v>
      </c>
      <c r="AO2260" s="100">
        <v>0</v>
      </c>
      <c r="AP2260" s="100">
        <v>0</v>
      </c>
      <c r="AQ2260" s="100">
        <v>2000</v>
      </c>
      <c r="AR2260" s="100">
        <v>0</v>
      </c>
      <c r="AS2260" s="100">
        <v>0</v>
      </c>
      <c r="AT2260" s="99">
        <v>90104051</v>
      </c>
      <c r="AU2260" s="118">
        <v>0</v>
      </c>
      <c r="AV2260" s="118"/>
      <c r="AW2260" s="104" t="s">
        <v>293</v>
      </c>
      <c r="AX2260" s="100">
        <v>0</v>
      </c>
      <c r="AY2260" s="107">
        <v>0</v>
      </c>
      <c r="AZ2260" s="107">
        <v>0</v>
      </c>
      <c r="BA2260" s="110" t="s">
        <v>534</v>
      </c>
      <c r="BB2260" s="100" t="s">
        <v>5189</v>
      </c>
      <c r="BC2260" s="105">
        <v>0</v>
      </c>
      <c r="BD2260" s="105">
        <v>0</v>
      </c>
      <c r="BE2260" s="111" t="s">
        <v>922</v>
      </c>
      <c r="BF2260" s="111" t="s">
        <v>923</v>
      </c>
      <c r="BG2260" s="100">
        <v>0</v>
      </c>
      <c r="BH2260" s="100">
        <v>0</v>
      </c>
      <c r="BI2260" s="100">
        <v>0</v>
      </c>
      <c r="BJ2260" s="100">
        <v>0</v>
      </c>
      <c r="BK2260" s="100">
        <v>0</v>
      </c>
      <c r="BL2260" s="100">
        <v>0</v>
      </c>
      <c r="BM2260" s="97">
        <v>0</v>
      </c>
      <c r="BN2260" s="99">
        <v>0</v>
      </c>
      <c r="BO2260" s="99">
        <v>0</v>
      </c>
      <c r="BP2260" s="99">
        <v>0</v>
      </c>
      <c r="BQ2260" s="99">
        <v>0</v>
      </c>
      <c r="BR2260" s="99">
        <v>0</v>
      </c>
      <c r="BS2260" s="99">
        <v>0</v>
      </c>
      <c r="BT2260" s="19">
        <v>0</v>
      </c>
      <c r="BU2260" s="23">
        <v>0</v>
      </c>
      <c r="BV2260" s="23"/>
      <c r="BW2260" s="23"/>
      <c r="BX2260" s="23"/>
      <c r="BY2260" s="23"/>
      <c r="BZ2260" s="23"/>
    </row>
    <row r="2261" spans="3:78" ht="20.100000000000001" customHeight="1">
      <c r="C2261" s="107">
        <v>90010912</v>
      </c>
      <c r="D2261" s="110" t="s">
        <v>568</v>
      </c>
      <c r="E2261" s="110" t="s">
        <v>569</v>
      </c>
      <c r="F2261" s="100">
        <v>1</v>
      </c>
      <c r="G2261" s="100">
        <v>61012201</v>
      </c>
      <c r="H2261" s="100">
        <v>0</v>
      </c>
      <c r="I2261" s="105">
        <v>0</v>
      </c>
      <c r="J2261" s="100">
        <v>3</v>
      </c>
      <c r="K2261" s="100">
        <v>0</v>
      </c>
      <c r="L2261" s="100">
        <v>0</v>
      </c>
      <c r="M2261" s="100">
        <v>0</v>
      </c>
      <c r="N2261" s="100">
        <v>0</v>
      </c>
      <c r="O2261" s="100">
        <v>2</v>
      </c>
      <c r="P2261" s="100">
        <v>2</v>
      </c>
      <c r="Q2261" s="100">
        <v>1</v>
      </c>
      <c r="R2261" s="100">
        <v>0</v>
      </c>
      <c r="S2261" s="99">
        <v>0</v>
      </c>
      <c r="T2261" s="100">
        <v>0</v>
      </c>
      <c r="U2261" s="100">
        <v>1</v>
      </c>
      <c r="V2261" s="100">
        <v>2</v>
      </c>
      <c r="W2261" s="100">
        <v>0</v>
      </c>
      <c r="X2261" s="100">
        <v>1.5</v>
      </c>
      <c r="Y2261" s="19">
        <v>0</v>
      </c>
      <c r="Z2261" s="100">
        <v>300</v>
      </c>
      <c r="AA2261" s="100">
        <v>1</v>
      </c>
      <c r="AB2261" s="100">
        <v>0</v>
      </c>
      <c r="AC2261" s="100">
        <v>0</v>
      </c>
      <c r="AD2261" s="100">
        <v>0</v>
      </c>
      <c r="AE2261" s="100">
        <v>0</v>
      </c>
      <c r="AF2261" s="100">
        <v>15</v>
      </c>
      <c r="AG2261" s="100">
        <v>1</v>
      </c>
      <c r="AH2261" s="100">
        <v>4</v>
      </c>
      <c r="AI2261" s="99">
        <v>2</v>
      </c>
      <c r="AJ2261" s="99">
        <v>0</v>
      </c>
      <c r="AK2261" s="99">
        <v>0</v>
      </c>
      <c r="AL2261" s="99">
        <v>0</v>
      </c>
      <c r="AM2261" s="100">
        <v>0</v>
      </c>
      <c r="AN2261" s="100">
        <v>0</v>
      </c>
      <c r="AO2261" s="100">
        <v>0</v>
      </c>
      <c r="AP2261" s="100">
        <v>0</v>
      </c>
      <c r="AQ2261" s="100">
        <v>60000</v>
      </c>
      <c r="AR2261" s="100">
        <v>0.1</v>
      </c>
      <c r="AS2261" s="100">
        <v>0</v>
      </c>
      <c r="AT2261" s="99">
        <v>0</v>
      </c>
      <c r="AU2261" s="328" t="s">
        <v>5190</v>
      </c>
      <c r="AV2261" s="100"/>
      <c r="AW2261" s="110" t="s">
        <v>768</v>
      </c>
      <c r="AX2261" s="100" t="s">
        <v>540</v>
      </c>
      <c r="AY2261" s="107">
        <v>10000001</v>
      </c>
      <c r="AZ2261" s="107">
        <v>62001701</v>
      </c>
      <c r="BA2261" s="110" t="s">
        <v>1171</v>
      </c>
      <c r="BB2261" s="100">
        <v>0</v>
      </c>
      <c r="BC2261" s="105">
        <v>0</v>
      </c>
      <c r="BD2261" s="105">
        <v>0</v>
      </c>
      <c r="BE2261" s="136" t="str">
        <f t="shared" ref="BE2261" si="157">"每秒对周围的怪物造成"&amp;X2261*100&amp;"%攻击伤害+"&amp;Z2261&amp;"点固定伤害.持续4秒并使自身免疫怪物攻击"</f>
        <v>每秒对周围的怪物造成150%攻击伤害+300点固定伤害.持续4秒并使自身免疫怪物攻击</v>
      </c>
      <c r="BF2261" s="136" t="s">
        <v>5191</v>
      </c>
      <c r="BG2261" s="100">
        <v>0</v>
      </c>
      <c r="BH2261" s="100">
        <v>0</v>
      </c>
      <c r="BI2261" s="100">
        <v>0</v>
      </c>
      <c r="BJ2261" s="100">
        <v>0</v>
      </c>
      <c r="BK2261" s="100">
        <v>0</v>
      </c>
      <c r="BL2261" s="100">
        <v>0</v>
      </c>
      <c r="BM2261" s="97">
        <v>0</v>
      </c>
      <c r="BN2261" s="99">
        <v>0</v>
      </c>
      <c r="BO2261" s="99">
        <v>0</v>
      </c>
      <c r="BP2261" s="99">
        <v>0</v>
      </c>
      <c r="BQ2261" s="99">
        <v>0</v>
      </c>
      <c r="BR2261" s="99">
        <v>0</v>
      </c>
      <c r="BS2261" s="99">
        <v>1</v>
      </c>
      <c r="BT2261" s="19">
        <v>0</v>
      </c>
      <c r="BU2261" s="23">
        <v>0</v>
      </c>
      <c r="BV2261" s="23"/>
      <c r="BW2261" s="23"/>
      <c r="BX2261" s="23"/>
      <c r="BY2261" s="23"/>
      <c r="BZ2261" s="23"/>
    </row>
    <row r="2262" spans="3:78" ht="20.100000000000001" customHeight="1">
      <c r="C2262" s="283">
        <v>90020002</v>
      </c>
      <c r="D2262" s="284" t="s">
        <v>5192</v>
      </c>
      <c r="E2262" s="284" t="s">
        <v>5193</v>
      </c>
      <c r="F2262" s="283">
        <v>1</v>
      </c>
      <c r="G2262" s="283">
        <v>80003005</v>
      </c>
      <c r="H2262" s="283">
        <v>0</v>
      </c>
      <c r="I2262" s="285">
        <v>0</v>
      </c>
      <c r="J2262" s="283">
        <v>1</v>
      </c>
      <c r="K2262" s="283">
        <v>0</v>
      </c>
      <c r="L2262" s="283">
        <v>0</v>
      </c>
      <c r="M2262" s="283">
        <v>0</v>
      </c>
      <c r="N2262" s="283">
        <v>0</v>
      </c>
      <c r="O2262" s="283">
        <v>1</v>
      </c>
      <c r="P2262" s="283">
        <v>0</v>
      </c>
      <c r="Q2262" s="283">
        <v>0</v>
      </c>
      <c r="R2262" s="283">
        <v>0</v>
      </c>
      <c r="S2262" s="286">
        <v>0</v>
      </c>
      <c r="T2262" s="285">
        <v>0</v>
      </c>
      <c r="U2262" s="287">
        <v>1</v>
      </c>
      <c r="V2262" s="283">
        <v>1</v>
      </c>
      <c r="W2262" s="283">
        <v>0</v>
      </c>
      <c r="X2262" s="283">
        <v>1.5</v>
      </c>
      <c r="Y2262" s="19">
        <v>0</v>
      </c>
      <c r="Z2262" s="283">
        <v>0</v>
      </c>
      <c r="AA2262" s="283">
        <v>0</v>
      </c>
      <c r="AB2262" s="283">
        <v>0</v>
      </c>
      <c r="AC2262" s="283">
        <v>0</v>
      </c>
      <c r="AD2262" s="283">
        <v>1</v>
      </c>
      <c r="AE2262" s="283">
        <v>1</v>
      </c>
      <c r="AF2262" s="283">
        <v>5</v>
      </c>
      <c r="AG2262" s="283">
        <v>1</v>
      </c>
      <c r="AH2262" s="283">
        <v>3</v>
      </c>
      <c r="AI2262" s="286">
        <v>2</v>
      </c>
      <c r="AJ2262" s="286">
        <v>1</v>
      </c>
      <c r="AK2262" s="286">
        <v>0</v>
      </c>
      <c r="AL2262" s="286">
        <v>6</v>
      </c>
      <c r="AM2262" s="283">
        <v>0</v>
      </c>
      <c r="AN2262" s="283">
        <v>0</v>
      </c>
      <c r="AO2262" s="283">
        <v>0</v>
      </c>
      <c r="AP2262" s="283">
        <v>0</v>
      </c>
      <c r="AQ2262" s="283">
        <v>5000</v>
      </c>
      <c r="AR2262" s="283">
        <v>0.2</v>
      </c>
      <c r="AS2262" s="283">
        <v>0</v>
      </c>
      <c r="AT2262" s="286">
        <v>0</v>
      </c>
      <c r="AU2262" s="283">
        <v>0</v>
      </c>
      <c r="AV2262" s="283"/>
      <c r="AW2262" s="284" t="s">
        <v>204</v>
      </c>
      <c r="AX2262" s="283" t="s">
        <v>1735</v>
      </c>
      <c r="AY2262" s="283">
        <v>10000006</v>
      </c>
      <c r="AZ2262" s="288">
        <v>91000307</v>
      </c>
      <c r="BA2262" s="284" t="s">
        <v>5194</v>
      </c>
      <c r="BB2262" s="284" t="s">
        <v>5195</v>
      </c>
      <c r="BC2262" s="285">
        <v>0</v>
      </c>
      <c r="BD2262" s="285">
        <v>0</v>
      </c>
      <c r="BE2262" s="289" t="s">
        <v>5196</v>
      </c>
      <c r="BF2262" s="289" t="s">
        <v>5197</v>
      </c>
      <c r="BG2262" s="283">
        <v>0</v>
      </c>
      <c r="BH2262" s="287">
        <v>0</v>
      </c>
      <c r="BI2262" s="283">
        <v>0</v>
      </c>
      <c r="BJ2262" s="283">
        <v>0</v>
      </c>
      <c r="BK2262" s="283">
        <v>0</v>
      </c>
      <c r="BL2262" s="283">
        <v>0</v>
      </c>
      <c r="BM2262" s="290">
        <v>0</v>
      </c>
      <c r="BN2262" s="286">
        <v>1</v>
      </c>
      <c r="BO2262" s="286">
        <v>0</v>
      </c>
      <c r="BP2262" s="286">
        <v>0</v>
      </c>
      <c r="BQ2262" s="286">
        <v>0</v>
      </c>
      <c r="BR2262" s="286">
        <v>0</v>
      </c>
      <c r="BS2262" s="286">
        <v>1</v>
      </c>
      <c r="BT2262" s="19">
        <v>0</v>
      </c>
      <c r="BU2262" s="23">
        <v>0</v>
      </c>
      <c r="BV2262" s="23"/>
      <c r="BW2262" s="23"/>
      <c r="BX2262" s="23"/>
      <c r="BY2262" s="23"/>
      <c r="BZ2262" s="23"/>
    </row>
    <row r="2263" spans="3:78" ht="20.100000000000001" customHeight="1">
      <c r="C2263" s="283">
        <v>90020003</v>
      </c>
      <c r="D2263" s="284" t="s">
        <v>5198</v>
      </c>
      <c r="E2263" s="284" t="s">
        <v>5199</v>
      </c>
      <c r="F2263" s="283">
        <v>1</v>
      </c>
      <c r="G2263" s="283">
        <v>80003005</v>
      </c>
      <c r="H2263" s="283">
        <v>0</v>
      </c>
      <c r="I2263" s="285">
        <v>0</v>
      </c>
      <c r="J2263" s="283">
        <v>1</v>
      </c>
      <c r="K2263" s="283">
        <v>0</v>
      </c>
      <c r="L2263" s="283">
        <v>0</v>
      </c>
      <c r="M2263" s="283">
        <v>0</v>
      </c>
      <c r="N2263" s="283">
        <v>0</v>
      </c>
      <c r="O2263" s="283">
        <v>1</v>
      </c>
      <c r="P2263" s="283">
        <v>0</v>
      </c>
      <c r="Q2263" s="283">
        <v>0</v>
      </c>
      <c r="R2263" s="283">
        <v>0</v>
      </c>
      <c r="S2263" s="286">
        <v>0</v>
      </c>
      <c r="T2263" s="285">
        <v>0</v>
      </c>
      <c r="U2263" s="287">
        <v>1</v>
      </c>
      <c r="V2263" s="283">
        <v>1</v>
      </c>
      <c r="W2263" s="283">
        <v>0</v>
      </c>
      <c r="X2263" s="283">
        <v>1.5</v>
      </c>
      <c r="Y2263" s="19">
        <v>0</v>
      </c>
      <c r="Z2263" s="283">
        <v>0</v>
      </c>
      <c r="AA2263" s="283">
        <v>0</v>
      </c>
      <c r="AB2263" s="283">
        <v>0</v>
      </c>
      <c r="AC2263" s="283">
        <v>0</v>
      </c>
      <c r="AD2263" s="283">
        <v>1</v>
      </c>
      <c r="AE2263" s="283">
        <v>1</v>
      </c>
      <c r="AF2263" s="283">
        <v>5</v>
      </c>
      <c r="AG2263" s="283">
        <v>1</v>
      </c>
      <c r="AH2263" s="283">
        <v>10</v>
      </c>
      <c r="AI2263" s="286">
        <v>2</v>
      </c>
      <c r="AJ2263" s="286">
        <v>1</v>
      </c>
      <c r="AK2263" s="286">
        <v>0</v>
      </c>
      <c r="AL2263" s="286">
        <v>6</v>
      </c>
      <c r="AM2263" s="283">
        <v>0</v>
      </c>
      <c r="AN2263" s="283">
        <v>0</v>
      </c>
      <c r="AO2263" s="283">
        <v>0</v>
      </c>
      <c r="AP2263" s="283">
        <v>0</v>
      </c>
      <c r="AQ2263" s="283">
        <v>5000</v>
      </c>
      <c r="AR2263" s="283">
        <v>1</v>
      </c>
      <c r="AS2263" s="283">
        <v>0</v>
      </c>
      <c r="AT2263" s="286">
        <v>0</v>
      </c>
      <c r="AU2263" s="283">
        <v>0</v>
      </c>
      <c r="AV2263" s="283"/>
      <c r="AW2263" s="284" t="s">
        <v>204</v>
      </c>
      <c r="AX2263" s="283" t="s">
        <v>1735</v>
      </c>
      <c r="AY2263" s="283">
        <v>10000006</v>
      </c>
      <c r="AZ2263" s="288">
        <v>91000315</v>
      </c>
      <c r="BA2263" s="284" t="s">
        <v>5200</v>
      </c>
      <c r="BB2263" s="284" t="s">
        <v>204</v>
      </c>
      <c r="BC2263" s="285">
        <v>0</v>
      </c>
      <c r="BD2263" s="285">
        <v>0</v>
      </c>
      <c r="BE2263" s="289" t="s">
        <v>5201</v>
      </c>
      <c r="BF2263" s="289" t="s">
        <v>5202</v>
      </c>
      <c r="BG2263" s="283">
        <v>0</v>
      </c>
      <c r="BH2263" s="287">
        <v>0</v>
      </c>
      <c r="BI2263" s="283">
        <v>0</v>
      </c>
      <c r="BJ2263" s="283">
        <v>0</v>
      </c>
      <c r="BK2263" s="283">
        <v>0</v>
      </c>
      <c r="BL2263" s="283">
        <v>0</v>
      </c>
      <c r="BM2263" s="290">
        <v>0</v>
      </c>
      <c r="BN2263" s="286">
        <v>1</v>
      </c>
      <c r="BO2263" s="286">
        <v>0</v>
      </c>
      <c r="BP2263" s="286">
        <v>0</v>
      </c>
      <c r="BQ2263" s="286">
        <v>0</v>
      </c>
      <c r="BR2263" s="286">
        <v>0</v>
      </c>
      <c r="BS2263" s="286">
        <v>1</v>
      </c>
      <c r="BT2263" s="19">
        <v>0</v>
      </c>
      <c r="BU2263" s="23">
        <v>0</v>
      </c>
      <c r="BV2263" s="23"/>
      <c r="BW2263" s="23"/>
      <c r="BX2263" s="23"/>
      <c r="BY2263" s="23"/>
      <c r="BZ2263" s="23"/>
    </row>
    <row r="2264" spans="3:78" ht="20.100000000000001" customHeight="1">
      <c r="C2264" s="283">
        <v>90020004</v>
      </c>
      <c r="D2264" s="35" t="s">
        <v>5203</v>
      </c>
      <c r="E2264" s="35" t="s">
        <v>5204</v>
      </c>
      <c r="F2264" s="21">
        <v>1</v>
      </c>
      <c r="G2264" s="21">
        <v>60010300</v>
      </c>
      <c r="H2264" s="21">
        <v>0</v>
      </c>
      <c r="I2264" s="31">
        <v>0</v>
      </c>
      <c r="J2264" s="21">
        <v>1</v>
      </c>
      <c r="K2264" s="21">
        <v>0</v>
      </c>
      <c r="L2264" s="21">
        <v>0</v>
      </c>
      <c r="M2264" s="21">
        <v>0</v>
      </c>
      <c r="N2264" s="21">
        <v>0</v>
      </c>
      <c r="O2264" s="21">
        <v>2</v>
      </c>
      <c r="P2264" s="21">
        <v>1</v>
      </c>
      <c r="Q2264" s="21">
        <v>1</v>
      </c>
      <c r="R2264" s="21">
        <v>0</v>
      </c>
      <c r="S2264" s="19">
        <v>0</v>
      </c>
      <c r="T2264" s="21">
        <v>0</v>
      </c>
      <c r="U2264" s="21">
        <v>0</v>
      </c>
      <c r="V2264" s="21">
        <v>1</v>
      </c>
      <c r="W2264" s="21">
        <v>0</v>
      </c>
      <c r="X2264" s="21">
        <v>1</v>
      </c>
      <c r="Y2264" s="19">
        <v>0</v>
      </c>
      <c r="Z2264" s="32">
        <v>0</v>
      </c>
      <c r="AA2264" s="21">
        <v>0</v>
      </c>
      <c r="AB2264" s="21">
        <v>0</v>
      </c>
      <c r="AC2264" s="21">
        <v>0</v>
      </c>
      <c r="AD2264" s="21">
        <v>1</v>
      </c>
      <c r="AE2264" s="21">
        <v>0</v>
      </c>
      <c r="AF2264" s="21">
        <v>5</v>
      </c>
      <c r="AG2264" s="21">
        <v>2</v>
      </c>
      <c r="AH2264" s="21" t="s">
        <v>237</v>
      </c>
      <c r="AI2264" s="19">
        <v>2</v>
      </c>
      <c r="AJ2264" s="19">
        <v>0</v>
      </c>
      <c r="AK2264" s="19">
        <v>0</v>
      </c>
      <c r="AL2264" s="19">
        <v>3</v>
      </c>
      <c r="AM2264" s="21">
        <v>0</v>
      </c>
      <c r="AN2264" s="21">
        <v>0</v>
      </c>
      <c r="AO2264" s="34">
        <v>0</v>
      </c>
      <c r="AP2264" s="21">
        <v>1.25</v>
      </c>
      <c r="AQ2264" s="21">
        <v>3000</v>
      </c>
      <c r="AR2264" s="21">
        <v>0.4</v>
      </c>
      <c r="AS2264" s="21">
        <v>0</v>
      </c>
      <c r="AT2264" s="19">
        <v>0</v>
      </c>
      <c r="AU2264" s="21" t="s">
        <v>204</v>
      </c>
      <c r="AV2264" s="21"/>
      <c r="AW2264" s="30" t="s">
        <v>238</v>
      </c>
      <c r="AX2264" s="21" t="s">
        <v>239</v>
      </c>
      <c r="AY2264" s="32">
        <v>12000001</v>
      </c>
      <c r="AZ2264" s="26">
        <v>20100010</v>
      </c>
      <c r="BA2264" s="30" t="s">
        <v>5205</v>
      </c>
      <c r="BB2264" s="21" t="s">
        <v>5206</v>
      </c>
      <c r="BC2264" s="31">
        <v>0</v>
      </c>
      <c r="BD2264" s="31">
        <v>0</v>
      </c>
      <c r="BE2264" s="33"/>
      <c r="BF2264" s="33"/>
      <c r="BG2264" s="21">
        <v>0</v>
      </c>
      <c r="BH2264" s="21">
        <v>0</v>
      </c>
      <c r="BI2264" s="21">
        <v>0</v>
      </c>
      <c r="BJ2264" s="21">
        <v>0</v>
      </c>
      <c r="BK2264" s="21">
        <v>0</v>
      </c>
      <c r="BL2264" s="21">
        <v>0</v>
      </c>
      <c r="BM2264" s="21">
        <v>0</v>
      </c>
      <c r="BN2264" s="19">
        <v>0</v>
      </c>
      <c r="BO2264" s="19">
        <v>0</v>
      </c>
      <c r="BP2264" s="19">
        <v>0</v>
      </c>
      <c r="BQ2264" s="19">
        <v>0</v>
      </c>
      <c r="BR2264" s="19">
        <v>0</v>
      </c>
      <c r="BS2264" s="19">
        <v>0</v>
      </c>
      <c r="BT2264" s="19">
        <v>0</v>
      </c>
      <c r="BU2264" s="23">
        <v>0</v>
      </c>
      <c r="BV2264" s="23"/>
      <c r="BW2264" s="23"/>
      <c r="BX2264" s="23"/>
      <c r="BY2264" s="23"/>
      <c r="BZ2264" s="23"/>
    </row>
    <row r="2265" spans="3:78" ht="20.100000000000001" customHeight="1">
      <c r="C2265" s="283">
        <v>90020005</v>
      </c>
      <c r="D2265" s="35" t="s">
        <v>5207</v>
      </c>
      <c r="E2265" s="35" t="s">
        <v>5208</v>
      </c>
      <c r="F2265" s="21">
        <v>1</v>
      </c>
      <c r="G2265" s="21">
        <v>60010300</v>
      </c>
      <c r="H2265" s="21">
        <v>0</v>
      </c>
      <c r="I2265" s="31">
        <v>0</v>
      </c>
      <c r="J2265" s="21">
        <v>1</v>
      </c>
      <c r="K2265" s="21">
        <v>0</v>
      </c>
      <c r="L2265" s="21">
        <v>0</v>
      </c>
      <c r="M2265" s="21">
        <v>0</v>
      </c>
      <c r="N2265" s="21">
        <v>0</v>
      </c>
      <c r="O2265" s="21">
        <v>1</v>
      </c>
      <c r="P2265" s="21">
        <v>0</v>
      </c>
      <c r="Q2265" s="21">
        <v>0</v>
      </c>
      <c r="R2265" s="21">
        <v>0</v>
      </c>
      <c r="S2265" s="19">
        <v>0</v>
      </c>
      <c r="T2265" s="21">
        <v>0</v>
      </c>
      <c r="U2265" s="21">
        <v>0</v>
      </c>
      <c r="V2265" s="21">
        <v>1</v>
      </c>
      <c r="W2265" s="21">
        <v>0</v>
      </c>
      <c r="X2265" s="21">
        <v>1</v>
      </c>
      <c r="Y2265" s="19">
        <v>0</v>
      </c>
      <c r="Z2265" s="32">
        <v>0</v>
      </c>
      <c r="AA2265" s="21">
        <v>0</v>
      </c>
      <c r="AB2265" s="21">
        <v>0</v>
      </c>
      <c r="AC2265" s="21">
        <v>0</v>
      </c>
      <c r="AD2265" s="21">
        <v>1</v>
      </c>
      <c r="AE2265" s="21">
        <v>0</v>
      </c>
      <c r="AF2265" s="21">
        <v>5</v>
      </c>
      <c r="AG2265" s="21">
        <v>2</v>
      </c>
      <c r="AH2265" s="21" t="s">
        <v>237</v>
      </c>
      <c r="AI2265" s="19">
        <v>2</v>
      </c>
      <c r="AJ2265" s="19">
        <v>0</v>
      </c>
      <c r="AK2265" s="19">
        <v>0</v>
      </c>
      <c r="AL2265" s="19">
        <v>3</v>
      </c>
      <c r="AM2265" s="21">
        <v>0</v>
      </c>
      <c r="AN2265" s="21">
        <v>0</v>
      </c>
      <c r="AO2265" s="34">
        <v>0</v>
      </c>
      <c r="AP2265" s="21">
        <v>1.25</v>
      </c>
      <c r="AQ2265" s="21">
        <v>3000</v>
      </c>
      <c r="AR2265" s="21">
        <v>0.4</v>
      </c>
      <c r="AS2265" s="21">
        <v>0</v>
      </c>
      <c r="AT2265" s="19">
        <v>99004003</v>
      </c>
      <c r="AU2265" s="21" t="s">
        <v>204</v>
      </c>
      <c r="AV2265" s="21"/>
      <c r="AW2265" s="30" t="s">
        <v>238</v>
      </c>
      <c r="AX2265" s="21" t="s">
        <v>239</v>
      </c>
      <c r="AY2265" s="32">
        <v>0</v>
      </c>
      <c r="AZ2265" s="26">
        <v>0</v>
      </c>
      <c r="BA2265" s="30" t="s">
        <v>206</v>
      </c>
      <c r="BB2265" s="21">
        <v>0</v>
      </c>
      <c r="BC2265" s="31">
        <v>0</v>
      </c>
      <c r="BD2265" s="31">
        <v>0</v>
      </c>
      <c r="BE2265" s="33"/>
      <c r="BF2265" s="33"/>
      <c r="BG2265" s="21">
        <v>0</v>
      </c>
      <c r="BH2265" s="21">
        <v>0</v>
      </c>
      <c r="BI2265" s="21">
        <v>0</v>
      </c>
      <c r="BJ2265" s="21">
        <v>0</v>
      </c>
      <c r="BK2265" s="21">
        <v>0</v>
      </c>
      <c r="BL2265" s="21">
        <v>0</v>
      </c>
      <c r="BM2265" s="21">
        <v>0</v>
      </c>
      <c r="BN2265" s="19">
        <v>0</v>
      </c>
      <c r="BO2265" s="19">
        <v>0</v>
      </c>
      <c r="BP2265" s="19">
        <v>0</v>
      </c>
      <c r="BQ2265" s="19">
        <v>0</v>
      </c>
      <c r="BR2265" s="19">
        <v>0</v>
      </c>
      <c r="BS2265" s="19">
        <v>0</v>
      </c>
      <c r="BT2265" s="19">
        <v>0</v>
      </c>
      <c r="BU2265" s="23">
        <v>0</v>
      </c>
      <c r="BV2265" s="23"/>
      <c r="BW2265" s="23"/>
      <c r="BX2265" s="23"/>
      <c r="BY2265" s="23"/>
      <c r="BZ2265" s="23"/>
    </row>
    <row r="2266" spans="3:78" ht="20.100000000000001" customHeight="1">
      <c r="C2266" s="291">
        <v>77001101</v>
      </c>
      <c r="D2266" s="292" t="s">
        <v>737</v>
      </c>
      <c r="E2266" s="292" t="s">
        <v>680</v>
      </c>
      <c r="F2266" s="90">
        <v>1</v>
      </c>
      <c r="G2266" s="72">
        <v>0</v>
      </c>
      <c r="H2266" s="90">
        <v>0</v>
      </c>
      <c r="I2266" s="90">
        <v>0</v>
      </c>
      <c r="J2266" s="90">
        <v>1</v>
      </c>
      <c r="K2266" s="90">
        <v>0</v>
      </c>
      <c r="L2266" s="127">
        <v>0</v>
      </c>
      <c r="M2266" s="127">
        <v>0</v>
      </c>
      <c r="N2266" s="90">
        <v>0</v>
      </c>
      <c r="O2266" s="90">
        <v>2</v>
      </c>
      <c r="P2266" s="90">
        <v>2</v>
      </c>
      <c r="Q2266" s="90">
        <v>0.6</v>
      </c>
      <c r="R2266" s="90">
        <v>0</v>
      </c>
      <c r="S2266" s="73">
        <v>0</v>
      </c>
      <c r="T2266" s="90">
        <v>0</v>
      </c>
      <c r="U2266" s="72">
        <v>1</v>
      </c>
      <c r="V2266" s="90">
        <v>1</v>
      </c>
      <c r="W2266" s="127">
        <v>0</v>
      </c>
      <c r="X2266" s="90">
        <v>3</v>
      </c>
      <c r="Y2266" s="19">
        <v>0</v>
      </c>
      <c r="Z2266" s="90">
        <v>0</v>
      </c>
      <c r="AA2266" s="90">
        <v>0</v>
      </c>
      <c r="AB2266" s="90">
        <v>0</v>
      </c>
      <c r="AC2266" s="127">
        <v>0</v>
      </c>
      <c r="AD2266" s="90">
        <v>0</v>
      </c>
      <c r="AE2266" s="90">
        <v>0</v>
      </c>
      <c r="AF2266" s="90">
        <v>20</v>
      </c>
      <c r="AG2266" s="90">
        <v>1</v>
      </c>
      <c r="AH2266" s="90">
        <v>5</v>
      </c>
      <c r="AI2266" s="128">
        <v>0</v>
      </c>
      <c r="AJ2266" s="128">
        <v>1</v>
      </c>
      <c r="AK2266" s="73">
        <v>0</v>
      </c>
      <c r="AL2266" s="90">
        <v>2.5</v>
      </c>
      <c r="AM2266" s="129">
        <v>0</v>
      </c>
      <c r="AN2266" s="90">
        <v>1</v>
      </c>
      <c r="AO2266" s="90">
        <v>0</v>
      </c>
      <c r="AP2266" s="90">
        <v>1</v>
      </c>
      <c r="AQ2266" s="90">
        <v>3000</v>
      </c>
      <c r="AR2266" s="90">
        <v>1</v>
      </c>
      <c r="AS2266" s="90">
        <v>0</v>
      </c>
      <c r="AT2266" s="330" t="s">
        <v>5209</v>
      </c>
      <c r="AU2266" s="322" t="s">
        <v>5210</v>
      </c>
      <c r="AV2266" s="93"/>
      <c r="AW2266" s="71" t="s">
        <v>293</v>
      </c>
      <c r="AX2266" s="127">
        <v>0</v>
      </c>
      <c r="AY2266" s="127">
        <v>0</v>
      </c>
      <c r="AZ2266" s="127">
        <v>77001101</v>
      </c>
      <c r="BA2266" s="88" t="s">
        <v>206</v>
      </c>
      <c r="BB2266" s="72">
        <v>0</v>
      </c>
      <c r="BC2266" s="75">
        <v>0</v>
      </c>
      <c r="BD2266" s="75">
        <v>0</v>
      </c>
      <c r="BE2266" s="293" t="s">
        <v>5211</v>
      </c>
      <c r="BF2266" s="293" t="s">
        <v>5212</v>
      </c>
      <c r="BG2266" s="90">
        <v>0</v>
      </c>
      <c r="BH2266" s="90">
        <v>0</v>
      </c>
      <c r="BI2266" s="74">
        <v>0</v>
      </c>
      <c r="BJ2266" s="90">
        <v>0</v>
      </c>
      <c r="BK2266" s="90">
        <v>0</v>
      </c>
      <c r="BL2266" s="129">
        <v>0</v>
      </c>
      <c r="BM2266" s="90">
        <v>0</v>
      </c>
      <c r="BN2266" s="73">
        <v>0</v>
      </c>
      <c r="BO2266" s="73">
        <v>0</v>
      </c>
      <c r="BP2266" s="73">
        <v>0</v>
      </c>
      <c r="BQ2266" s="73">
        <v>0</v>
      </c>
      <c r="BR2266" s="73">
        <v>0</v>
      </c>
      <c r="BS2266" s="73">
        <v>0</v>
      </c>
      <c r="BT2266" s="73">
        <v>0</v>
      </c>
      <c r="BU2266" s="23">
        <v>0</v>
      </c>
      <c r="BV2266" s="23"/>
      <c r="BW2266" s="23"/>
      <c r="BX2266" s="23"/>
      <c r="BY2266" s="23"/>
      <c r="BZ2266" s="23"/>
    </row>
    <row r="2267" spans="3:78" ht="20.100000000000001" customHeight="1">
      <c r="C2267" s="291">
        <v>77001102</v>
      </c>
      <c r="D2267" s="71" t="s">
        <v>604</v>
      </c>
      <c r="E2267" s="160" t="s">
        <v>1168</v>
      </c>
      <c r="F2267" s="90">
        <v>1</v>
      </c>
      <c r="G2267" s="90">
        <v>0</v>
      </c>
      <c r="H2267" s="74">
        <v>0</v>
      </c>
      <c r="I2267" s="75">
        <v>0</v>
      </c>
      <c r="J2267" s="74">
        <v>1</v>
      </c>
      <c r="K2267" s="74">
        <v>0</v>
      </c>
      <c r="L2267" s="74">
        <v>0</v>
      </c>
      <c r="M2267" s="72">
        <v>0</v>
      </c>
      <c r="N2267" s="72">
        <v>0</v>
      </c>
      <c r="O2267" s="72">
        <v>2</v>
      </c>
      <c r="P2267" s="72">
        <v>16</v>
      </c>
      <c r="Q2267" s="72">
        <v>5</v>
      </c>
      <c r="R2267" s="72">
        <v>0</v>
      </c>
      <c r="S2267" s="73">
        <v>0</v>
      </c>
      <c r="T2267" s="72">
        <v>0</v>
      </c>
      <c r="U2267" s="72">
        <v>1</v>
      </c>
      <c r="V2267" s="72">
        <v>2</v>
      </c>
      <c r="W2267" s="72">
        <v>0</v>
      </c>
      <c r="X2267" s="72">
        <v>1.5</v>
      </c>
      <c r="Y2267" s="19">
        <v>0</v>
      </c>
      <c r="Z2267" s="72">
        <v>0</v>
      </c>
      <c r="AA2267" s="72">
        <v>0</v>
      </c>
      <c r="AB2267" s="72">
        <v>0</v>
      </c>
      <c r="AC2267" s="72">
        <v>0</v>
      </c>
      <c r="AD2267" s="72">
        <v>0</v>
      </c>
      <c r="AE2267" s="72">
        <v>0</v>
      </c>
      <c r="AF2267" s="72">
        <v>0</v>
      </c>
      <c r="AG2267" s="72">
        <v>2</v>
      </c>
      <c r="AH2267" s="72" t="s">
        <v>219</v>
      </c>
      <c r="AI2267" s="73">
        <v>0</v>
      </c>
      <c r="AJ2267" s="73">
        <v>2</v>
      </c>
      <c r="AK2267" s="73">
        <v>0</v>
      </c>
      <c r="AL2267" s="73">
        <v>1.5</v>
      </c>
      <c r="AM2267" s="72">
        <v>0</v>
      </c>
      <c r="AN2267" s="72">
        <v>0</v>
      </c>
      <c r="AO2267" s="72">
        <v>0</v>
      </c>
      <c r="AP2267" s="72">
        <v>1</v>
      </c>
      <c r="AQ2267" s="72">
        <v>2000</v>
      </c>
      <c r="AR2267" s="72">
        <v>1</v>
      </c>
      <c r="AS2267" s="72">
        <v>0</v>
      </c>
      <c r="AT2267" s="73">
        <v>0</v>
      </c>
      <c r="AU2267" s="322" t="s">
        <v>5210</v>
      </c>
      <c r="AV2267" s="93"/>
      <c r="AW2267" s="88" t="s">
        <v>205</v>
      </c>
      <c r="AX2267" s="72" t="s">
        <v>551</v>
      </c>
      <c r="AY2267" s="74">
        <v>10001007</v>
      </c>
      <c r="AZ2267" s="74">
        <v>77001104</v>
      </c>
      <c r="BA2267" s="71" t="s">
        <v>206</v>
      </c>
      <c r="BB2267" s="72">
        <v>0</v>
      </c>
      <c r="BC2267" s="75">
        <v>0</v>
      </c>
      <c r="BD2267" s="75">
        <v>0</v>
      </c>
      <c r="BE2267" s="76" t="s">
        <v>5213</v>
      </c>
      <c r="BF2267" s="76" t="s">
        <v>5214</v>
      </c>
      <c r="BG2267" s="72">
        <v>0</v>
      </c>
      <c r="BH2267" s="72">
        <v>0</v>
      </c>
      <c r="BI2267" s="72">
        <v>0</v>
      </c>
      <c r="BJ2267" s="72">
        <v>0</v>
      </c>
      <c r="BK2267" s="72">
        <v>0</v>
      </c>
      <c r="BL2267" s="72">
        <v>0</v>
      </c>
      <c r="BM2267" s="90">
        <v>0</v>
      </c>
      <c r="BN2267" s="73">
        <v>0</v>
      </c>
      <c r="BO2267" s="73">
        <v>0</v>
      </c>
      <c r="BP2267" s="73">
        <v>0</v>
      </c>
      <c r="BQ2267" s="73">
        <v>0</v>
      </c>
      <c r="BR2267" s="73">
        <v>0</v>
      </c>
      <c r="BS2267" s="73">
        <v>0</v>
      </c>
      <c r="BT2267" s="73">
        <v>0</v>
      </c>
      <c r="BU2267" s="23">
        <v>0</v>
      </c>
      <c r="BV2267" s="23"/>
      <c r="BW2267" s="23"/>
      <c r="BX2267" s="23"/>
      <c r="BY2267" s="23"/>
      <c r="BZ2267" s="23"/>
    </row>
    <row r="2268" spans="3:78" ht="20.100000000000001" customHeight="1">
      <c r="C2268" s="291">
        <v>77001103</v>
      </c>
      <c r="D2268" s="71" t="s">
        <v>742</v>
      </c>
      <c r="E2268" s="160" t="s">
        <v>743</v>
      </c>
      <c r="F2268" s="90">
        <v>1</v>
      </c>
      <c r="G2268" s="90">
        <v>0</v>
      </c>
      <c r="H2268" s="74">
        <v>0</v>
      </c>
      <c r="I2268" s="75">
        <v>0</v>
      </c>
      <c r="J2268" s="74">
        <v>1</v>
      </c>
      <c r="K2268" s="74">
        <v>0</v>
      </c>
      <c r="L2268" s="74">
        <v>0</v>
      </c>
      <c r="M2268" s="72">
        <v>0</v>
      </c>
      <c r="N2268" s="72">
        <v>0</v>
      </c>
      <c r="O2268" s="72">
        <v>2</v>
      </c>
      <c r="P2268" s="72">
        <v>1</v>
      </c>
      <c r="Q2268" s="72">
        <v>0.2</v>
      </c>
      <c r="R2268" s="72">
        <v>0</v>
      </c>
      <c r="S2268" s="73">
        <v>0</v>
      </c>
      <c r="T2268" s="72">
        <v>0</v>
      </c>
      <c r="U2268" s="72">
        <v>1</v>
      </c>
      <c r="V2268" s="72">
        <v>2</v>
      </c>
      <c r="W2268" s="72">
        <v>0</v>
      </c>
      <c r="X2268" s="72">
        <v>0.8</v>
      </c>
      <c r="Y2268" s="19">
        <v>0</v>
      </c>
      <c r="Z2268" s="72">
        <v>0</v>
      </c>
      <c r="AA2268" s="72">
        <v>0</v>
      </c>
      <c r="AB2268" s="72">
        <v>0</v>
      </c>
      <c r="AC2268" s="72">
        <v>0</v>
      </c>
      <c r="AD2268" s="72">
        <v>0</v>
      </c>
      <c r="AE2268" s="72">
        <v>0</v>
      </c>
      <c r="AF2268" s="72">
        <v>0</v>
      </c>
      <c r="AG2268" s="72">
        <v>1</v>
      </c>
      <c r="AH2268" s="72">
        <v>3</v>
      </c>
      <c r="AI2268" s="73">
        <v>0</v>
      </c>
      <c r="AJ2268" s="73">
        <v>1</v>
      </c>
      <c r="AK2268" s="73">
        <v>0</v>
      </c>
      <c r="AL2268" s="73">
        <v>1.5</v>
      </c>
      <c r="AM2268" s="72">
        <v>0</v>
      </c>
      <c r="AN2268" s="72">
        <v>0</v>
      </c>
      <c r="AO2268" s="72">
        <v>0</v>
      </c>
      <c r="AP2268" s="72">
        <v>0.3</v>
      </c>
      <c r="AQ2268" s="72">
        <v>2000</v>
      </c>
      <c r="AR2268" s="72">
        <v>0.3</v>
      </c>
      <c r="AS2268" s="72">
        <v>0</v>
      </c>
      <c r="AT2268" s="73">
        <v>0</v>
      </c>
      <c r="AU2268" s="322" t="s">
        <v>5215</v>
      </c>
      <c r="AV2268" s="93"/>
      <c r="AW2268" s="88" t="s">
        <v>205</v>
      </c>
      <c r="AX2268" s="72" t="s">
        <v>551</v>
      </c>
      <c r="AY2268" s="74">
        <v>10001007</v>
      </c>
      <c r="AZ2268" s="74">
        <v>77001103</v>
      </c>
      <c r="BA2268" s="71" t="s">
        <v>206</v>
      </c>
      <c r="BB2268" s="72">
        <v>0</v>
      </c>
      <c r="BC2268" s="75">
        <v>0</v>
      </c>
      <c r="BD2268" s="75">
        <v>0</v>
      </c>
      <c r="BE2268" s="76" t="s">
        <v>5216</v>
      </c>
      <c r="BF2268" s="76" t="s">
        <v>5217</v>
      </c>
      <c r="BG2268" s="72">
        <v>0</v>
      </c>
      <c r="BH2268" s="72">
        <v>0</v>
      </c>
      <c r="BI2268" s="72">
        <v>0</v>
      </c>
      <c r="BJ2268" s="72">
        <v>0</v>
      </c>
      <c r="BK2268" s="72">
        <v>0</v>
      </c>
      <c r="BL2268" s="72">
        <v>0</v>
      </c>
      <c r="BM2268" s="90">
        <v>0</v>
      </c>
      <c r="BN2268" s="73">
        <v>0</v>
      </c>
      <c r="BO2268" s="73">
        <v>0</v>
      </c>
      <c r="BP2268" s="73">
        <v>0</v>
      </c>
      <c r="BQ2268" s="73">
        <v>0</v>
      </c>
      <c r="BR2268" s="73">
        <v>0</v>
      </c>
      <c r="BS2268" s="73">
        <v>0</v>
      </c>
      <c r="BT2268" s="73">
        <v>77001104</v>
      </c>
      <c r="BU2268" s="23">
        <v>0</v>
      </c>
      <c r="BV2268" s="23"/>
      <c r="BW2268" s="23"/>
      <c r="BX2268" s="23"/>
      <c r="BY2268" s="23"/>
      <c r="BZ2268" s="23"/>
    </row>
    <row r="2269" spans="3:78" ht="20.100000000000001" customHeight="1">
      <c r="C2269" s="291">
        <v>77001104</v>
      </c>
      <c r="D2269" s="71" t="s">
        <v>742</v>
      </c>
      <c r="E2269" s="160" t="s">
        <v>743</v>
      </c>
      <c r="F2269" s="90">
        <v>1</v>
      </c>
      <c r="G2269" s="90">
        <v>0</v>
      </c>
      <c r="H2269" s="74">
        <v>0</v>
      </c>
      <c r="I2269" s="75">
        <v>0</v>
      </c>
      <c r="J2269" s="74">
        <v>1</v>
      </c>
      <c r="K2269" s="74">
        <v>0</v>
      </c>
      <c r="L2269" s="74">
        <v>0</v>
      </c>
      <c r="M2269" s="72">
        <v>0</v>
      </c>
      <c r="N2269" s="72">
        <v>0</v>
      </c>
      <c r="O2269" s="72">
        <v>2</v>
      </c>
      <c r="P2269" s="72">
        <v>1</v>
      </c>
      <c r="Q2269" s="72">
        <v>0.2</v>
      </c>
      <c r="R2269" s="72">
        <v>0</v>
      </c>
      <c r="S2269" s="73">
        <v>0</v>
      </c>
      <c r="T2269" s="72">
        <v>0</v>
      </c>
      <c r="U2269" s="72">
        <v>1</v>
      </c>
      <c r="V2269" s="72">
        <v>2</v>
      </c>
      <c r="W2269" s="72">
        <v>0</v>
      </c>
      <c r="X2269" s="72">
        <v>0.8</v>
      </c>
      <c r="Y2269" s="19">
        <v>0</v>
      </c>
      <c r="Z2269" s="72">
        <v>0</v>
      </c>
      <c r="AA2269" s="72">
        <v>0</v>
      </c>
      <c r="AB2269" s="72">
        <v>0</v>
      </c>
      <c r="AC2269" s="72">
        <v>0</v>
      </c>
      <c r="AD2269" s="72">
        <v>0</v>
      </c>
      <c r="AE2269" s="72">
        <v>0</v>
      </c>
      <c r="AF2269" s="72">
        <v>0</v>
      </c>
      <c r="AG2269" s="72">
        <v>1</v>
      </c>
      <c r="AH2269" s="72">
        <v>3</v>
      </c>
      <c r="AI2269" s="73">
        <v>0</v>
      </c>
      <c r="AJ2269" s="73">
        <v>1</v>
      </c>
      <c r="AK2269" s="73">
        <v>0</v>
      </c>
      <c r="AL2269" s="73">
        <v>1.5</v>
      </c>
      <c r="AM2269" s="72">
        <v>0</v>
      </c>
      <c r="AN2269" s="72">
        <v>0</v>
      </c>
      <c r="AO2269" s="72">
        <v>0</v>
      </c>
      <c r="AP2269" s="72">
        <v>0</v>
      </c>
      <c r="AQ2269" s="72">
        <v>2000</v>
      </c>
      <c r="AR2269" s="72">
        <v>0.3</v>
      </c>
      <c r="AS2269" s="72">
        <v>0</v>
      </c>
      <c r="AT2269" s="73">
        <v>0</v>
      </c>
      <c r="AU2269" s="322" t="s">
        <v>5215</v>
      </c>
      <c r="AV2269" s="93"/>
      <c r="AW2269" s="88" t="s">
        <v>204</v>
      </c>
      <c r="AX2269" s="72" t="s">
        <v>551</v>
      </c>
      <c r="AY2269" s="74">
        <v>10001007</v>
      </c>
      <c r="AZ2269" s="74">
        <v>77001103</v>
      </c>
      <c r="BA2269" s="71" t="s">
        <v>206</v>
      </c>
      <c r="BB2269" s="72">
        <v>0</v>
      </c>
      <c r="BC2269" s="75">
        <v>0</v>
      </c>
      <c r="BD2269" s="75">
        <v>0</v>
      </c>
      <c r="BE2269" s="76" t="s">
        <v>5218</v>
      </c>
      <c r="BF2269" s="76" t="s">
        <v>5219</v>
      </c>
      <c r="BG2269" s="72">
        <v>0</v>
      </c>
      <c r="BH2269" s="72">
        <v>0</v>
      </c>
      <c r="BI2269" s="72">
        <v>0</v>
      </c>
      <c r="BJ2269" s="72">
        <v>0</v>
      </c>
      <c r="BK2269" s="72">
        <v>0</v>
      </c>
      <c r="BL2269" s="72">
        <v>0</v>
      </c>
      <c r="BM2269" s="90">
        <v>0</v>
      </c>
      <c r="BN2269" s="73">
        <v>0</v>
      </c>
      <c r="BO2269" s="73">
        <v>0</v>
      </c>
      <c r="BP2269" s="73">
        <v>0</v>
      </c>
      <c r="BQ2269" s="73">
        <v>0</v>
      </c>
      <c r="BR2269" s="73">
        <v>0</v>
      </c>
      <c r="BS2269" s="73">
        <v>0</v>
      </c>
      <c r="BT2269" s="73">
        <v>77001105</v>
      </c>
      <c r="BU2269" s="23">
        <v>0</v>
      </c>
      <c r="BV2269" s="23"/>
      <c r="BW2269" s="23"/>
      <c r="BX2269" s="23"/>
      <c r="BY2269" s="23"/>
      <c r="BZ2269" s="23"/>
    </row>
    <row r="2270" spans="3:78" ht="20.100000000000001" customHeight="1">
      <c r="C2270" s="291">
        <v>77001105</v>
      </c>
      <c r="D2270" s="71" t="s">
        <v>742</v>
      </c>
      <c r="E2270" s="160" t="s">
        <v>743</v>
      </c>
      <c r="F2270" s="90">
        <v>1</v>
      </c>
      <c r="G2270" s="90">
        <v>0</v>
      </c>
      <c r="H2270" s="74">
        <v>0</v>
      </c>
      <c r="I2270" s="75">
        <v>0</v>
      </c>
      <c r="J2270" s="74">
        <v>1</v>
      </c>
      <c r="K2270" s="74">
        <v>0</v>
      </c>
      <c r="L2270" s="74">
        <v>0</v>
      </c>
      <c r="M2270" s="72">
        <v>0</v>
      </c>
      <c r="N2270" s="72">
        <v>0</v>
      </c>
      <c r="O2270" s="72">
        <v>2</v>
      </c>
      <c r="P2270" s="72">
        <v>1</v>
      </c>
      <c r="Q2270" s="72">
        <v>0.2</v>
      </c>
      <c r="R2270" s="72">
        <v>0</v>
      </c>
      <c r="S2270" s="73">
        <v>0</v>
      </c>
      <c r="T2270" s="72">
        <v>0</v>
      </c>
      <c r="U2270" s="72">
        <v>1</v>
      </c>
      <c r="V2270" s="72">
        <v>2</v>
      </c>
      <c r="W2270" s="72">
        <v>0</v>
      </c>
      <c r="X2270" s="72">
        <v>0.8</v>
      </c>
      <c r="Y2270" s="19">
        <v>0</v>
      </c>
      <c r="Z2270" s="72">
        <v>0</v>
      </c>
      <c r="AA2270" s="72">
        <v>0</v>
      </c>
      <c r="AB2270" s="72">
        <v>0</v>
      </c>
      <c r="AC2270" s="72">
        <v>0</v>
      </c>
      <c r="AD2270" s="72">
        <v>0</v>
      </c>
      <c r="AE2270" s="72">
        <v>0</v>
      </c>
      <c r="AF2270" s="72">
        <v>0</v>
      </c>
      <c r="AG2270" s="72">
        <v>1</v>
      </c>
      <c r="AH2270" s="72">
        <v>3</v>
      </c>
      <c r="AI2270" s="73">
        <v>0</v>
      </c>
      <c r="AJ2270" s="73">
        <v>1</v>
      </c>
      <c r="AK2270" s="73">
        <v>0</v>
      </c>
      <c r="AL2270" s="73">
        <v>1.5</v>
      </c>
      <c r="AM2270" s="72">
        <v>0</v>
      </c>
      <c r="AN2270" s="72">
        <v>0</v>
      </c>
      <c r="AO2270" s="72">
        <v>0</v>
      </c>
      <c r="AP2270" s="72">
        <v>0.3</v>
      </c>
      <c r="AQ2270" s="72">
        <v>2000</v>
      </c>
      <c r="AR2270" s="72">
        <v>0.3</v>
      </c>
      <c r="AS2270" s="72">
        <v>0</v>
      </c>
      <c r="AT2270" s="73">
        <v>0</v>
      </c>
      <c r="AU2270" s="322" t="s">
        <v>5215</v>
      </c>
      <c r="AV2270" s="93"/>
      <c r="AW2270" s="88" t="s">
        <v>204</v>
      </c>
      <c r="AX2270" s="72" t="s">
        <v>551</v>
      </c>
      <c r="AY2270" s="74">
        <v>10001007</v>
      </c>
      <c r="AZ2270" s="74">
        <v>77001103</v>
      </c>
      <c r="BA2270" s="71" t="s">
        <v>206</v>
      </c>
      <c r="BB2270" s="72">
        <v>0</v>
      </c>
      <c r="BC2270" s="75">
        <v>0</v>
      </c>
      <c r="BD2270" s="75">
        <v>0</v>
      </c>
      <c r="BE2270" s="76" t="s">
        <v>5218</v>
      </c>
      <c r="BF2270" s="76" t="s">
        <v>5219</v>
      </c>
      <c r="BG2270" s="72">
        <v>0</v>
      </c>
      <c r="BH2270" s="72">
        <v>0</v>
      </c>
      <c r="BI2270" s="72">
        <v>0</v>
      </c>
      <c r="BJ2270" s="72">
        <v>0</v>
      </c>
      <c r="BK2270" s="72">
        <v>0</v>
      </c>
      <c r="BL2270" s="72">
        <v>0</v>
      </c>
      <c r="BM2270" s="90">
        <v>0</v>
      </c>
      <c r="BN2270" s="73">
        <v>0</v>
      </c>
      <c r="BO2270" s="73">
        <v>0</v>
      </c>
      <c r="BP2270" s="73">
        <v>0</v>
      </c>
      <c r="BQ2270" s="73">
        <v>0</v>
      </c>
      <c r="BR2270" s="73">
        <v>0</v>
      </c>
      <c r="BS2270" s="73">
        <v>0</v>
      </c>
      <c r="BT2270" s="73">
        <v>77001106</v>
      </c>
      <c r="BU2270" s="23">
        <v>0</v>
      </c>
      <c r="BV2270" s="23"/>
      <c r="BW2270" s="23"/>
      <c r="BX2270" s="23"/>
      <c r="BY2270" s="23"/>
      <c r="BZ2270" s="23"/>
    </row>
    <row r="2271" spans="3:78" ht="19.5" customHeight="1">
      <c r="C2271" s="291">
        <v>77001106</v>
      </c>
      <c r="D2271" s="71" t="s">
        <v>604</v>
      </c>
      <c r="E2271" s="160" t="s">
        <v>1168</v>
      </c>
      <c r="F2271" s="90">
        <v>1</v>
      </c>
      <c r="G2271" s="90">
        <v>0</v>
      </c>
      <c r="H2271" s="74">
        <v>0</v>
      </c>
      <c r="I2271" s="75">
        <v>0</v>
      </c>
      <c r="J2271" s="74">
        <v>1</v>
      </c>
      <c r="K2271" s="74">
        <v>0</v>
      </c>
      <c r="L2271" s="74">
        <v>0</v>
      </c>
      <c r="M2271" s="72">
        <v>0</v>
      </c>
      <c r="N2271" s="72">
        <v>0</v>
      </c>
      <c r="O2271" s="72">
        <v>2</v>
      </c>
      <c r="P2271" s="72">
        <v>16</v>
      </c>
      <c r="Q2271" s="72">
        <v>5</v>
      </c>
      <c r="R2271" s="72">
        <v>0</v>
      </c>
      <c r="S2271" s="73">
        <v>0</v>
      </c>
      <c r="T2271" s="72">
        <v>0</v>
      </c>
      <c r="U2271" s="72">
        <v>1</v>
      </c>
      <c r="V2271" s="72">
        <v>2</v>
      </c>
      <c r="W2271" s="72">
        <v>0</v>
      </c>
      <c r="X2271" s="72">
        <v>2</v>
      </c>
      <c r="Y2271" s="19">
        <v>0</v>
      </c>
      <c r="Z2271" s="72">
        <v>0</v>
      </c>
      <c r="AA2271" s="72">
        <v>0</v>
      </c>
      <c r="AB2271" s="72">
        <v>0</v>
      </c>
      <c r="AC2271" s="72">
        <v>0</v>
      </c>
      <c r="AD2271" s="72">
        <v>0</v>
      </c>
      <c r="AE2271" s="72">
        <v>0</v>
      </c>
      <c r="AF2271" s="72">
        <v>0</v>
      </c>
      <c r="AG2271" s="72">
        <v>2</v>
      </c>
      <c r="AH2271" s="72" t="s">
        <v>219</v>
      </c>
      <c r="AI2271" s="73">
        <v>0</v>
      </c>
      <c r="AJ2271" s="73">
        <v>2</v>
      </c>
      <c r="AK2271" s="73">
        <v>0</v>
      </c>
      <c r="AL2271" s="73">
        <v>1.5</v>
      </c>
      <c r="AM2271" s="72">
        <v>0</v>
      </c>
      <c r="AN2271" s="72">
        <v>0</v>
      </c>
      <c r="AO2271" s="72">
        <v>0</v>
      </c>
      <c r="AP2271" s="72">
        <v>0.5</v>
      </c>
      <c r="AQ2271" s="72">
        <v>2000</v>
      </c>
      <c r="AR2271" s="72">
        <v>0.5</v>
      </c>
      <c r="AS2271" s="72">
        <v>0</v>
      </c>
      <c r="AT2271" s="73">
        <v>0</v>
      </c>
      <c r="AU2271" s="322" t="s">
        <v>5210</v>
      </c>
      <c r="AV2271" s="93"/>
      <c r="AW2271" s="88" t="s">
        <v>204</v>
      </c>
      <c r="AX2271" s="72" t="s">
        <v>551</v>
      </c>
      <c r="AY2271" s="74">
        <v>10001007</v>
      </c>
      <c r="AZ2271" s="74">
        <v>77001105</v>
      </c>
      <c r="BA2271" s="71" t="s">
        <v>206</v>
      </c>
      <c r="BB2271" s="72">
        <v>0</v>
      </c>
      <c r="BC2271" s="75">
        <v>0</v>
      </c>
      <c r="BD2271" s="75">
        <v>0</v>
      </c>
      <c r="BE2271" s="76" t="s">
        <v>5218</v>
      </c>
      <c r="BF2271" s="76" t="s">
        <v>5219</v>
      </c>
      <c r="BG2271" s="72">
        <v>0</v>
      </c>
      <c r="BH2271" s="72">
        <v>0</v>
      </c>
      <c r="BI2271" s="72">
        <v>0</v>
      </c>
      <c r="BJ2271" s="72">
        <v>0</v>
      </c>
      <c r="BK2271" s="72">
        <v>0</v>
      </c>
      <c r="BL2271" s="72">
        <v>0</v>
      </c>
      <c r="BM2271" s="90">
        <v>0</v>
      </c>
      <c r="BN2271" s="73">
        <v>0</v>
      </c>
      <c r="BO2271" s="73">
        <v>0</v>
      </c>
      <c r="BP2271" s="73">
        <v>0</v>
      </c>
      <c r="BQ2271" s="73">
        <v>0</v>
      </c>
      <c r="BR2271" s="73">
        <v>0</v>
      </c>
      <c r="BS2271" s="73">
        <v>0</v>
      </c>
      <c r="BT2271" s="73">
        <v>0</v>
      </c>
      <c r="BU2271" s="23">
        <v>0</v>
      </c>
      <c r="BV2271" s="23"/>
      <c r="BW2271" s="23"/>
      <c r="BX2271" s="23"/>
      <c r="BY2271" s="23"/>
      <c r="BZ2271" s="23"/>
    </row>
    <row r="2272" spans="3:78" ht="19.5" customHeight="1">
      <c r="C2272" s="294">
        <v>77001201</v>
      </c>
      <c r="D2272" s="295" t="s">
        <v>5220</v>
      </c>
      <c r="E2272" s="295" t="s">
        <v>5221</v>
      </c>
      <c r="F2272" s="294">
        <v>1</v>
      </c>
      <c r="G2272" s="296">
        <v>0</v>
      </c>
      <c r="H2272" s="294">
        <v>0</v>
      </c>
      <c r="I2272" s="297">
        <v>0</v>
      </c>
      <c r="J2272" s="294">
        <v>1</v>
      </c>
      <c r="K2272" s="294">
        <v>0</v>
      </c>
      <c r="L2272" s="294">
        <v>0</v>
      </c>
      <c r="M2272" s="296">
        <v>0</v>
      </c>
      <c r="N2272" s="296">
        <v>0</v>
      </c>
      <c r="O2272" s="296">
        <v>2</v>
      </c>
      <c r="P2272" s="296">
        <v>3</v>
      </c>
      <c r="Q2272" s="296">
        <v>0.15</v>
      </c>
      <c r="R2272" s="296">
        <v>0</v>
      </c>
      <c r="S2272" s="23">
        <v>0</v>
      </c>
      <c r="T2272" s="296">
        <v>0</v>
      </c>
      <c r="U2272" s="296">
        <v>1</v>
      </c>
      <c r="V2272" s="296">
        <v>1</v>
      </c>
      <c r="W2272" s="296">
        <v>0</v>
      </c>
      <c r="X2272" s="296">
        <v>2</v>
      </c>
      <c r="Y2272" s="19">
        <v>0</v>
      </c>
      <c r="Z2272" s="296">
        <v>0</v>
      </c>
      <c r="AA2272" s="296">
        <v>1</v>
      </c>
      <c r="AB2272" s="296">
        <v>0</v>
      </c>
      <c r="AC2272" s="296">
        <v>0</v>
      </c>
      <c r="AD2272" s="296">
        <v>0</v>
      </c>
      <c r="AE2272" s="296">
        <v>1</v>
      </c>
      <c r="AF2272" s="296">
        <v>15</v>
      </c>
      <c r="AG2272" s="296">
        <v>1</v>
      </c>
      <c r="AH2272" s="296">
        <v>4</v>
      </c>
      <c r="AI2272" s="23">
        <v>0</v>
      </c>
      <c r="AJ2272" s="23">
        <v>1</v>
      </c>
      <c r="AK2272" s="23">
        <v>0</v>
      </c>
      <c r="AL2272" s="23">
        <v>3</v>
      </c>
      <c r="AM2272" s="296">
        <v>0</v>
      </c>
      <c r="AN2272" s="296">
        <v>0</v>
      </c>
      <c r="AO2272" s="296">
        <v>0</v>
      </c>
      <c r="AP2272" s="296">
        <v>1.2</v>
      </c>
      <c r="AQ2272" s="296">
        <v>2000</v>
      </c>
      <c r="AR2272" s="296">
        <v>1.2</v>
      </c>
      <c r="AS2272" s="296">
        <v>0</v>
      </c>
      <c r="AT2272" s="23">
        <v>97002003</v>
      </c>
      <c r="AU2272" s="296">
        <v>0</v>
      </c>
      <c r="AV2272" s="296"/>
      <c r="AW2272" s="298" t="s">
        <v>205</v>
      </c>
      <c r="AX2272" s="296" t="s">
        <v>540</v>
      </c>
      <c r="AY2272" s="294">
        <v>0</v>
      </c>
      <c r="AZ2272" s="294">
        <v>77001201</v>
      </c>
      <c r="BA2272" s="295" t="s">
        <v>206</v>
      </c>
      <c r="BB2272" s="296">
        <v>0</v>
      </c>
      <c r="BC2272" s="297">
        <v>0</v>
      </c>
      <c r="BD2272" s="297">
        <v>0</v>
      </c>
      <c r="BE2272" s="299" t="s">
        <v>5222</v>
      </c>
      <c r="BF2272" s="299" t="s">
        <v>5223</v>
      </c>
      <c r="BG2272" s="296">
        <v>0</v>
      </c>
      <c r="BH2272" s="296">
        <v>0</v>
      </c>
      <c r="BI2272" s="296">
        <v>0</v>
      </c>
      <c r="BJ2272" s="296">
        <v>0</v>
      </c>
      <c r="BK2272" s="296">
        <v>0</v>
      </c>
      <c r="BL2272" s="296">
        <v>0</v>
      </c>
      <c r="BM2272" s="300">
        <v>0</v>
      </c>
      <c r="BN2272" s="23">
        <v>0</v>
      </c>
      <c r="BO2272" s="23">
        <v>0</v>
      </c>
      <c r="BP2272" s="23">
        <v>0</v>
      </c>
      <c r="BQ2272" s="23">
        <v>0</v>
      </c>
      <c r="BR2272" s="23">
        <v>0</v>
      </c>
      <c r="BS2272" s="23">
        <v>0</v>
      </c>
      <c r="BT2272" s="23">
        <v>0</v>
      </c>
      <c r="BU2272" s="23">
        <v>0</v>
      </c>
      <c r="BV2272" s="23"/>
      <c r="BW2272" s="23"/>
      <c r="BX2272" s="23"/>
      <c r="BY2272" s="23"/>
      <c r="BZ2272" s="23"/>
    </row>
    <row r="2273" spans="3:78" ht="19.5" customHeight="1">
      <c r="C2273" s="294">
        <v>77001202</v>
      </c>
      <c r="D2273" s="295" t="s">
        <v>5224</v>
      </c>
      <c r="E2273" s="295" t="s">
        <v>680</v>
      </c>
      <c r="F2273" s="294">
        <v>1</v>
      </c>
      <c r="G2273" s="296">
        <v>0</v>
      </c>
      <c r="H2273" s="294">
        <v>0</v>
      </c>
      <c r="I2273" s="297">
        <v>0</v>
      </c>
      <c r="J2273" s="294">
        <v>1</v>
      </c>
      <c r="K2273" s="294">
        <v>0</v>
      </c>
      <c r="L2273" s="294">
        <v>0</v>
      </c>
      <c r="M2273" s="296">
        <v>0</v>
      </c>
      <c r="N2273" s="296">
        <v>0</v>
      </c>
      <c r="O2273" s="296">
        <v>2</v>
      </c>
      <c r="P2273" s="296">
        <v>3</v>
      </c>
      <c r="Q2273" s="296">
        <v>0.15</v>
      </c>
      <c r="R2273" s="296">
        <v>0</v>
      </c>
      <c r="S2273" s="23">
        <v>0</v>
      </c>
      <c r="T2273" s="296">
        <v>0</v>
      </c>
      <c r="U2273" s="296">
        <v>1</v>
      </c>
      <c r="V2273" s="296">
        <v>1</v>
      </c>
      <c r="W2273" s="296">
        <v>0</v>
      </c>
      <c r="X2273" s="296">
        <v>0.5</v>
      </c>
      <c r="Y2273" s="19">
        <v>0</v>
      </c>
      <c r="Z2273" s="296">
        <v>0</v>
      </c>
      <c r="AA2273" s="296">
        <v>1</v>
      </c>
      <c r="AB2273" s="296">
        <v>0</v>
      </c>
      <c r="AC2273" s="296">
        <v>0</v>
      </c>
      <c r="AD2273" s="296">
        <v>0</v>
      </c>
      <c r="AE2273" s="296">
        <v>1</v>
      </c>
      <c r="AF2273" s="296">
        <v>0</v>
      </c>
      <c r="AG2273" s="296">
        <v>1</v>
      </c>
      <c r="AH2273" s="296">
        <v>5</v>
      </c>
      <c r="AI2273" s="23">
        <v>0</v>
      </c>
      <c r="AJ2273" s="23">
        <v>1</v>
      </c>
      <c r="AK2273" s="23">
        <v>0</v>
      </c>
      <c r="AL2273" s="23">
        <v>3</v>
      </c>
      <c r="AM2273" s="296">
        <v>0</v>
      </c>
      <c r="AN2273" s="296">
        <v>0</v>
      </c>
      <c r="AO2273" s="296">
        <v>0</v>
      </c>
      <c r="AP2273" s="296">
        <v>0</v>
      </c>
      <c r="AQ2273" s="296">
        <v>1000</v>
      </c>
      <c r="AR2273" s="296">
        <v>0.2</v>
      </c>
      <c r="AS2273" s="296">
        <v>0</v>
      </c>
      <c r="AT2273" s="23">
        <v>0</v>
      </c>
      <c r="AU2273" s="359" t="s">
        <v>5225</v>
      </c>
      <c r="AV2273" s="301"/>
      <c r="AW2273" s="298" t="s">
        <v>204</v>
      </c>
      <c r="AX2273" s="296" t="s">
        <v>540</v>
      </c>
      <c r="AY2273" s="294">
        <v>0</v>
      </c>
      <c r="AZ2273" s="294">
        <v>77001202</v>
      </c>
      <c r="BA2273" s="295" t="s">
        <v>206</v>
      </c>
      <c r="BB2273" s="296">
        <v>0</v>
      </c>
      <c r="BC2273" s="297">
        <v>0</v>
      </c>
      <c r="BD2273" s="297">
        <v>0</v>
      </c>
      <c r="BE2273" s="299" t="s">
        <v>5226</v>
      </c>
      <c r="BF2273" s="299" t="s">
        <v>5227</v>
      </c>
      <c r="BG2273" s="296">
        <v>0</v>
      </c>
      <c r="BH2273" s="296">
        <v>0</v>
      </c>
      <c r="BI2273" s="296">
        <v>0</v>
      </c>
      <c r="BJ2273" s="296">
        <v>0</v>
      </c>
      <c r="BK2273" s="296">
        <v>0</v>
      </c>
      <c r="BL2273" s="296">
        <v>0</v>
      </c>
      <c r="BM2273" s="300">
        <v>0</v>
      </c>
      <c r="BN2273" s="23">
        <v>0</v>
      </c>
      <c r="BO2273" s="23">
        <v>0</v>
      </c>
      <c r="BP2273" s="23">
        <v>0</v>
      </c>
      <c r="BQ2273" s="23">
        <v>0</v>
      </c>
      <c r="BR2273" s="23">
        <v>0</v>
      </c>
      <c r="BS2273" s="23">
        <v>1</v>
      </c>
      <c r="BT2273" s="23">
        <v>0</v>
      </c>
      <c r="BU2273" s="23">
        <v>0</v>
      </c>
      <c r="BV2273" s="23"/>
      <c r="BW2273" s="23"/>
      <c r="BX2273" s="23"/>
      <c r="BY2273" s="23"/>
      <c r="BZ2273" s="23"/>
    </row>
    <row r="2274" spans="3:78" ht="19.5" customHeight="1">
      <c r="C2274" s="294">
        <v>77001203</v>
      </c>
      <c r="D2274" s="295" t="s">
        <v>5228</v>
      </c>
      <c r="E2274" s="295" t="s">
        <v>5229</v>
      </c>
      <c r="F2274" s="294">
        <v>1</v>
      </c>
      <c r="G2274" s="296">
        <v>0</v>
      </c>
      <c r="H2274" s="294">
        <v>0</v>
      </c>
      <c r="I2274" s="297">
        <v>0</v>
      </c>
      <c r="J2274" s="294">
        <v>1</v>
      </c>
      <c r="K2274" s="294">
        <v>0</v>
      </c>
      <c r="L2274" s="294">
        <v>0</v>
      </c>
      <c r="M2274" s="296">
        <v>0</v>
      </c>
      <c r="N2274" s="296">
        <v>0</v>
      </c>
      <c r="O2274" s="296">
        <v>2</v>
      </c>
      <c r="P2274" s="296">
        <v>3</v>
      </c>
      <c r="Q2274" s="296">
        <v>0.1</v>
      </c>
      <c r="R2274" s="296">
        <v>0</v>
      </c>
      <c r="S2274" s="23">
        <v>0</v>
      </c>
      <c r="T2274" s="296">
        <v>0</v>
      </c>
      <c r="U2274" s="296">
        <v>1</v>
      </c>
      <c r="V2274" s="296">
        <v>1</v>
      </c>
      <c r="W2274" s="296">
        <v>0</v>
      </c>
      <c r="X2274" s="296">
        <v>3</v>
      </c>
      <c r="Y2274" s="19">
        <v>0</v>
      </c>
      <c r="Z2274" s="296">
        <v>0</v>
      </c>
      <c r="AA2274" s="296">
        <v>1</v>
      </c>
      <c r="AB2274" s="296">
        <v>0</v>
      </c>
      <c r="AC2274" s="296">
        <v>0</v>
      </c>
      <c r="AD2274" s="296">
        <v>0</v>
      </c>
      <c r="AE2274" s="296">
        <v>1</v>
      </c>
      <c r="AF2274" s="296">
        <v>5</v>
      </c>
      <c r="AG2274" s="296">
        <v>1</v>
      </c>
      <c r="AH2274" s="296">
        <v>6</v>
      </c>
      <c r="AI2274" s="23">
        <v>1</v>
      </c>
      <c r="AJ2274" s="23">
        <v>1</v>
      </c>
      <c r="AK2274" s="23">
        <v>0</v>
      </c>
      <c r="AL2274" s="23">
        <v>3</v>
      </c>
      <c r="AM2274" s="296">
        <v>0</v>
      </c>
      <c r="AN2274" s="296">
        <v>0</v>
      </c>
      <c r="AO2274" s="296">
        <v>0</v>
      </c>
      <c r="AP2274" s="296">
        <v>1.8</v>
      </c>
      <c r="AQ2274" s="296">
        <v>2000</v>
      </c>
      <c r="AR2274" s="296">
        <v>2</v>
      </c>
      <c r="AS2274" s="296">
        <v>0</v>
      </c>
      <c r="AT2274" s="23">
        <v>0</v>
      </c>
      <c r="AU2274" s="296">
        <v>97002001</v>
      </c>
      <c r="AV2274" s="296"/>
      <c r="AW2274" s="298" t="s">
        <v>205</v>
      </c>
      <c r="AX2274" s="296" t="s">
        <v>540</v>
      </c>
      <c r="AY2274" s="294">
        <v>0</v>
      </c>
      <c r="AZ2274" s="294">
        <v>77001203</v>
      </c>
      <c r="BA2274" s="295" t="s">
        <v>777</v>
      </c>
      <c r="BB2274" s="296">
        <v>0</v>
      </c>
      <c r="BC2274" s="297">
        <v>0</v>
      </c>
      <c r="BD2274" s="297">
        <v>0</v>
      </c>
      <c r="BE2274" s="299" t="s">
        <v>5230</v>
      </c>
      <c r="BF2274" s="299" t="s">
        <v>5231</v>
      </c>
      <c r="BG2274" s="296">
        <v>0</v>
      </c>
      <c r="BH2274" s="296">
        <v>0</v>
      </c>
      <c r="BI2274" s="296">
        <v>0</v>
      </c>
      <c r="BJ2274" s="296">
        <v>0</v>
      </c>
      <c r="BK2274" s="296">
        <v>0</v>
      </c>
      <c r="BL2274" s="296">
        <v>0</v>
      </c>
      <c r="BM2274" s="300">
        <v>0</v>
      </c>
      <c r="BN2274" s="23">
        <v>0</v>
      </c>
      <c r="BO2274" s="23">
        <v>0</v>
      </c>
      <c r="BP2274" s="23">
        <v>0</v>
      </c>
      <c r="BQ2274" s="23">
        <v>0</v>
      </c>
      <c r="BR2274" s="23">
        <v>0</v>
      </c>
      <c r="BS2274" s="23">
        <v>0</v>
      </c>
      <c r="BT2274" s="23">
        <v>77001208</v>
      </c>
      <c r="BU2274" s="23">
        <v>0</v>
      </c>
      <c r="BV2274" s="23"/>
      <c r="BW2274" s="23"/>
      <c r="BX2274" s="23"/>
      <c r="BY2274" s="23"/>
      <c r="BZ2274" s="23"/>
    </row>
    <row r="2275" spans="3:78" ht="20.100000000000001" customHeight="1">
      <c r="C2275" s="294">
        <v>77001204</v>
      </c>
      <c r="D2275" s="295" t="s">
        <v>5232</v>
      </c>
      <c r="E2275" s="295" t="s">
        <v>5233</v>
      </c>
      <c r="F2275" s="296">
        <v>1</v>
      </c>
      <c r="G2275" s="296">
        <v>0</v>
      </c>
      <c r="H2275" s="294">
        <v>0</v>
      </c>
      <c r="I2275" s="297">
        <v>0</v>
      </c>
      <c r="J2275" s="294">
        <v>1</v>
      </c>
      <c r="K2275" s="294">
        <v>0</v>
      </c>
      <c r="L2275" s="294">
        <v>0</v>
      </c>
      <c r="M2275" s="296">
        <v>0</v>
      </c>
      <c r="N2275" s="296">
        <v>0</v>
      </c>
      <c r="O2275" s="296">
        <v>2</v>
      </c>
      <c r="P2275" s="296">
        <v>1</v>
      </c>
      <c r="Q2275" s="296">
        <v>0.3</v>
      </c>
      <c r="R2275" s="296">
        <v>0</v>
      </c>
      <c r="S2275" s="23">
        <v>3</v>
      </c>
      <c r="T2275" s="296">
        <v>0</v>
      </c>
      <c r="U2275" s="296">
        <v>1</v>
      </c>
      <c r="V2275" s="296">
        <v>2</v>
      </c>
      <c r="W2275" s="296">
        <v>0</v>
      </c>
      <c r="X2275" s="296">
        <v>1</v>
      </c>
      <c r="Y2275" s="19">
        <v>0</v>
      </c>
      <c r="Z2275" s="296">
        <v>0</v>
      </c>
      <c r="AA2275" s="296">
        <v>0</v>
      </c>
      <c r="AB2275" s="296">
        <v>0</v>
      </c>
      <c r="AC2275" s="296">
        <v>0</v>
      </c>
      <c r="AD2275" s="296">
        <v>0</v>
      </c>
      <c r="AE2275" s="296">
        <v>0</v>
      </c>
      <c r="AF2275" s="296">
        <v>12</v>
      </c>
      <c r="AG2275" s="296">
        <v>1</v>
      </c>
      <c r="AH2275" s="296">
        <v>3</v>
      </c>
      <c r="AI2275" s="23">
        <v>6</v>
      </c>
      <c r="AJ2275" s="23">
        <v>1</v>
      </c>
      <c r="AK2275" s="23">
        <v>0</v>
      </c>
      <c r="AL2275" s="23">
        <v>1.5</v>
      </c>
      <c r="AM2275" s="296">
        <v>0</v>
      </c>
      <c r="AN2275" s="296">
        <v>0</v>
      </c>
      <c r="AO2275" s="296">
        <v>0</v>
      </c>
      <c r="AP2275" s="296">
        <v>0.5</v>
      </c>
      <c r="AQ2275" s="296">
        <v>5000</v>
      </c>
      <c r="AR2275" s="296">
        <v>1</v>
      </c>
      <c r="AS2275" s="296">
        <v>0</v>
      </c>
      <c r="AT2275" s="23">
        <v>0</v>
      </c>
      <c r="AU2275" s="296">
        <v>97002002</v>
      </c>
      <c r="AV2275" s="296"/>
      <c r="AW2275" s="298" t="s">
        <v>205</v>
      </c>
      <c r="AX2275" s="296" t="s">
        <v>540</v>
      </c>
      <c r="AY2275" s="294">
        <v>10000007</v>
      </c>
      <c r="AZ2275" s="360" t="s">
        <v>5234</v>
      </c>
      <c r="BA2275" s="295" t="s">
        <v>206</v>
      </c>
      <c r="BB2275" s="296" t="s">
        <v>5235</v>
      </c>
      <c r="BC2275" s="297">
        <v>0</v>
      </c>
      <c r="BD2275" s="297">
        <v>0</v>
      </c>
      <c r="BE2275" s="299" t="s">
        <v>5236</v>
      </c>
      <c r="BF2275" s="299" t="s">
        <v>5237</v>
      </c>
      <c r="BG2275" s="296">
        <v>0</v>
      </c>
      <c r="BH2275" s="296">
        <v>0</v>
      </c>
      <c r="BI2275" s="296">
        <v>0</v>
      </c>
      <c r="BJ2275" s="296">
        <v>0</v>
      </c>
      <c r="BK2275" s="296">
        <v>0</v>
      </c>
      <c r="BL2275" s="296">
        <v>0</v>
      </c>
      <c r="BM2275" s="300">
        <v>0</v>
      </c>
      <c r="BN2275" s="23">
        <v>0</v>
      </c>
      <c r="BO2275" s="23">
        <v>0</v>
      </c>
      <c r="BP2275" s="23">
        <v>0</v>
      </c>
      <c r="BQ2275" s="23">
        <v>0</v>
      </c>
      <c r="BR2275" s="23">
        <v>0</v>
      </c>
      <c r="BS2275" s="23">
        <v>0</v>
      </c>
      <c r="BT2275" s="23">
        <v>0</v>
      </c>
      <c r="BU2275" s="23">
        <v>0</v>
      </c>
      <c r="BV2275" s="23"/>
      <c r="BW2275" s="23"/>
      <c r="BX2275" s="23"/>
      <c r="BY2275" s="23"/>
      <c r="BZ2275" s="23"/>
    </row>
    <row r="2276" spans="3:78" ht="19.5" customHeight="1">
      <c r="C2276" s="294">
        <v>77001205</v>
      </c>
      <c r="D2276" s="295" t="s">
        <v>2381</v>
      </c>
      <c r="E2276" s="295" t="s">
        <v>2382</v>
      </c>
      <c r="F2276" s="294">
        <v>1</v>
      </c>
      <c r="G2276" s="296">
        <v>0</v>
      </c>
      <c r="H2276" s="294">
        <v>0</v>
      </c>
      <c r="I2276" s="297">
        <v>0</v>
      </c>
      <c r="J2276" s="294">
        <v>1</v>
      </c>
      <c r="K2276" s="294">
        <v>0</v>
      </c>
      <c r="L2276" s="294">
        <v>0</v>
      </c>
      <c r="M2276" s="296">
        <v>0</v>
      </c>
      <c r="N2276" s="296">
        <v>0</v>
      </c>
      <c r="O2276" s="296">
        <v>2</v>
      </c>
      <c r="P2276" s="296">
        <v>3</v>
      </c>
      <c r="Q2276" s="296">
        <v>0.15</v>
      </c>
      <c r="R2276" s="296">
        <v>0</v>
      </c>
      <c r="S2276" s="23">
        <v>0</v>
      </c>
      <c r="T2276" s="296">
        <v>0</v>
      </c>
      <c r="U2276" s="296">
        <v>1</v>
      </c>
      <c r="V2276" s="296">
        <v>1</v>
      </c>
      <c r="W2276" s="296">
        <v>0</v>
      </c>
      <c r="X2276" s="296">
        <v>0</v>
      </c>
      <c r="Y2276" s="19">
        <v>0</v>
      </c>
      <c r="Z2276" s="296">
        <v>0</v>
      </c>
      <c r="AA2276" s="296">
        <v>1</v>
      </c>
      <c r="AB2276" s="296">
        <v>0</v>
      </c>
      <c r="AC2276" s="296">
        <v>0</v>
      </c>
      <c r="AD2276" s="296">
        <v>0</v>
      </c>
      <c r="AE2276" s="296">
        <v>1</v>
      </c>
      <c r="AF2276" s="296">
        <v>0</v>
      </c>
      <c r="AG2276" s="296">
        <v>1</v>
      </c>
      <c r="AH2276" s="296">
        <v>5</v>
      </c>
      <c r="AI2276" s="23">
        <v>0</v>
      </c>
      <c r="AJ2276" s="23">
        <v>1</v>
      </c>
      <c r="AK2276" s="23">
        <v>0</v>
      </c>
      <c r="AL2276" s="23">
        <v>3</v>
      </c>
      <c r="AM2276" s="296">
        <v>0</v>
      </c>
      <c r="AN2276" s="296">
        <v>0</v>
      </c>
      <c r="AO2276" s="296">
        <v>0</v>
      </c>
      <c r="AP2276" s="296">
        <v>0</v>
      </c>
      <c r="AQ2276" s="296">
        <v>1000</v>
      </c>
      <c r="AR2276" s="296">
        <v>0</v>
      </c>
      <c r="AS2276" s="296">
        <v>0</v>
      </c>
      <c r="AT2276" s="23">
        <v>97002005</v>
      </c>
      <c r="AU2276" s="301">
        <v>0</v>
      </c>
      <c r="AV2276" s="301"/>
      <c r="AW2276" s="298" t="s">
        <v>204</v>
      </c>
      <c r="AX2276" s="296" t="s">
        <v>540</v>
      </c>
      <c r="AY2276" s="294">
        <v>0</v>
      </c>
      <c r="AZ2276" s="294">
        <v>0</v>
      </c>
      <c r="BA2276" s="295" t="s">
        <v>206</v>
      </c>
      <c r="BB2276" s="296">
        <v>0</v>
      </c>
      <c r="BC2276" s="297">
        <v>0</v>
      </c>
      <c r="BD2276" s="297">
        <v>0</v>
      </c>
      <c r="BE2276" s="299" t="s">
        <v>5226</v>
      </c>
      <c r="BF2276" s="299" t="s">
        <v>5227</v>
      </c>
      <c r="BG2276" s="296">
        <v>0</v>
      </c>
      <c r="BH2276" s="296">
        <v>0</v>
      </c>
      <c r="BI2276" s="296">
        <v>0</v>
      </c>
      <c r="BJ2276" s="296">
        <v>0</v>
      </c>
      <c r="BK2276" s="296">
        <v>0</v>
      </c>
      <c r="BL2276" s="296">
        <v>0</v>
      </c>
      <c r="BM2276" s="300">
        <v>0</v>
      </c>
      <c r="BN2276" s="23">
        <v>0</v>
      </c>
      <c r="BO2276" s="23">
        <v>0</v>
      </c>
      <c r="BP2276" s="23">
        <v>0</v>
      </c>
      <c r="BQ2276" s="23">
        <v>0</v>
      </c>
      <c r="BR2276" s="23">
        <v>0</v>
      </c>
      <c r="BS2276" s="23">
        <v>1</v>
      </c>
      <c r="BT2276" s="23">
        <v>0</v>
      </c>
      <c r="BU2276" s="23">
        <v>0</v>
      </c>
      <c r="BV2276" s="23"/>
      <c r="BW2276" s="23"/>
      <c r="BX2276" s="23"/>
      <c r="BY2276" s="23"/>
      <c r="BZ2276" s="23"/>
    </row>
    <row r="2277" spans="3:78" ht="19.5" customHeight="1">
      <c r="C2277" s="294">
        <v>77001206</v>
      </c>
      <c r="D2277" s="295" t="s">
        <v>5238</v>
      </c>
      <c r="E2277" s="295" t="s">
        <v>3356</v>
      </c>
      <c r="F2277" s="294">
        <v>1</v>
      </c>
      <c r="G2277" s="296">
        <v>0</v>
      </c>
      <c r="H2277" s="294">
        <v>0</v>
      </c>
      <c r="I2277" s="297">
        <v>0</v>
      </c>
      <c r="J2277" s="294">
        <v>1</v>
      </c>
      <c r="K2277" s="294">
        <v>0</v>
      </c>
      <c r="L2277" s="294">
        <v>0</v>
      </c>
      <c r="M2277" s="296">
        <v>0</v>
      </c>
      <c r="N2277" s="296">
        <v>0</v>
      </c>
      <c r="O2277" s="296">
        <v>2</v>
      </c>
      <c r="P2277" s="296" t="s">
        <v>5239</v>
      </c>
      <c r="Q2277" s="296" t="s">
        <v>5240</v>
      </c>
      <c r="R2277" s="296">
        <v>0</v>
      </c>
      <c r="S2277" s="23">
        <v>0</v>
      </c>
      <c r="T2277" s="296">
        <v>0</v>
      </c>
      <c r="U2277" s="296">
        <v>1</v>
      </c>
      <c r="V2277" s="296">
        <v>2</v>
      </c>
      <c r="W2277" s="296">
        <v>0</v>
      </c>
      <c r="X2277" s="296">
        <v>1.5</v>
      </c>
      <c r="Y2277" s="19">
        <v>0</v>
      </c>
      <c r="Z2277" s="296">
        <v>0</v>
      </c>
      <c r="AA2277" s="296">
        <v>0</v>
      </c>
      <c r="AB2277" s="296">
        <v>0</v>
      </c>
      <c r="AC2277" s="296">
        <v>0</v>
      </c>
      <c r="AD2277" s="296">
        <v>0</v>
      </c>
      <c r="AE2277" s="296">
        <v>1</v>
      </c>
      <c r="AF2277" s="296">
        <v>18</v>
      </c>
      <c r="AG2277" s="296">
        <v>1</v>
      </c>
      <c r="AH2277" s="296">
        <v>2</v>
      </c>
      <c r="AI2277" s="23">
        <v>0</v>
      </c>
      <c r="AJ2277" s="23">
        <v>2</v>
      </c>
      <c r="AK2277" s="23">
        <v>0</v>
      </c>
      <c r="AL2277" s="23">
        <v>2</v>
      </c>
      <c r="AM2277" s="296">
        <v>0</v>
      </c>
      <c r="AN2277" s="296">
        <v>0</v>
      </c>
      <c r="AO2277" s="296">
        <v>0</v>
      </c>
      <c r="AP2277" s="296">
        <v>1</v>
      </c>
      <c r="AQ2277" s="296">
        <v>12000</v>
      </c>
      <c r="AR2277" s="296">
        <v>1</v>
      </c>
      <c r="AS2277" s="296">
        <v>10</v>
      </c>
      <c r="AT2277" s="302">
        <v>0</v>
      </c>
      <c r="AU2277" s="359" t="s">
        <v>5241</v>
      </c>
      <c r="AV2277" s="301"/>
      <c r="AW2277" s="295" t="s">
        <v>205</v>
      </c>
      <c r="AX2277" s="296" t="s">
        <v>540</v>
      </c>
      <c r="AY2277" s="294">
        <v>10000007</v>
      </c>
      <c r="AZ2277" s="360" t="s">
        <v>5242</v>
      </c>
      <c r="BA2277" s="295" t="s">
        <v>592</v>
      </c>
      <c r="BB2277" s="296" t="s">
        <v>5243</v>
      </c>
      <c r="BC2277" s="297">
        <v>0</v>
      </c>
      <c r="BD2277" s="297">
        <v>0</v>
      </c>
      <c r="BE2277" s="299" t="s">
        <v>5244</v>
      </c>
      <c r="BF2277" s="299" t="s">
        <v>5245</v>
      </c>
      <c r="BG2277" s="296">
        <v>0</v>
      </c>
      <c r="BH2277" s="296">
        <v>0</v>
      </c>
      <c r="BI2277" s="296">
        <v>0</v>
      </c>
      <c r="BJ2277" s="296">
        <v>0</v>
      </c>
      <c r="BK2277" s="296">
        <v>0</v>
      </c>
      <c r="BL2277" s="296">
        <v>0</v>
      </c>
      <c r="BM2277" s="300">
        <v>0</v>
      </c>
      <c r="BN2277" s="23">
        <v>0</v>
      </c>
      <c r="BO2277" s="23">
        <v>0</v>
      </c>
      <c r="BP2277" s="23">
        <v>0</v>
      </c>
      <c r="BQ2277" s="23">
        <v>0</v>
      </c>
      <c r="BR2277" s="23">
        <v>0</v>
      </c>
      <c r="BS2277" s="23">
        <v>0</v>
      </c>
      <c r="BT2277" s="23">
        <v>0</v>
      </c>
      <c r="BU2277" s="23">
        <v>0</v>
      </c>
      <c r="BV2277" s="23"/>
      <c r="BW2277" s="23"/>
      <c r="BX2277" s="23"/>
      <c r="BY2277" s="23"/>
      <c r="BZ2277" s="23"/>
    </row>
    <row r="2278" spans="3:78" ht="19.5" customHeight="1">
      <c r="C2278" s="107">
        <v>77001301</v>
      </c>
      <c r="D2278" s="108" t="s">
        <v>1201</v>
      </c>
      <c r="E2278" s="108" t="s">
        <v>1202</v>
      </c>
      <c r="F2278" s="97">
        <v>1</v>
      </c>
      <c r="G2278" s="97">
        <v>0</v>
      </c>
      <c r="H2278" s="97">
        <v>0</v>
      </c>
      <c r="I2278" s="98">
        <v>0</v>
      </c>
      <c r="J2278" s="97">
        <v>1</v>
      </c>
      <c r="K2278" s="97">
        <v>0</v>
      </c>
      <c r="L2278" s="98">
        <v>0</v>
      </c>
      <c r="M2278" s="98">
        <v>0</v>
      </c>
      <c r="N2278" s="97">
        <v>0</v>
      </c>
      <c r="O2278" s="97">
        <v>2</v>
      </c>
      <c r="P2278" s="97">
        <v>2</v>
      </c>
      <c r="Q2278" s="97">
        <v>0.5</v>
      </c>
      <c r="R2278" s="97">
        <v>1</v>
      </c>
      <c r="S2278" s="99">
        <v>0</v>
      </c>
      <c r="T2278" s="97">
        <v>0</v>
      </c>
      <c r="U2278" s="100">
        <v>1</v>
      </c>
      <c r="V2278" s="97">
        <v>1</v>
      </c>
      <c r="W2278" s="98">
        <v>0</v>
      </c>
      <c r="X2278" s="97">
        <v>5</v>
      </c>
      <c r="Y2278" s="19">
        <v>0</v>
      </c>
      <c r="Z2278" s="97">
        <v>0</v>
      </c>
      <c r="AA2278" s="97">
        <v>0</v>
      </c>
      <c r="AB2278" s="97">
        <v>0</v>
      </c>
      <c r="AC2278" s="98">
        <v>0</v>
      </c>
      <c r="AD2278" s="97">
        <v>0</v>
      </c>
      <c r="AE2278" s="97">
        <v>0</v>
      </c>
      <c r="AF2278" s="97">
        <v>99999</v>
      </c>
      <c r="AG2278" s="97">
        <v>1</v>
      </c>
      <c r="AH2278" s="97">
        <v>5</v>
      </c>
      <c r="AI2278" s="101">
        <v>0</v>
      </c>
      <c r="AJ2278" s="101">
        <v>0</v>
      </c>
      <c r="AK2278" s="99">
        <v>0</v>
      </c>
      <c r="AL2278" s="97">
        <v>0</v>
      </c>
      <c r="AM2278" s="102">
        <v>0</v>
      </c>
      <c r="AN2278" s="97">
        <v>1.5</v>
      </c>
      <c r="AO2278" s="97">
        <v>0</v>
      </c>
      <c r="AP2278" s="97">
        <v>1</v>
      </c>
      <c r="AQ2278" s="97">
        <v>2000</v>
      </c>
      <c r="AR2278" s="97">
        <v>1</v>
      </c>
      <c r="AS2278" s="97">
        <v>0</v>
      </c>
      <c r="AT2278" s="323" t="s">
        <v>5246</v>
      </c>
      <c r="AU2278" s="97">
        <v>0</v>
      </c>
      <c r="AV2278" s="115"/>
      <c r="AW2278" s="104" t="s">
        <v>205</v>
      </c>
      <c r="AX2278" s="98">
        <v>0</v>
      </c>
      <c r="AY2278" s="98">
        <v>0</v>
      </c>
      <c r="AZ2278" s="98">
        <v>77001305</v>
      </c>
      <c r="BA2278" s="110" t="s">
        <v>534</v>
      </c>
      <c r="BB2278" s="97" t="s">
        <v>5247</v>
      </c>
      <c r="BC2278" s="116">
        <v>0</v>
      </c>
      <c r="BD2278" s="105">
        <v>0</v>
      </c>
      <c r="BE2278" s="106" t="s">
        <v>5248</v>
      </c>
      <c r="BF2278" s="106" t="s">
        <v>5249</v>
      </c>
      <c r="BG2278" s="97">
        <v>0</v>
      </c>
      <c r="BH2278" s="97">
        <v>0</v>
      </c>
      <c r="BI2278" s="107">
        <v>0</v>
      </c>
      <c r="BJ2278" s="97">
        <v>0</v>
      </c>
      <c r="BK2278" s="97">
        <v>0</v>
      </c>
      <c r="BL2278" s="102">
        <v>0</v>
      </c>
      <c r="BM2278" s="97">
        <v>0</v>
      </c>
      <c r="BN2278" s="99">
        <v>0</v>
      </c>
      <c r="BO2278" s="99">
        <v>0</v>
      </c>
      <c r="BP2278" s="99">
        <v>0</v>
      </c>
      <c r="BQ2278" s="99">
        <v>0</v>
      </c>
      <c r="BR2278" s="99">
        <v>0</v>
      </c>
      <c r="BS2278" s="99">
        <v>0</v>
      </c>
      <c r="BT2278" s="99">
        <v>0</v>
      </c>
      <c r="BU2278" s="23">
        <v>0</v>
      </c>
      <c r="BV2278" s="23"/>
      <c r="BW2278" s="23"/>
      <c r="BX2278" s="23"/>
      <c r="BY2278" s="23"/>
      <c r="BZ2278" s="23"/>
    </row>
    <row r="2279" spans="3:78" ht="19.5" hidden="1" customHeight="1">
      <c r="C2279" s="107">
        <v>77001302</v>
      </c>
      <c r="D2279" s="110" t="s">
        <v>810</v>
      </c>
      <c r="E2279" s="303" t="s">
        <v>811</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8</v>
      </c>
      <c r="AG2279" s="100">
        <v>2</v>
      </c>
      <c r="AH2279" s="100" t="s">
        <v>219</v>
      </c>
      <c r="AI2279" s="99">
        <v>0</v>
      </c>
      <c r="AJ2279" s="99">
        <v>2</v>
      </c>
      <c r="AK2279" s="99">
        <v>0</v>
      </c>
      <c r="AL2279" s="99">
        <v>1.5</v>
      </c>
      <c r="AM2279" s="100">
        <v>0</v>
      </c>
      <c r="AN2279" s="100">
        <v>0</v>
      </c>
      <c r="AO2279" s="100">
        <v>0</v>
      </c>
      <c r="AP2279" s="100">
        <v>1.5</v>
      </c>
      <c r="AQ2279" s="100">
        <v>1600</v>
      </c>
      <c r="AR2279" s="100">
        <v>1</v>
      </c>
      <c r="AS2279" s="100">
        <v>15</v>
      </c>
      <c r="AT2279" s="326" t="s">
        <v>5250</v>
      </c>
      <c r="AU2279" s="327" t="s">
        <v>5251</v>
      </c>
      <c r="AV2279" s="118"/>
      <c r="AW2279" s="110" t="s">
        <v>262</v>
      </c>
      <c r="AX2279" s="100" t="s">
        <v>221</v>
      </c>
      <c r="AY2279" s="107">
        <v>10000011</v>
      </c>
      <c r="AZ2279" s="107">
        <v>77001301</v>
      </c>
      <c r="BA2279" s="110" t="s">
        <v>222</v>
      </c>
      <c r="BB2279" s="100">
        <v>0</v>
      </c>
      <c r="BC2279" s="105">
        <v>0</v>
      </c>
      <c r="BD2279" s="105">
        <v>0</v>
      </c>
      <c r="BE2279" s="111" t="s">
        <v>5252</v>
      </c>
      <c r="BF2279" s="111" t="s">
        <v>5253</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77001305</v>
      </c>
      <c r="BU2279" s="23">
        <v>0</v>
      </c>
      <c r="BV2279" s="23"/>
      <c r="BW2279" s="23"/>
      <c r="BX2279" s="23"/>
      <c r="BY2279" s="23"/>
      <c r="BZ2279" s="23"/>
    </row>
    <row r="2280" spans="3:78" ht="20.100000000000001" customHeight="1">
      <c r="C2280" s="107">
        <v>77001303</v>
      </c>
      <c r="D2280" s="110" t="s">
        <v>816</v>
      </c>
      <c r="E2280" s="303" t="s">
        <v>817</v>
      </c>
      <c r="F2280" s="97">
        <v>1</v>
      </c>
      <c r="G2280" s="97">
        <v>0</v>
      </c>
      <c r="H2280" s="100">
        <v>0</v>
      </c>
      <c r="I2280" s="105">
        <v>0</v>
      </c>
      <c r="J2280" s="107">
        <v>1</v>
      </c>
      <c r="K2280" s="107">
        <v>0</v>
      </c>
      <c r="L2280" s="107">
        <v>0</v>
      </c>
      <c r="M2280" s="100">
        <v>0</v>
      </c>
      <c r="N2280" s="100">
        <v>0</v>
      </c>
      <c r="O2280" s="100">
        <v>2</v>
      </c>
      <c r="P2280" s="100">
        <v>3</v>
      </c>
      <c r="Q2280" s="100">
        <v>0.2</v>
      </c>
      <c r="R2280" s="100">
        <v>0</v>
      </c>
      <c r="S2280" s="99">
        <v>0</v>
      </c>
      <c r="T2280" s="100">
        <v>0</v>
      </c>
      <c r="U2280" s="100">
        <v>1</v>
      </c>
      <c r="V2280" s="97">
        <v>1</v>
      </c>
      <c r="W2280" s="100">
        <v>0</v>
      </c>
      <c r="X2280" s="100">
        <v>3</v>
      </c>
      <c r="Y2280" s="19">
        <v>0</v>
      </c>
      <c r="Z2280" s="100">
        <v>0</v>
      </c>
      <c r="AA2280" s="100">
        <v>1</v>
      </c>
      <c r="AB2280" s="100">
        <v>0</v>
      </c>
      <c r="AC2280" s="100">
        <v>0</v>
      </c>
      <c r="AD2280" s="100">
        <v>0</v>
      </c>
      <c r="AE2280" s="100">
        <v>1</v>
      </c>
      <c r="AF2280" s="100">
        <v>5</v>
      </c>
      <c r="AG2280" s="100">
        <v>1</v>
      </c>
      <c r="AH2280" s="100">
        <v>6</v>
      </c>
      <c r="AI2280" s="99">
        <v>0</v>
      </c>
      <c r="AJ2280" s="99">
        <v>1</v>
      </c>
      <c r="AK2280" s="99">
        <v>0</v>
      </c>
      <c r="AL2280" s="99">
        <v>3</v>
      </c>
      <c r="AM2280" s="100">
        <v>0</v>
      </c>
      <c r="AN2280" s="100">
        <v>1</v>
      </c>
      <c r="AO2280" s="100">
        <v>0</v>
      </c>
      <c r="AP2280" s="100">
        <v>1</v>
      </c>
      <c r="AQ2280" s="100">
        <v>3000</v>
      </c>
      <c r="AR2280" s="100">
        <v>1</v>
      </c>
      <c r="AS2280" s="100">
        <v>0</v>
      </c>
      <c r="AT2280" s="99">
        <v>0</v>
      </c>
      <c r="AU2280" s="327" t="s">
        <v>5251</v>
      </c>
      <c r="AV2280" s="118"/>
      <c r="AW2280" s="110" t="s">
        <v>623</v>
      </c>
      <c r="AX2280" s="100" t="s">
        <v>221</v>
      </c>
      <c r="AY2280" s="107">
        <v>10000011</v>
      </c>
      <c r="AZ2280" s="107">
        <v>77001302</v>
      </c>
      <c r="BA2280" s="104" t="s">
        <v>206</v>
      </c>
      <c r="BB2280" s="100">
        <v>0</v>
      </c>
      <c r="BC2280" s="105">
        <v>0</v>
      </c>
      <c r="BD2280" s="105">
        <v>0</v>
      </c>
      <c r="BE2280" s="111" t="s">
        <v>818</v>
      </c>
      <c r="BF2280" s="111" t="s">
        <v>819</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20.100000000000001" customHeight="1">
      <c r="C2281" s="107">
        <v>77001304</v>
      </c>
      <c r="D2281" s="119" t="s">
        <v>820</v>
      </c>
      <c r="E2281" s="119" t="s">
        <v>821</v>
      </c>
      <c r="F2281" s="97">
        <v>1</v>
      </c>
      <c r="G2281" s="97">
        <v>0</v>
      </c>
      <c r="H2281" s="97">
        <v>0</v>
      </c>
      <c r="I2281" s="98">
        <v>0</v>
      </c>
      <c r="J2281" s="97">
        <v>0</v>
      </c>
      <c r="K2281" s="97">
        <v>0</v>
      </c>
      <c r="L2281" s="98">
        <v>0</v>
      </c>
      <c r="M2281" s="98">
        <v>0</v>
      </c>
      <c r="N2281" s="97">
        <v>0</v>
      </c>
      <c r="O2281" s="100">
        <v>2</v>
      </c>
      <c r="P2281" s="100">
        <v>2</v>
      </c>
      <c r="Q2281" s="97">
        <v>0.8</v>
      </c>
      <c r="R2281" s="97">
        <v>0</v>
      </c>
      <c r="S2281" s="99">
        <v>0</v>
      </c>
      <c r="T2281" s="97">
        <v>0</v>
      </c>
      <c r="U2281" s="100">
        <v>1</v>
      </c>
      <c r="V2281" s="97">
        <v>1</v>
      </c>
      <c r="W2281" s="98">
        <v>0</v>
      </c>
      <c r="X2281" s="97">
        <v>3</v>
      </c>
      <c r="Y2281" s="19">
        <v>0</v>
      </c>
      <c r="Z2281" s="97">
        <v>0</v>
      </c>
      <c r="AA2281" s="97">
        <v>0</v>
      </c>
      <c r="AB2281" s="97">
        <v>0</v>
      </c>
      <c r="AC2281" s="98">
        <v>0</v>
      </c>
      <c r="AD2281" s="97">
        <v>0</v>
      </c>
      <c r="AE2281" s="97">
        <v>0</v>
      </c>
      <c r="AF2281" s="97">
        <v>12</v>
      </c>
      <c r="AG2281" s="97">
        <v>1</v>
      </c>
      <c r="AH2281" s="100">
        <v>2</v>
      </c>
      <c r="AI2281" s="101">
        <v>0</v>
      </c>
      <c r="AJ2281" s="101">
        <v>2</v>
      </c>
      <c r="AK2281" s="99">
        <v>0</v>
      </c>
      <c r="AL2281" s="97">
        <v>1.5</v>
      </c>
      <c r="AM2281" s="102">
        <v>0</v>
      </c>
      <c r="AN2281" s="97">
        <v>0</v>
      </c>
      <c r="AO2281" s="97">
        <v>0</v>
      </c>
      <c r="AP2281" s="97">
        <v>2.5</v>
      </c>
      <c r="AQ2281" s="100">
        <v>8000</v>
      </c>
      <c r="AR2281" s="97">
        <v>1.5</v>
      </c>
      <c r="AS2281" s="97">
        <v>10</v>
      </c>
      <c r="AT2281" s="99">
        <v>0</v>
      </c>
      <c r="AU2281" s="327" t="s">
        <v>5254</v>
      </c>
      <c r="AV2281" s="118"/>
      <c r="AW2281" s="104" t="s">
        <v>293</v>
      </c>
      <c r="AX2281" s="98">
        <v>0</v>
      </c>
      <c r="AY2281" s="98">
        <v>0</v>
      </c>
      <c r="AZ2281" s="107">
        <v>77001303</v>
      </c>
      <c r="BA2281" s="104" t="s">
        <v>592</v>
      </c>
      <c r="BB2281" s="100" t="s">
        <v>822</v>
      </c>
      <c r="BC2281" s="105">
        <v>0</v>
      </c>
      <c r="BD2281" s="105">
        <v>0</v>
      </c>
      <c r="BE2281" s="111" t="s">
        <v>5255</v>
      </c>
      <c r="BF2281" s="120" t="s">
        <v>5256</v>
      </c>
      <c r="BG2281" s="97">
        <v>2</v>
      </c>
      <c r="BH2281" s="97">
        <v>0</v>
      </c>
      <c r="BI2281" s="107">
        <v>0</v>
      </c>
      <c r="BJ2281" s="97">
        <v>1</v>
      </c>
      <c r="BK2281" s="97">
        <v>2</v>
      </c>
      <c r="BL2281" s="102">
        <v>0</v>
      </c>
      <c r="BM2281" s="97">
        <v>0</v>
      </c>
      <c r="BN2281" s="99">
        <v>0</v>
      </c>
      <c r="BO2281" s="99">
        <v>0</v>
      </c>
      <c r="BP2281" s="99">
        <v>0</v>
      </c>
      <c r="BQ2281" s="99">
        <v>0</v>
      </c>
      <c r="BR2281" s="99">
        <v>0</v>
      </c>
      <c r="BS2281" s="99">
        <v>0</v>
      </c>
      <c r="BT2281" s="99">
        <v>0</v>
      </c>
      <c r="BU2281" s="23">
        <v>0</v>
      </c>
      <c r="BV2281" s="23"/>
      <c r="BW2281" s="23"/>
      <c r="BX2281" s="23"/>
      <c r="BY2281" s="23"/>
      <c r="BZ2281" s="23"/>
    </row>
    <row r="2282" spans="3:78" ht="20.100000000000001" customHeight="1">
      <c r="C2282" s="107">
        <v>77001305</v>
      </c>
      <c r="D2282" s="110" t="s">
        <v>766</v>
      </c>
      <c r="E2282" s="303" t="s">
        <v>767</v>
      </c>
      <c r="F2282" s="97">
        <v>1</v>
      </c>
      <c r="G2282" s="97">
        <v>0</v>
      </c>
      <c r="H2282" s="100">
        <v>0</v>
      </c>
      <c r="I2282" s="105">
        <v>0</v>
      </c>
      <c r="J2282" s="107">
        <v>1</v>
      </c>
      <c r="K2282" s="107">
        <v>0</v>
      </c>
      <c r="L2282" s="107">
        <v>0</v>
      </c>
      <c r="M2282" s="100">
        <v>0</v>
      </c>
      <c r="N2282" s="100">
        <v>0</v>
      </c>
      <c r="O2282" s="100">
        <v>2</v>
      </c>
      <c r="P2282" s="100">
        <v>1</v>
      </c>
      <c r="Q2282" s="100">
        <v>0.2</v>
      </c>
      <c r="R2282" s="100">
        <v>0</v>
      </c>
      <c r="S2282" s="99">
        <v>0</v>
      </c>
      <c r="T2282" s="100">
        <v>0</v>
      </c>
      <c r="U2282" s="100">
        <v>1</v>
      </c>
      <c r="V2282" s="97">
        <v>1</v>
      </c>
      <c r="W2282" s="100">
        <v>0</v>
      </c>
      <c r="X2282" s="100">
        <v>1</v>
      </c>
      <c r="Y2282" s="19">
        <v>0</v>
      </c>
      <c r="Z2282" s="100">
        <v>150</v>
      </c>
      <c r="AA2282" s="100">
        <v>1</v>
      </c>
      <c r="AB2282" s="100">
        <v>0</v>
      </c>
      <c r="AC2282" s="100">
        <v>0</v>
      </c>
      <c r="AD2282" s="100">
        <v>0</v>
      </c>
      <c r="AE2282" s="100">
        <v>1</v>
      </c>
      <c r="AF2282" s="100">
        <v>12</v>
      </c>
      <c r="AG2282" s="100">
        <v>2</v>
      </c>
      <c r="AH2282" s="100" t="s">
        <v>219</v>
      </c>
      <c r="AI2282" s="99">
        <v>0</v>
      </c>
      <c r="AJ2282" s="99">
        <v>2</v>
      </c>
      <c r="AK2282" s="99">
        <v>0</v>
      </c>
      <c r="AL2282" s="99">
        <v>1.5</v>
      </c>
      <c r="AM2282" s="100">
        <v>0</v>
      </c>
      <c r="AN2282" s="100">
        <v>0</v>
      </c>
      <c r="AO2282" s="100">
        <v>0</v>
      </c>
      <c r="AP2282" s="100">
        <v>1.5</v>
      </c>
      <c r="AQ2282" s="100">
        <v>1600</v>
      </c>
      <c r="AR2282" s="100">
        <v>1</v>
      </c>
      <c r="AS2282" s="100">
        <v>15</v>
      </c>
      <c r="AT2282" s="323" t="s">
        <v>5250</v>
      </c>
      <c r="AU2282" s="327" t="s">
        <v>5251</v>
      </c>
      <c r="AV2282" s="118"/>
      <c r="AW2282" s="110" t="s">
        <v>262</v>
      </c>
      <c r="AX2282" s="100" t="s">
        <v>221</v>
      </c>
      <c r="AY2282" s="107">
        <v>10000011</v>
      </c>
      <c r="AZ2282" s="107">
        <v>77001301</v>
      </c>
      <c r="BA2282" s="110" t="s">
        <v>222</v>
      </c>
      <c r="BB2282" s="100">
        <v>0</v>
      </c>
      <c r="BC2282" s="105">
        <v>0</v>
      </c>
      <c r="BD2282" s="105">
        <v>0</v>
      </c>
      <c r="BE2282" s="111" t="s">
        <v>5257</v>
      </c>
      <c r="BF2282" s="111" t="s">
        <v>5258</v>
      </c>
      <c r="BG2282" s="100">
        <v>0</v>
      </c>
      <c r="BH2282" s="100">
        <v>0</v>
      </c>
      <c r="BI2282" s="100">
        <v>0</v>
      </c>
      <c r="BJ2282" s="100">
        <v>0</v>
      </c>
      <c r="BK2282" s="100">
        <v>0</v>
      </c>
      <c r="BL2282" s="100">
        <v>0</v>
      </c>
      <c r="BM2282" s="97">
        <v>0</v>
      </c>
      <c r="BN2282" s="99">
        <v>0</v>
      </c>
      <c r="BO2282" s="99">
        <v>0</v>
      </c>
      <c r="BP2282" s="99">
        <v>0</v>
      </c>
      <c r="BQ2282" s="99">
        <v>0</v>
      </c>
      <c r="BR2282" s="99">
        <v>0</v>
      </c>
      <c r="BS2282" s="99">
        <v>0</v>
      </c>
      <c r="BT2282" s="99">
        <v>77001306</v>
      </c>
      <c r="BU2282" s="23">
        <v>0</v>
      </c>
      <c r="BV2282" s="23"/>
      <c r="BW2282" s="23"/>
      <c r="BX2282" s="23"/>
      <c r="BY2282" s="23"/>
      <c r="BZ2282" s="23"/>
    </row>
    <row r="2283" spans="3:78" ht="20.100000000000001" customHeight="1">
      <c r="C2283" s="107">
        <v>77001306</v>
      </c>
      <c r="D2283" s="110" t="s">
        <v>766</v>
      </c>
      <c r="E2283" s="303" t="s">
        <v>767</v>
      </c>
      <c r="F2283" s="97">
        <v>1</v>
      </c>
      <c r="G2283" s="97">
        <v>0</v>
      </c>
      <c r="H2283" s="100">
        <v>0</v>
      </c>
      <c r="I2283" s="105">
        <v>0</v>
      </c>
      <c r="J2283" s="107">
        <v>1</v>
      </c>
      <c r="K2283" s="107">
        <v>0</v>
      </c>
      <c r="L2283" s="107">
        <v>0</v>
      </c>
      <c r="M2283" s="100">
        <v>0</v>
      </c>
      <c r="N2283" s="100">
        <v>0</v>
      </c>
      <c r="O2283" s="100">
        <v>2</v>
      </c>
      <c r="P2283" s="100">
        <v>1</v>
      </c>
      <c r="Q2283" s="100">
        <v>0.2</v>
      </c>
      <c r="R2283" s="100">
        <v>0</v>
      </c>
      <c r="S2283" s="99">
        <v>0</v>
      </c>
      <c r="T2283" s="100">
        <v>0</v>
      </c>
      <c r="U2283" s="100">
        <v>1</v>
      </c>
      <c r="V2283" s="97">
        <v>1</v>
      </c>
      <c r="W2283" s="100">
        <v>0</v>
      </c>
      <c r="X2283" s="100">
        <v>1</v>
      </c>
      <c r="Y2283" s="19">
        <v>0</v>
      </c>
      <c r="Z2283" s="100">
        <v>150</v>
      </c>
      <c r="AA2283" s="100">
        <v>1</v>
      </c>
      <c r="AB2283" s="100">
        <v>0</v>
      </c>
      <c r="AC2283" s="100">
        <v>0</v>
      </c>
      <c r="AD2283" s="100">
        <v>0</v>
      </c>
      <c r="AE2283" s="100">
        <v>1</v>
      </c>
      <c r="AF2283" s="100">
        <v>12</v>
      </c>
      <c r="AG2283" s="100">
        <v>2</v>
      </c>
      <c r="AH2283" s="100" t="s">
        <v>219</v>
      </c>
      <c r="AI2283" s="99">
        <v>0</v>
      </c>
      <c r="AJ2283" s="99">
        <v>2</v>
      </c>
      <c r="AK2283" s="99">
        <v>0</v>
      </c>
      <c r="AL2283" s="99">
        <v>1.5</v>
      </c>
      <c r="AM2283" s="100">
        <v>0</v>
      </c>
      <c r="AN2283" s="100">
        <v>0</v>
      </c>
      <c r="AO2283" s="100">
        <v>0</v>
      </c>
      <c r="AP2283" s="100">
        <v>1.5</v>
      </c>
      <c r="AQ2283" s="100">
        <v>1600</v>
      </c>
      <c r="AR2283" s="100">
        <v>1</v>
      </c>
      <c r="AS2283" s="100">
        <v>15</v>
      </c>
      <c r="AT2283" s="323" t="s">
        <v>5250</v>
      </c>
      <c r="AU2283" s="327" t="s">
        <v>5251</v>
      </c>
      <c r="AV2283" s="118"/>
      <c r="AW2283" s="110" t="s">
        <v>262</v>
      </c>
      <c r="AX2283" s="100" t="s">
        <v>221</v>
      </c>
      <c r="AY2283" s="107">
        <v>10000011</v>
      </c>
      <c r="AZ2283" s="107">
        <v>77001301</v>
      </c>
      <c r="BA2283" s="110" t="s">
        <v>222</v>
      </c>
      <c r="BB2283" s="100">
        <v>0</v>
      </c>
      <c r="BC2283" s="105">
        <v>0</v>
      </c>
      <c r="BD2283" s="105">
        <v>0</v>
      </c>
      <c r="BE2283" s="111" t="s">
        <v>5257</v>
      </c>
      <c r="BF2283" s="111" t="s">
        <v>5258</v>
      </c>
      <c r="BG2283" s="100">
        <v>0</v>
      </c>
      <c r="BH2283" s="100">
        <v>0</v>
      </c>
      <c r="BI2283" s="100">
        <v>0</v>
      </c>
      <c r="BJ2283" s="100">
        <v>0</v>
      </c>
      <c r="BK2283" s="100">
        <v>0</v>
      </c>
      <c r="BL2283" s="100">
        <v>0</v>
      </c>
      <c r="BM2283" s="97">
        <v>0</v>
      </c>
      <c r="BN2283" s="99">
        <v>0</v>
      </c>
      <c r="BO2283" s="99">
        <v>0</v>
      </c>
      <c r="BP2283" s="99">
        <v>0</v>
      </c>
      <c r="BQ2283" s="99">
        <v>0</v>
      </c>
      <c r="BR2283" s="99">
        <v>0</v>
      </c>
      <c r="BS2283" s="99">
        <v>0</v>
      </c>
      <c r="BT2283" s="99">
        <v>77001304</v>
      </c>
      <c r="BU2283" s="23">
        <v>0</v>
      </c>
      <c r="BV2283" s="23"/>
      <c r="BW2283" s="23"/>
      <c r="BX2283" s="23"/>
      <c r="BY2283" s="23"/>
      <c r="BZ2283" s="23"/>
    </row>
    <row r="2284" spans="3:78" ht="20.100000000000001" customHeight="1">
      <c r="C2284" s="107">
        <v>77001307</v>
      </c>
      <c r="D2284" s="110" t="s">
        <v>5259</v>
      </c>
      <c r="E2284" s="303" t="s">
        <v>5260</v>
      </c>
      <c r="F2284" s="97">
        <v>1</v>
      </c>
      <c r="G2284" s="97">
        <v>0</v>
      </c>
      <c r="H2284" s="107">
        <v>0</v>
      </c>
      <c r="I2284" s="105">
        <v>0</v>
      </c>
      <c r="J2284" s="107">
        <v>1</v>
      </c>
      <c r="K2284" s="107">
        <v>0</v>
      </c>
      <c r="L2284" s="107">
        <v>0</v>
      </c>
      <c r="M2284" s="100">
        <v>0</v>
      </c>
      <c r="N2284" s="100">
        <v>0</v>
      </c>
      <c r="O2284" s="100">
        <v>2</v>
      </c>
      <c r="P2284" s="100">
        <v>16</v>
      </c>
      <c r="Q2284" s="100">
        <v>5</v>
      </c>
      <c r="R2284" s="100">
        <v>0</v>
      </c>
      <c r="S2284" s="99">
        <v>0</v>
      </c>
      <c r="T2284" s="100">
        <v>0</v>
      </c>
      <c r="U2284" s="100">
        <v>1</v>
      </c>
      <c r="V2284" s="97">
        <v>1</v>
      </c>
      <c r="W2284" s="100">
        <v>0</v>
      </c>
      <c r="X2284" s="100">
        <v>2</v>
      </c>
      <c r="Y2284" s="19">
        <v>0</v>
      </c>
      <c r="Z2284" s="100">
        <v>0</v>
      </c>
      <c r="AA2284" s="100">
        <v>0</v>
      </c>
      <c r="AB2284" s="100">
        <v>0</v>
      </c>
      <c r="AC2284" s="100">
        <v>0</v>
      </c>
      <c r="AD2284" s="100">
        <v>0</v>
      </c>
      <c r="AE2284" s="100">
        <v>0</v>
      </c>
      <c r="AF2284" s="100">
        <v>0</v>
      </c>
      <c r="AG2284" s="100">
        <v>2</v>
      </c>
      <c r="AH2284" s="100" t="s">
        <v>219</v>
      </c>
      <c r="AI2284" s="99">
        <v>0</v>
      </c>
      <c r="AJ2284" s="99">
        <v>2</v>
      </c>
      <c r="AK2284" s="99">
        <v>0</v>
      </c>
      <c r="AL2284" s="99">
        <v>1.5</v>
      </c>
      <c r="AM2284" s="100">
        <v>0</v>
      </c>
      <c r="AN2284" s="100">
        <v>0</v>
      </c>
      <c r="AO2284" s="100">
        <v>0</v>
      </c>
      <c r="AP2284" s="100">
        <v>1</v>
      </c>
      <c r="AQ2284" s="100">
        <v>2000</v>
      </c>
      <c r="AR2284" s="100">
        <v>1</v>
      </c>
      <c r="AS2284" s="100">
        <v>0</v>
      </c>
      <c r="AT2284" s="99">
        <v>0</v>
      </c>
      <c r="AU2284" s="327" t="s">
        <v>5251</v>
      </c>
      <c r="AV2284" s="118"/>
      <c r="AW2284" s="104" t="s">
        <v>204</v>
      </c>
      <c r="AX2284" s="100" t="s">
        <v>551</v>
      </c>
      <c r="AY2284" s="107">
        <v>10001007</v>
      </c>
      <c r="AZ2284" s="107">
        <v>77001304</v>
      </c>
      <c r="BA2284" s="110" t="s">
        <v>206</v>
      </c>
      <c r="BB2284" s="100">
        <v>0</v>
      </c>
      <c r="BC2284" s="105">
        <v>0</v>
      </c>
      <c r="BD2284" s="105">
        <v>0</v>
      </c>
      <c r="BE2284" s="111" t="s">
        <v>5261</v>
      </c>
      <c r="BF2284" s="111" t="s">
        <v>5262</v>
      </c>
      <c r="BG2284" s="100">
        <v>0</v>
      </c>
      <c r="BH2284" s="100">
        <v>0</v>
      </c>
      <c r="BI2284" s="100">
        <v>0</v>
      </c>
      <c r="BJ2284" s="100">
        <v>0</v>
      </c>
      <c r="BK2284" s="100">
        <v>0</v>
      </c>
      <c r="BL2284" s="100">
        <v>0</v>
      </c>
      <c r="BM2284" s="97">
        <v>0</v>
      </c>
      <c r="BN2284" s="99">
        <v>0</v>
      </c>
      <c r="BO2284" s="99">
        <v>0</v>
      </c>
      <c r="BP2284" s="99">
        <v>0</v>
      </c>
      <c r="BQ2284" s="99">
        <v>0</v>
      </c>
      <c r="BR2284" s="99">
        <v>0</v>
      </c>
      <c r="BS2284" s="99">
        <v>0</v>
      </c>
      <c r="BT2284" s="99">
        <v>0</v>
      </c>
      <c r="BU2284" s="23">
        <v>0</v>
      </c>
      <c r="BV2284" s="23"/>
      <c r="BW2284" s="23"/>
      <c r="BX2284" s="23"/>
      <c r="BY2284" s="23"/>
      <c r="BZ2284" s="23"/>
    </row>
    <row r="2285" spans="3:78" ht="19.5" customHeight="1">
      <c r="C2285" s="74">
        <v>77001401</v>
      </c>
      <c r="D2285" s="71" t="s">
        <v>5263</v>
      </c>
      <c r="E2285" s="71" t="s">
        <v>5264</v>
      </c>
      <c r="F2285" s="74">
        <v>1</v>
      </c>
      <c r="G2285" s="74">
        <v>0</v>
      </c>
      <c r="H2285" s="74">
        <v>0</v>
      </c>
      <c r="I2285" s="75">
        <v>0</v>
      </c>
      <c r="J2285" s="74">
        <v>1</v>
      </c>
      <c r="K2285" s="74">
        <v>0</v>
      </c>
      <c r="L2285" s="74">
        <v>0</v>
      </c>
      <c r="M2285" s="72">
        <v>0</v>
      </c>
      <c r="N2285" s="72">
        <v>0</v>
      </c>
      <c r="O2285" s="72">
        <v>2</v>
      </c>
      <c r="P2285" s="72">
        <v>16</v>
      </c>
      <c r="Q2285" s="72">
        <v>5</v>
      </c>
      <c r="R2285" s="72">
        <v>0</v>
      </c>
      <c r="S2285" s="73">
        <v>0</v>
      </c>
      <c r="T2285" s="72">
        <v>0</v>
      </c>
      <c r="U2285" s="72">
        <v>1</v>
      </c>
      <c r="V2285" s="72">
        <v>2</v>
      </c>
      <c r="W2285" s="72">
        <v>0</v>
      </c>
      <c r="X2285" s="72">
        <v>1</v>
      </c>
      <c r="Y2285" s="19">
        <v>0</v>
      </c>
      <c r="Z2285" s="72">
        <v>0</v>
      </c>
      <c r="AA2285" s="72">
        <v>1</v>
      </c>
      <c r="AB2285" s="72">
        <v>0</v>
      </c>
      <c r="AC2285" s="72">
        <v>0</v>
      </c>
      <c r="AD2285" s="72">
        <v>0</v>
      </c>
      <c r="AE2285" s="72">
        <v>1</v>
      </c>
      <c r="AF2285" s="72">
        <v>0</v>
      </c>
      <c r="AG2285" s="72">
        <v>1</v>
      </c>
      <c r="AH2285" s="72">
        <v>2</v>
      </c>
      <c r="AI2285" s="73">
        <v>0</v>
      </c>
      <c r="AJ2285" s="73">
        <v>2</v>
      </c>
      <c r="AK2285" s="73">
        <v>0</v>
      </c>
      <c r="AL2285" s="73">
        <v>4</v>
      </c>
      <c r="AM2285" s="72">
        <v>0</v>
      </c>
      <c r="AN2285" s="72">
        <v>1</v>
      </c>
      <c r="AO2285" s="72">
        <v>0</v>
      </c>
      <c r="AP2285" s="72">
        <v>0</v>
      </c>
      <c r="AQ2285" s="72">
        <v>9000</v>
      </c>
      <c r="AR2285" s="72">
        <v>0</v>
      </c>
      <c r="AS2285" s="72">
        <v>10</v>
      </c>
      <c r="AT2285" s="92">
        <v>0</v>
      </c>
      <c r="AU2285" s="322" t="s">
        <v>5265</v>
      </c>
      <c r="AV2285" s="93"/>
      <c r="AW2285" s="71" t="s">
        <v>293</v>
      </c>
      <c r="AX2285" s="72" t="s">
        <v>540</v>
      </c>
      <c r="AY2285" s="74">
        <v>10000007</v>
      </c>
      <c r="AZ2285" s="74">
        <v>77001401</v>
      </c>
      <c r="BA2285" s="71" t="s">
        <v>592</v>
      </c>
      <c r="BB2285" s="72" t="s">
        <v>5266</v>
      </c>
      <c r="BC2285" s="75">
        <v>0</v>
      </c>
      <c r="BD2285" s="75">
        <v>1</v>
      </c>
      <c r="BE2285" s="76" t="s">
        <v>5267</v>
      </c>
      <c r="BF2285" s="76" t="s">
        <v>5268</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19.5" customHeight="1">
      <c r="C2286" s="74">
        <v>77001402</v>
      </c>
      <c r="D2286" s="71" t="s">
        <v>2892</v>
      </c>
      <c r="E2286" s="71" t="s">
        <v>5269</v>
      </c>
      <c r="F2286" s="74">
        <v>1</v>
      </c>
      <c r="G2286" s="74">
        <v>0</v>
      </c>
      <c r="H2286" s="74">
        <v>0</v>
      </c>
      <c r="I2286" s="75">
        <v>0</v>
      </c>
      <c r="J2286" s="74">
        <v>1</v>
      </c>
      <c r="K2286" s="74">
        <v>0</v>
      </c>
      <c r="L2286" s="74">
        <v>0</v>
      </c>
      <c r="M2286" s="72">
        <v>0</v>
      </c>
      <c r="N2286" s="72">
        <v>0</v>
      </c>
      <c r="O2286" s="72">
        <v>2</v>
      </c>
      <c r="P2286" s="72">
        <v>3</v>
      </c>
      <c r="Q2286" s="72">
        <v>0.2</v>
      </c>
      <c r="R2286" s="72">
        <v>0</v>
      </c>
      <c r="S2286" s="73">
        <v>1</v>
      </c>
      <c r="T2286" s="72">
        <v>0</v>
      </c>
      <c r="U2286" s="72">
        <v>1</v>
      </c>
      <c r="V2286" s="72">
        <v>2</v>
      </c>
      <c r="W2286" s="72">
        <v>0</v>
      </c>
      <c r="X2286" s="72">
        <v>2</v>
      </c>
      <c r="Y2286" s="19">
        <v>0</v>
      </c>
      <c r="Z2286" s="72">
        <v>0</v>
      </c>
      <c r="AA2286" s="72">
        <v>1</v>
      </c>
      <c r="AB2286" s="72">
        <v>0</v>
      </c>
      <c r="AC2286" s="72">
        <v>0</v>
      </c>
      <c r="AD2286" s="72">
        <v>1</v>
      </c>
      <c r="AE2286" s="72">
        <v>1</v>
      </c>
      <c r="AF2286" s="72">
        <v>0</v>
      </c>
      <c r="AG2286" s="72">
        <v>1</v>
      </c>
      <c r="AH2286" s="72">
        <v>3</v>
      </c>
      <c r="AI2286" s="73">
        <v>1</v>
      </c>
      <c r="AJ2286" s="73">
        <v>1</v>
      </c>
      <c r="AK2286" s="73">
        <v>0</v>
      </c>
      <c r="AL2286" s="73">
        <v>3</v>
      </c>
      <c r="AM2286" s="72">
        <v>0</v>
      </c>
      <c r="AN2286" s="72">
        <v>0</v>
      </c>
      <c r="AO2286" s="72">
        <v>0</v>
      </c>
      <c r="AP2286" s="72">
        <v>0</v>
      </c>
      <c r="AQ2286" s="72">
        <v>500</v>
      </c>
      <c r="AR2286" s="72">
        <v>0.3</v>
      </c>
      <c r="AS2286" s="72">
        <v>0</v>
      </c>
      <c r="AT2286" s="330" t="s">
        <v>5270</v>
      </c>
      <c r="AU2286" s="322" t="s">
        <v>5271</v>
      </c>
      <c r="AV2286" s="93"/>
      <c r="AW2286" s="88" t="s">
        <v>204</v>
      </c>
      <c r="AX2286" s="72" t="s">
        <v>540</v>
      </c>
      <c r="AY2286" s="74">
        <v>0</v>
      </c>
      <c r="AZ2286" s="74">
        <v>77001403</v>
      </c>
      <c r="BA2286" s="71" t="s">
        <v>206</v>
      </c>
      <c r="BB2286" s="72">
        <v>0</v>
      </c>
      <c r="BC2286" s="75">
        <v>0</v>
      </c>
      <c r="BD2286" s="75">
        <v>0</v>
      </c>
      <c r="BE2286" s="76" t="s">
        <v>2334</v>
      </c>
      <c r="BF2286" s="76" t="s">
        <v>2335</v>
      </c>
      <c r="BG2286" s="72">
        <v>0</v>
      </c>
      <c r="BH2286" s="72">
        <v>0</v>
      </c>
      <c r="BI2286" s="72">
        <v>0</v>
      </c>
      <c r="BJ2286" s="72">
        <v>0</v>
      </c>
      <c r="BK2286" s="72">
        <v>0</v>
      </c>
      <c r="BL2286" s="72">
        <v>0</v>
      </c>
      <c r="BM2286" s="90">
        <v>0</v>
      </c>
      <c r="BN2286" s="73">
        <v>0</v>
      </c>
      <c r="BO2286" s="73">
        <v>0</v>
      </c>
      <c r="BP2286" s="73">
        <v>0</v>
      </c>
      <c r="BQ2286" s="73">
        <v>0</v>
      </c>
      <c r="BR2286" s="73">
        <v>0</v>
      </c>
      <c r="BS2286" s="73">
        <v>0</v>
      </c>
      <c r="BT2286" s="73">
        <v>0</v>
      </c>
      <c r="BU2286" s="23">
        <v>0</v>
      </c>
      <c r="BV2286" s="23"/>
      <c r="BW2286" s="23"/>
      <c r="BX2286" s="23"/>
      <c r="BY2286" s="23"/>
      <c r="BZ2286" s="23"/>
    </row>
    <row r="2287" spans="3:78" ht="19.5" customHeight="1">
      <c r="C2287" s="74">
        <v>77001403</v>
      </c>
      <c r="D2287" s="71" t="s">
        <v>2892</v>
      </c>
      <c r="E2287" s="71" t="s">
        <v>5269</v>
      </c>
      <c r="F2287" s="74">
        <v>1</v>
      </c>
      <c r="G2287" s="74">
        <v>0</v>
      </c>
      <c r="H2287" s="74">
        <v>0</v>
      </c>
      <c r="I2287" s="75">
        <v>0</v>
      </c>
      <c r="J2287" s="74">
        <v>1</v>
      </c>
      <c r="K2287" s="74">
        <v>0</v>
      </c>
      <c r="L2287" s="74">
        <v>0</v>
      </c>
      <c r="M2287" s="72">
        <v>0</v>
      </c>
      <c r="N2287" s="72">
        <v>0</v>
      </c>
      <c r="O2287" s="72">
        <v>2</v>
      </c>
      <c r="P2287" s="72">
        <v>3</v>
      </c>
      <c r="Q2287" s="72">
        <v>0.2</v>
      </c>
      <c r="R2287" s="72">
        <v>0</v>
      </c>
      <c r="S2287" s="73">
        <v>1</v>
      </c>
      <c r="T2287" s="72">
        <v>0</v>
      </c>
      <c r="U2287" s="72">
        <v>1</v>
      </c>
      <c r="V2287" s="72">
        <v>2</v>
      </c>
      <c r="W2287" s="72">
        <v>0</v>
      </c>
      <c r="X2287" s="72">
        <v>2</v>
      </c>
      <c r="Y2287" s="19">
        <v>0</v>
      </c>
      <c r="Z2287" s="72">
        <v>0</v>
      </c>
      <c r="AA2287" s="72">
        <v>1</v>
      </c>
      <c r="AB2287" s="72">
        <v>0</v>
      </c>
      <c r="AC2287" s="72">
        <v>0</v>
      </c>
      <c r="AD2287" s="72">
        <v>1</v>
      </c>
      <c r="AE2287" s="72">
        <v>1</v>
      </c>
      <c r="AF2287" s="72">
        <v>0</v>
      </c>
      <c r="AG2287" s="72">
        <v>1</v>
      </c>
      <c r="AH2287" s="72">
        <v>3</v>
      </c>
      <c r="AI2287" s="73">
        <v>1</v>
      </c>
      <c r="AJ2287" s="73">
        <v>1</v>
      </c>
      <c r="AK2287" s="73">
        <v>0</v>
      </c>
      <c r="AL2287" s="73">
        <v>3</v>
      </c>
      <c r="AM2287" s="72">
        <v>0</v>
      </c>
      <c r="AN2287" s="72">
        <v>0</v>
      </c>
      <c r="AO2287" s="72">
        <v>0</v>
      </c>
      <c r="AP2287" s="72">
        <v>0</v>
      </c>
      <c r="AQ2287" s="72">
        <v>500</v>
      </c>
      <c r="AR2287" s="72">
        <v>0.3</v>
      </c>
      <c r="AS2287" s="72">
        <v>0</v>
      </c>
      <c r="AT2287" s="73">
        <v>0</v>
      </c>
      <c r="AU2287" s="322" t="s">
        <v>5271</v>
      </c>
      <c r="AV2287" s="93"/>
      <c r="AW2287" s="88" t="s">
        <v>204</v>
      </c>
      <c r="AX2287" s="72" t="s">
        <v>540</v>
      </c>
      <c r="AY2287" s="74">
        <v>0</v>
      </c>
      <c r="AZ2287" s="74">
        <v>77001403</v>
      </c>
      <c r="BA2287" s="71" t="s">
        <v>206</v>
      </c>
      <c r="BB2287" s="72">
        <v>0</v>
      </c>
      <c r="BC2287" s="75">
        <v>0</v>
      </c>
      <c r="BD2287" s="75">
        <v>0</v>
      </c>
      <c r="BE2287" s="76" t="s">
        <v>2334</v>
      </c>
      <c r="BF2287" s="76" t="s">
        <v>2335</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spans="3:78" ht="19.5" customHeight="1">
      <c r="C2288" s="74">
        <v>77001404</v>
      </c>
      <c r="D2288" s="71" t="s">
        <v>5272</v>
      </c>
      <c r="E2288" s="71" t="s">
        <v>5273</v>
      </c>
      <c r="F2288" s="74">
        <v>1</v>
      </c>
      <c r="G2288" s="74">
        <v>0</v>
      </c>
      <c r="H2288" s="74">
        <v>0</v>
      </c>
      <c r="I2288" s="75">
        <v>0</v>
      </c>
      <c r="J2288" s="74">
        <v>1</v>
      </c>
      <c r="K2288" s="74">
        <v>0</v>
      </c>
      <c r="L2288" s="74">
        <v>0</v>
      </c>
      <c r="M2288" s="72">
        <v>0</v>
      </c>
      <c r="N2288" s="72">
        <v>0</v>
      </c>
      <c r="O2288" s="72">
        <v>2</v>
      </c>
      <c r="P2288" s="72">
        <v>10</v>
      </c>
      <c r="Q2288" s="72">
        <v>0.3</v>
      </c>
      <c r="R2288" s="72">
        <v>0</v>
      </c>
      <c r="S2288" s="73">
        <v>3</v>
      </c>
      <c r="T2288" s="72">
        <v>0</v>
      </c>
      <c r="U2288" s="72">
        <v>1</v>
      </c>
      <c r="V2288" s="72">
        <v>2</v>
      </c>
      <c r="W2288" s="72">
        <v>0</v>
      </c>
      <c r="X2288" s="72">
        <v>1</v>
      </c>
      <c r="Y2288" s="19">
        <v>0</v>
      </c>
      <c r="Z2288" s="72">
        <v>0</v>
      </c>
      <c r="AA2288" s="72">
        <v>1</v>
      </c>
      <c r="AB2288" s="72">
        <v>0</v>
      </c>
      <c r="AC2288" s="72">
        <v>0</v>
      </c>
      <c r="AD2288" s="72">
        <v>0</v>
      </c>
      <c r="AE2288" s="72">
        <v>1</v>
      </c>
      <c r="AF2288" s="72">
        <v>2</v>
      </c>
      <c r="AG2288" s="72">
        <v>1</v>
      </c>
      <c r="AH2288" s="72">
        <v>2</v>
      </c>
      <c r="AI2288" s="73">
        <v>0</v>
      </c>
      <c r="AJ2288" s="73">
        <v>2</v>
      </c>
      <c r="AK2288" s="73">
        <v>0</v>
      </c>
      <c r="AL2288" s="73">
        <v>1</v>
      </c>
      <c r="AM2288" s="72">
        <v>0</v>
      </c>
      <c r="AN2288" s="72">
        <v>1</v>
      </c>
      <c r="AO2288" s="72">
        <v>0</v>
      </c>
      <c r="AP2288" s="72">
        <v>0</v>
      </c>
      <c r="AQ2288" s="72">
        <v>5000</v>
      </c>
      <c r="AR2288" s="72">
        <v>0</v>
      </c>
      <c r="AS2288" s="72">
        <v>20</v>
      </c>
      <c r="AT2288" s="92">
        <v>0</v>
      </c>
      <c r="AU2288" s="322" t="s">
        <v>5274</v>
      </c>
      <c r="AV2288" s="93"/>
      <c r="AW2288" s="71" t="s">
        <v>262</v>
      </c>
      <c r="AX2288" s="72" t="s">
        <v>540</v>
      </c>
      <c r="AY2288" s="74">
        <v>10000007</v>
      </c>
      <c r="AZ2288" s="74">
        <v>77001402</v>
      </c>
      <c r="BA2288" s="71" t="s">
        <v>592</v>
      </c>
      <c r="BB2288" s="72" t="s">
        <v>5275</v>
      </c>
      <c r="BC2288" s="75">
        <v>0</v>
      </c>
      <c r="BD2288" s="75">
        <v>1</v>
      </c>
      <c r="BE2288" s="76" t="s">
        <v>5276</v>
      </c>
      <c r="BF2288" s="76" t="s">
        <v>5277</v>
      </c>
      <c r="BG2288" s="72">
        <v>0</v>
      </c>
      <c r="BH2288" s="72">
        <v>0</v>
      </c>
      <c r="BI2288" s="72">
        <v>0</v>
      </c>
      <c r="BJ2288" s="72">
        <v>0</v>
      </c>
      <c r="BK2288" s="72">
        <v>0</v>
      </c>
      <c r="BL2288" s="72">
        <v>0</v>
      </c>
      <c r="BM2288" s="90">
        <v>0</v>
      </c>
      <c r="BN2288" s="73">
        <v>0</v>
      </c>
      <c r="BO2288" s="73">
        <v>0</v>
      </c>
      <c r="BP2288" s="73">
        <v>0</v>
      </c>
      <c r="BQ2288" s="73">
        <v>0</v>
      </c>
      <c r="BR2288" s="73">
        <v>0</v>
      </c>
      <c r="BS2288" s="73">
        <v>1</v>
      </c>
      <c r="BT2288" s="73">
        <v>0</v>
      </c>
      <c r="BU2288" s="23">
        <v>0</v>
      </c>
      <c r="BV2288" s="23"/>
      <c r="BW2288" s="23"/>
      <c r="BX2288" s="23"/>
      <c r="BY2288" s="23"/>
      <c r="BZ2288" s="23"/>
    </row>
    <row r="2289" spans="3:78" ht="19.5" customHeight="1">
      <c r="C2289" s="74">
        <v>77001405</v>
      </c>
      <c r="D2289" s="71" t="s">
        <v>1051</v>
      </c>
      <c r="E2289" s="71" t="s">
        <v>1052</v>
      </c>
      <c r="F2289" s="74">
        <v>1</v>
      </c>
      <c r="G2289" s="74">
        <v>0</v>
      </c>
      <c r="H2289" s="74">
        <v>0</v>
      </c>
      <c r="I2289" s="75">
        <v>0</v>
      </c>
      <c r="J2289" s="74">
        <v>1</v>
      </c>
      <c r="K2289" s="74">
        <v>0</v>
      </c>
      <c r="L2289" s="74">
        <v>0</v>
      </c>
      <c r="M2289" s="72">
        <v>0</v>
      </c>
      <c r="N2289" s="72">
        <v>0</v>
      </c>
      <c r="O2289" s="72">
        <v>2</v>
      </c>
      <c r="P2289" s="72">
        <v>3</v>
      </c>
      <c r="Q2289" s="72">
        <v>0.1</v>
      </c>
      <c r="R2289" s="72">
        <v>0</v>
      </c>
      <c r="S2289" s="73">
        <v>0</v>
      </c>
      <c r="T2289" s="72">
        <v>0</v>
      </c>
      <c r="U2289" s="72">
        <v>1</v>
      </c>
      <c r="V2289" s="72">
        <v>2</v>
      </c>
      <c r="W2289" s="72">
        <v>0</v>
      </c>
      <c r="X2289" s="72">
        <v>1</v>
      </c>
      <c r="Y2289" s="19">
        <v>0</v>
      </c>
      <c r="Z2289" s="72">
        <v>0</v>
      </c>
      <c r="AA2289" s="72">
        <v>1</v>
      </c>
      <c r="AB2289" s="72">
        <v>0</v>
      </c>
      <c r="AC2289" s="72">
        <v>0</v>
      </c>
      <c r="AD2289" s="72">
        <v>1</v>
      </c>
      <c r="AE2289" s="72">
        <v>0</v>
      </c>
      <c r="AF2289" s="72">
        <v>0</v>
      </c>
      <c r="AG2289" s="72">
        <v>1</v>
      </c>
      <c r="AH2289" s="72">
        <v>3</v>
      </c>
      <c r="AI2289" s="73">
        <v>4</v>
      </c>
      <c r="AJ2289" s="73">
        <v>1</v>
      </c>
      <c r="AK2289" s="73">
        <v>0</v>
      </c>
      <c r="AL2289" s="73">
        <v>1.5</v>
      </c>
      <c r="AM2289" s="72">
        <v>0</v>
      </c>
      <c r="AN2289" s="72">
        <v>0</v>
      </c>
      <c r="AO2289" s="72">
        <v>0</v>
      </c>
      <c r="AP2289" s="72">
        <v>0</v>
      </c>
      <c r="AQ2289" s="72">
        <v>6000</v>
      </c>
      <c r="AR2289" s="72">
        <v>0.8</v>
      </c>
      <c r="AS2289" s="72">
        <v>0</v>
      </c>
      <c r="AT2289" s="73">
        <v>0</v>
      </c>
      <c r="AU2289" s="322" t="s">
        <v>5271</v>
      </c>
      <c r="AV2289" s="93"/>
      <c r="AW2289" s="88" t="s">
        <v>205</v>
      </c>
      <c r="AX2289" s="72" t="s">
        <v>540</v>
      </c>
      <c r="AY2289" s="74">
        <v>0</v>
      </c>
      <c r="AZ2289" s="74">
        <v>77001404</v>
      </c>
      <c r="BA2289" s="71" t="s">
        <v>206</v>
      </c>
      <c r="BB2289" s="72" t="s">
        <v>5278</v>
      </c>
      <c r="BC2289" s="75">
        <v>0</v>
      </c>
      <c r="BD2289" s="75">
        <v>0</v>
      </c>
      <c r="BE2289" s="76" t="s">
        <v>5279</v>
      </c>
      <c r="BF2289" s="76" t="s">
        <v>5280</v>
      </c>
      <c r="BG2289" s="72">
        <v>0</v>
      </c>
      <c r="BH2289" s="72">
        <v>0</v>
      </c>
      <c r="BI2289" s="72">
        <v>0</v>
      </c>
      <c r="BJ2289" s="72">
        <v>0</v>
      </c>
      <c r="BK2289" s="72">
        <v>0</v>
      </c>
      <c r="BL2289" s="72">
        <v>0</v>
      </c>
      <c r="BM2289" s="90">
        <v>0</v>
      </c>
      <c r="BN2289" s="73">
        <v>0</v>
      </c>
      <c r="BO2289" s="73">
        <v>0</v>
      </c>
      <c r="BP2289" s="73">
        <v>0</v>
      </c>
      <c r="BQ2289" s="73">
        <v>0</v>
      </c>
      <c r="BR2289" s="73">
        <v>0</v>
      </c>
      <c r="BS2289" s="73">
        <v>0</v>
      </c>
      <c r="BT2289" s="73">
        <v>0</v>
      </c>
      <c r="BU2289" s="23">
        <v>0</v>
      </c>
      <c r="BV2289" s="23"/>
      <c r="BW2289" s="23"/>
      <c r="BX2289" s="23"/>
      <c r="BY2289" s="23"/>
      <c r="BZ2289" s="23"/>
    </row>
    <row r="2290" spans="3:78" ht="20.100000000000001" customHeight="1">
      <c r="C2290" s="74">
        <v>77001406</v>
      </c>
      <c r="D2290" s="131" t="s">
        <v>1045</v>
      </c>
      <c r="E2290" s="131" t="s">
        <v>1046</v>
      </c>
      <c r="F2290" s="73">
        <v>1</v>
      </c>
      <c r="G2290" s="74">
        <v>0</v>
      </c>
      <c r="H2290" s="73">
        <v>0</v>
      </c>
      <c r="I2290" s="73">
        <v>0</v>
      </c>
      <c r="J2290" s="73">
        <v>1</v>
      </c>
      <c r="K2290" s="73">
        <v>0</v>
      </c>
      <c r="L2290" s="73">
        <v>0</v>
      </c>
      <c r="M2290" s="73">
        <v>0</v>
      </c>
      <c r="N2290" s="73">
        <v>0</v>
      </c>
      <c r="O2290" s="73">
        <v>2</v>
      </c>
      <c r="P2290" s="73">
        <v>2</v>
      </c>
      <c r="Q2290" s="73">
        <v>0.8</v>
      </c>
      <c r="R2290" s="73">
        <v>0</v>
      </c>
      <c r="S2290" s="73">
        <v>0</v>
      </c>
      <c r="T2290" s="73">
        <v>0</v>
      </c>
      <c r="U2290" s="73">
        <v>1</v>
      </c>
      <c r="V2290" s="73">
        <v>2</v>
      </c>
      <c r="W2290" s="73">
        <v>0</v>
      </c>
      <c r="X2290" s="73">
        <v>0</v>
      </c>
      <c r="Y2290" s="19">
        <v>0</v>
      </c>
      <c r="Z2290" s="73">
        <v>0</v>
      </c>
      <c r="AA2290" s="73">
        <v>1</v>
      </c>
      <c r="AB2290" s="73">
        <v>0</v>
      </c>
      <c r="AC2290" s="73">
        <v>0</v>
      </c>
      <c r="AD2290" s="73">
        <v>0</v>
      </c>
      <c r="AE2290" s="73">
        <v>0</v>
      </c>
      <c r="AF2290" s="73">
        <v>12</v>
      </c>
      <c r="AG2290" s="73">
        <v>1</v>
      </c>
      <c r="AH2290" s="73">
        <v>8</v>
      </c>
      <c r="AI2290" s="73">
        <v>0</v>
      </c>
      <c r="AJ2290" s="73">
        <v>1</v>
      </c>
      <c r="AK2290" s="73">
        <v>0</v>
      </c>
      <c r="AL2290" s="73">
        <v>4</v>
      </c>
      <c r="AM2290" s="73">
        <v>0</v>
      </c>
      <c r="AN2290" s="73">
        <v>0</v>
      </c>
      <c r="AO2290" s="73">
        <v>0</v>
      </c>
      <c r="AP2290" s="73">
        <v>0</v>
      </c>
      <c r="AQ2290" s="73">
        <v>2000</v>
      </c>
      <c r="AR2290" s="73">
        <v>1.5</v>
      </c>
      <c r="AS2290" s="73">
        <v>0</v>
      </c>
      <c r="AT2290" s="73">
        <v>0</v>
      </c>
      <c r="AU2290" s="73">
        <v>0</v>
      </c>
      <c r="AV2290" s="73"/>
      <c r="AW2290" s="131" t="s">
        <v>623</v>
      </c>
      <c r="AX2290" s="73" t="s">
        <v>1047</v>
      </c>
      <c r="AY2290" s="73">
        <v>0</v>
      </c>
      <c r="AZ2290" s="73">
        <v>77001405</v>
      </c>
      <c r="BA2290" s="131" t="s">
        <v>1048</v>
      </c>
      <c r="BB2290" s="73">
        <v>0</v>
      </c>
      <c r="BC2290" s="73">
        <v>0</v>
      </c>
      <c r="BD2290" s="73">
        <v>0</v>
      </c>
      <c r="BE2290" s="132" t="s">
        <v>1049</v>
      </c>
      <c r="BF2290" s="132" t="s">
        <v>1050</v>
      </c>
      <c r="BG2290" s="73">
        <v>0</v>
      </c>
      <c r="BH2290" s="73">
        <v>0</v>
      </c>
      <c r="BI2290" s="73">
        <v>0</v>
      </c>
      <c r="BJ2290" s="73">
        <v>0</v>
      </c>
      <c r="BK2290" s="73">
        <v>0</v>
      </c>
      <c r="BL2290" s="73">
        <v>0</v>
      </c>
      <c r="BM2290" s="133">
        <v>0</v>
      </c>
      <c r="BN2290" s="73">
        <v>0</v>
      </c>
      <c r="BO2290" s="73">
        <v>0</v>
      </c>
      <c r="BP2290" s="73">
        <v>1000</v>
      </c>
      <c r="BQ2290" s="73">
        <v>0</v>
      </c>
      <c r="BR2290" s="73">
        <v>0</v>
      </c>
      <c r="BS2290" s="73">
        <v>0</v>
      </c>
      <c r="BT2290" s="73">
        <v>0</v>
      </c>
      <c r="BU2290" s="23">
        <v>0</v>
      </c>
      <c r="BV2290" s="23"/>
      <c r="BW2290" s="23"/>
      <c r="BX2290" s="23"/>
      <c r="BY2290" s="23"/>
      <c r="BZ2290" s="23"/>
    </row>
    <row r="2291" spans="3:78" ht="19.5" customHeight="1">
      <c r="C2291" s="74">
        <v>77001407</v>
      </c>
      <c r="D2291" s="71" t="s">
        <v>5281</v>
      </c>
      <c r="E2291" s="71" t="s">
        <v>5282</v>
      </c>
      <c r="F2291" s="74">
        <v>1</v>
      </c>
      <c r="G2291" s="74">
        <v>0</v>
      </c>
      <c r="H2291" s="74">
        <v>0</v>
      </c>
      <c r="I2291" s="75">
        <v>0</v>
      </c>
      <c r="J2291" s="74">
        <v>1</v>
      </c>
      <c r="K2291" s="74">
        <v>0</v>
      </c>
      <c r="L2291" s="74">
        <v>0</v>
      </c>
      <c r="M2291" s="72">
        <v>0</v>
      </c>
      <c r="N2291" s="72">
        <v>0</v>
      </c>
      <c r="O2291" s="72">
        <v>2</v>
      </c>
      <c r="P2291" s="72">
        <v>10</v>
      </c>
      <c r="Q2291" s="72">
        <v>0.15</v>
      </c>
      <c r="R2291" s="72">
        <v>0</v>
      </c>
      <c r="S2291" s="73">
        <v>0</v>
      </c>
      <c r="T2291" s="72">
        <v>0</v>
      </c>
      <c r="U2291" s="72">
        <v>1</v>
      </c>
      <c r="V2291" s="72">
        <v>2</v>
      </c>
      <c r="W2291" s="72">
        <v>0</v>
      </c>
      <c r="X2291" s="72">
        <v>2</v>
      </c>
      <c r="Y2291" s="19">
        <v>0</v>
      </c>
      <c r="Z2291" s="72">
        <v>0</v>
      </c>
      <c r="AA2291" s="72">
        <v>1</v>
      </c>
      <c r="AB2291" s="72">
        <v>0</v>
      </c>
      <c r="AC2291" s="72">
        <v>0</v>
      </c>
      <c r="AD2291" s="72">
        <v>0</v>
      </c>
      <c r="AE2291" s="72">
        <v>1</v>
      </c>
      <c r="AF2291" s="72">
        <v>3</v>
      </c>
      <c r="AG2291" s="72">
        <v>1</v>
      </c>
      <c r="AH2291" s="72">
        <v>4</v>
      </c>
      <c r="AI2291" s="73">
        <v>1</v>
      </c>
      <c r="AJ2291" s="73">
        <v>1</v>
      </c>
      <c r="AK2291" s="73">
        <v>0</v>
      </c>
      <c r="AL2291" s="73">
        <v>3</v>
      </c>
      <c r="AM2291" s="72">
        <v>0</v>
      </c>
      <c r="AN2291" s="72">
        <v>1</v>
      </c>
      <c r="AO2291" s="72">
        <v>0</v>
      </c>
      <c r="AP2291" s="72">
        <v>1</v>
      </c>
      <c r="AQ2291" s="72">
        <v>3000</v>
      </c>
      <c r="AR2291" s="72">
        <v>1</v>
      </c>
      <c r="AS2291" s="72">
        <v>0</v>
      </c>
      <c r="AT2291" s="73">
        <v>0</v>
      </c>
      <c r="AU2291" s="322" t="s">
        <v>5274</v>
      </c>
      <c r="AV2291" s="93"/>
      <c r="AW2291" s="88" t="s">
        <v>293</v>
      </c>
      <c r="AX2291" s="72" t="s">
        <v>540</v>
      </c>
      <c r="AY2291" s="74">
        <v>0</v>
      </c>
      <c r="AZ2291" s="74">
        <v>77001407</v>
      </c>
      <c r="BA2291" s="71" t="s">
        <v>206</v>
      </c>
      <c r="BB2291" s="72">
        <v>0</v>
      </c>
      <c r="BC2291" s="75">
        <v>0</v>
      </c>
      <c r="BD2291" s="75">
        <v>0</v>
      </c>
      <c r="BE2291" s="76" t="s">
        <v>5283</v>
      </c>
      <c r="BF2291" s="76" t="s">
        <v>5284</v>
      </c>
      <c r="BG2291" s="72">
        <v>0</v>
      </c>
      <c r="BH2291" s="72">
        <v>0</v>
      </c>
      <c r="BI2291" s="72">
        <v>0</v>
      </c>
      <c r="BJ2291" s="72">
        <v>0</v>
      </c>
      <c r="BK2291" s="72">
        <v>0</v>
      </c>
      <c r="BL2291" s="72">
        <v>0</v>
      </c>
      <c r="BM2291" s="90">
        <v>0</v>
      </c>
      <c r="BN2291" s="73">
        <v>0</v>
      </c>
      <c r="BO2291" s="73">
        <v>0</v>
      </c>
      <c r="BP2291" s="73">
        <v>0</v>
      </c>
      <c r="BQ2291" s="73">
        <v>0</v>
      </c>
      <c r="BR2291" s="73">
        <v>0</v>
      </c>
      <c r="BS2291" s="73">
        <v>0</v>
      </c>
      <c r="BT2291" s="73">
        <v>0</v>
      </c>
      <c r="BU2291" s="23">
        <v>0</v>
      </c>
      <c r="BV2291" s="23"/>
      <c r="BW2291" s="23"/>
      <c r="BX2291" s="23"/>
      <c r="BY2291" s="23"/>
      <c r="BZ2291" s="23"/>
    </row>
    <row r="2292" spans="3:78" ht="19.5" customHeight="1">
      <c r="C2292" s="294">
        <v>77001501</v>
      </c>
      <c r="D2292" s="295" t="s">
        <v>5285</v>
      </c>
      <c r="E2292" s="295" t="s">
        <v>5286</v>
      </c>
      <c r="F2292" s="294">
        <v>1</v>
      </c>
      <c r="G2292" s="294">
        <v>0</v>
      </c>
      <c r="H2292" s="294">
        <v>0</v>
      </c>
      <c r="I2292" s="297">
        <v>0</v>
      </c>
      <c r="J2292" s="294">
        <v>1</v>
      </c>
      <c r="K2292" s="294">
        <v>0</v>
      </c>
      <c r="L2292" s="294">
        <v>0</v>
      </c>
      <c r="M2292" s="296">
        <v>0</v>
      </c>
      <c r="N2292" s="296">
        <v>0</v>
      </c>
      <c r="O2292" s="296">
        <v>2</v>
      </c>
      <c r="P2292" s="296">
        <v>2</v>
      </c>
      <c r="Q2292" s="296">
        <v>0.5</v>
      </c>
      <c r="R2292" s="296">
        <v>0</v>
      </c>
      <c r="S2292" s="23">
        <v>0</v>
      </c>
      <c r="T2292" s="296">
        <v>0</v>
      </c>
      <c r="U2292" s="296">
        <v>1</v>
      </c>
      <c r="V2292" s="296">
        <v>2</v>
      </c>
      <c r="W2292" s="296">
        <v>0</v>
      </c>
      <c r="X2292" s="296">
        <v>2</v>
      </c>
      <c r="Y2292" s="19">
        <v>0</v>
      </c>
      <c r="Z2292" s="296">
        <v>0</v>
      </c>
      <c r="AA2292" s="296">
        <v>1</v>
      </c>
      <c r="AB2292" s="296">
        <v>0</v>
      </c>
      <c r="AC2292" s="296">
        <v>0</v>
      </c>
      <c r="AD2292" s="296">
        <v>0</v>
      </c>
      <c r="AE2292" s="296">
        <v>1</v>
      </c>
      <c r="AF2292" s="296">
        <v>30</v>
      </c>
      <c r="AG2292" s="296">
        <v>1</v>
      </c>
      <c r="AH2292" s="296">
        <v>4</v>
      </c>
      <c r="AI2292" s="23">
        <v>0</v>
      </c>
      <c r="AJ2292" s="23">
        <v>1</v>
      </c>
      <c r="AK2292" s="23">
        <v>0</v>
      </c>
      <c r="AL2292" s="23">
        <v>3</v>
      </c>
      <c r="AM2292" s="296">
        <v>0</v>
      </c>
      <c r="AN2292" s="296">
        <v>1</v>
      </c>
      <c r="AO2292" s="296">
        <v>0</v>
      </c>
      <c r="AP2292" s="296">
        <v>1</v>
      </c>
      <c r="AQ2292" s="296">
        <v>3000</v>
      </c>
      <c r="AR2292" s="296">
        <v>1</v>
      </c>
      <c r="AS2292" s="296">
        <v>0</v>
      </c>
      <c r="AT2292" s="23">
        <v>97005001</v>
      </c>
      <c r="AU2292" s="359" t="s">
        <v>5287</v>
      </c>
      <c r="AV2292" s="301"/>
      <c r="AW2292" s="298" t="s">
        <v>293</v>
      </c>
      <c r="AX2292" s="296" t="s">
        <v>540</v>
      </c>
      <c r="AY2292" s="294">
        <v>0</v>
      </c>
      <c r="AZ2292" s="294">
        <v>77001501</v>
      </c>
      <c r="BA2292" s="295" t="s">
        <v>206</v>
      </c>
      <c r="BB2292" s="296">
        <v>0</v>
      </c>
      <c r="BC2292" s="297">
        <v>0</v>
      </c>
      <c r="BD2292" s="297">
        <v>0</v>
      </c>
      <c r="BE2292" s="299" t="s">
        <v>5288</v>
      </c>
      <c r="BF2292" s="299" t="s">
        <v>5289</v>
      </c>
      <c r="BG2292" s="296">
        <v>0</v>
      </c>
      <c r="BH2292" s="296">
        <v>0</v>
      </c>
      <c r="BI2292" s="296">
        <v>0</v>
      </c>
      <c r="BJ2292" s="296">
        <v>0</v>
      </c>
      <c r="BK2292" s="296">
        <v>0</v>
      </c>
      <c r="BL2292" s="296">
        <v>0</v>
      </c>
      <c r="BM2292" s="300">
        <v>0</v>
      </c>
      <c r="BN2292" s="23">
        <v>0</v>
      </c>
      <c r="BO2292" s="23">
        <v>0</v>
      </c>
      <c r="BP2292" s="23">
        <v>0</v>
      </c>
      <c r="BQ2292" s="23">
        <v>0</v>
      </c>
      <c r="BR2292" s="23">
        <v>0</v>
      </c>
      <c r="BS2292" s="23">
        <v>0</v>
      </c>
      <c r="BT2292" s="23">
        <v>0</v>
      </c>
      <c r="BU2292" s="23">
        <v>0</v>
      </c>
      <c r="BV2292" s="23"/>
      <c r="BW2292" s="23"/>
      <c r="BX2292" s="23"/>
      <c r="BY2292" s="23"/>
      <c r="BZ2292" s="23"/>
    </row>
    <row r="2293" spans="3:78" ht="20.100000000000001" customHeight="1">
      <c r="C2293" s="294">
        <v>77001502</v>
      </c>
      <c r="D2293" s="295" t="s">
        <v>5290</v>
      </c>
      <c r="E2293" s="295" t="s">
        <v>5291</v>
      </c>
      <c r="F2293" s="296">
        <v>1</v>
      </c>
      <c r="G2293" s="296">
        <v>0</v>
      </c>
      <c r="H2293" s="296">
        <v>0</v>
      </c>
      <c r="I2293" s="297">
        <v>0</v>
      </c>
      <c r="J2293" s="294">
        <v>1</v>
      </c>
      <c r="K2293" s="296">
        <v>0</v>
      </c>
      <c r="L2293" s="296">
        <v>0</v>
      </c>
      <c r="M2293" s="296">
        <v>0</v>
      </c>
      <c r="N2293" s="296">
        <v>0</v>
      </c>
      <c r="O2293" s="296">
        <v>2</v>
      </c>
      <c r="P2293" s="296">
        <v>3</v>
      </c>
      <c r="Q2293" s="296">
        <v>0.2</v>
      </c>
      <c r="R2293" s="296">
        <v>0</v>
      </c>
      <c r="S2293" s="23">
        <v>0</v>
      </c>
      <c r="T2293" s="296">
        <v>0</v>
      </c>
      <c r="U2293" s="296">
        <v>1</v>
      </c>
      <c r="V2293" s="296">
        <v>1</v>
      </c>
      <c r="W2293" s="296">
        <v>0</v>
      </c>
      <c r="X2293" s="296">
        <v>1</v>
      </c>
      <c r="Y2293" s="19">
        <v>0</v>
      </c>
      <c r="Z2293" s="296">
        <v>0</v>
      </c>
      <c r="AA2293" s="296">
        <v>1</v>
      </c>
      <c r="AB2293" s="296">
        <v>0</v>
      </c>
      <c r="AC2293" s="296">
        <v>0</v>
      </c>
      <c r="AD2293" s="296">
        <v>0</v>
      </c>
      <c r="AE2293" s="296">
        <v>1</v>
      </c>
      <c r="AF2293" s="296">
        <v>6</v>
      </c>
      <c r="AG2293" s="296">
        <v>1</v>
      </c>
      <c r="AH2293" s="296">
        <v>3</v>
      </c>
      <c r="AI2293" s="23">
        <v>0</v>
      </c>
      <c r="AJ2293" s="23">
        <v>1</v>
      </c>
      <c r="AK2293" s="23">
        <v>0</v>
      </c>
      <c r="AL2293" s="23">
        <v>2</v>
      </c>
      <c r="AM2293" s="296">
        <v>0</v>
      </c>
      <c r="AN2293" s="296">
        <v>0</v>
      </c>
      <c r="AO2293" s="296">
        <v>0</v>
      </c>
      <c r="AP2293" s="296">
        <v>1</v>
      </c>
      <c r="AQ2293" s="296">
        <v>1100</v>
      </c>
      <c r="AR2293" s="296">
        <v>1</v>
      </c>
      <c r="AS2293" s="296">
        <v>0</v>
      </c>
      <c r="AT2293" s="23">
        <v>0</v>
      </c>
      <c r="AU2293" s="296">
        <v>97005003</v>
      </c>
      <c r="AV2293" s="296"/>
      <c r="AW2293" s="295" t="s">
        <v>204</v>
      </c>
      <c r="AX2293" s="296" t="s">
        <v>540</v>
      </c>
      <c r="AY2293" s="294">
        <v>10000001</v>
      </c>
      <c r="AZ2293" s="294">
        <v>77001505</v>
      </c>
      <c r="BA2293" s="295" t="s">
        <v>777</v>
      </c>
      <c r="BB2293" s="296">
        <v>0</v>
      </c>
      <c r="BC2293" s="297">
        <v>0</v>
      </c>
      <c r="BD2293" s="297">
        <v>0</v>
      </c>
      <c r="BE2293" s="304" t="s">
        <v>5292</v>
      </c>
      <c r="BF2293" s="304" t="s">
        <v>5293</v>
      </c>
      <c r="BG2293" s="296">
        <v>0</v>
      </c>
      <c r="BH2293" s="296">
        <v>0</v>
      </c>
      <c r="BI2293" s="296">
        <v>0</v>
      </c>
      <c r="BJ2293" s="296">
        <v>0</v>
      </c>
      <c r="BK2293" s="296">
        <v>0</v>
      </c>
      <c r="BL2293" s="296">
        <v>0</v>
      </c>
      <c r="BM2293" s="300">
        <v>0</v>
      </c>
      <c r="BN2293" s="23">
        <v>0</v>
      </c>
      <c r="BO2293" s="23">
        <v>0</v>
      </c>
      <c r="BP2293" s="23">
        <v>0</v>
      </c>
      <c r="BQ2293" s="23">
        <v>0</v>
      </c>
      <c r="BR2293" s="23">
        <v>0</v>
      </c>
      <c r="BS2293" s="23">
        <v>0</v>
      </c>
      <c r="BT2293" s="23">
        <v>77001508</v>
      </c>
      <c r="BU2293" s="23">
        <v>0</v>
      </c>
      <c r="BV2293" s="23"/>
      <c r="BW2293" s="23"/>
      <c r="BX2293" s="23"/>
      <c r="BY2293" s="23"/>
      <c r="BZ2293" s="23"/>
    </row>
    <row r="2294" spans="3:78" ht="19.5" customHeight="1">
      <c r="C2294" s="294">
        <v>77001503</v>
      </c>
      <c r="D2294" s="295" t="s">
        <v>5294</v>
      </c>
      <c r="E2294" s="295" t="s">
        <v>5295</v>
      </c>
      <c r="F2294" s="294">
        <v>1</v>
      </c>
      <c r="G2294" s="296">
        <v>0</v>
      </c>
      <c r="H2294" s="294">
        <v>0</v>
      </c>
      <c r="I2294" s="297">
        <v>0</v>
      </c>
      <c r="J2294" s="294">
        <v>1</v>
      </c>
      <c r="K2294" s="294">
        <v>0</v>
      </c>
      <c r="L2294" s="294">
        <v>0</v>
      </c>
      <c r="M2294" s="296">
        <v>0</v>
      </c>
      <c r="N2294" s="296">
        <v>0</v>
      </c>
      <c r="O2294" s="296">
        <v>2</v>
      </c>
      <c r="P2294" s="296">
        <v>1</v>
      </c>
      <c r="Q2294" s="296">
        <v>0.2</v>
      </c>
      <c r="R2294" s="296">
        <v>0</v>
      </c>
      <c r="S2294" s="23">
        <v>0</v>
      </c>
      <c r="T2294" s="296">
        <v>0</v>
      </c>
      <c r="U2294" s="296">
        <v>1</v>
      </c>
      <c r="V2294" s="296">
        <v>2</v>
      </c>
      <c r="W2294" s="296">
        <v>0</v>
      </c>
      <c r="X2294" s="296">
        <v>0.8</v>
      </c>
      <c r="Y2294" s="19">
        <v>0</v>
      </c>
      <c r="Z2294" s="296">
        <v>0</v>
      </c>
      <c r="AA2294" s="296">
        <v>1</v>
      </c>
      <c r="AB2294" s="296">
        <v>0</v>
      </c>
      <c r="AC2294" s="296">
        <v>0</v>
      </c>
      <c r="AD2294" s="296">
        <v>0</v>
      </c>
      <c r="AE2294" s="296">
        <v>0</v>
      </c>
      <c r="AF2294" s="296">
        <v>14</v>
      </c>
      <c r="AG2294" s="296">
        <v>1</v>
      </c>
      <c r="AH2294" s="296">
        <v>3</v>
      </c>
      <c r="AI2294" s="23">
        <v>1</v>
      </c>
      <c r="AJ2294" s="23">
        <v>0</v>
      </c>
      <c r="AK2294" s="23">
        <v>0</v>
      </c>
      <c r="AL2294" s="23">
        <v>0</v>
      </c>
      <c r="AM2294" s="296">
        <v>0</v>
      </c>
      <c r="AN2294" s="296">
        <v>0</v>
      </c>
      <c r="AO2294" s="296">
        <v>0</v>
      </c>
      <c r="AP2294" s="296">
        <v>0</v>
      </c>
      <c r="AQ2294" s="296">
        <v>999999</v>
      </c>
      <c r="AR2294" s="296">
        <v>0</v>
      </c>
      <c r="AS2294" s="296">
        <v>0</v>
      </c>
      <c r="AT2294" s="23">
        <v>97005004</v>
      </c>
      <c r="AU2294" s="296">
        <v>97005002</v>
      </c>
      <c r="AV2294" s="296"/>
      <c r="AW2294" s="298" t="s">
        <v>293</v>
      </c>
      <c r="AX2294" s="296" t="s">
        <v>540</v>
      </c>
      <c r="AY2294" s="294">
        <v>10000007</v>
      </c>
      <c r="AZ2294" s="294">
        <v>77001503</v>
      </c>
      <c r="BA2294" s="298" t="s">
        <v>321</v>
      </c>
      <c r="BB2294" s="298" t="s">
        <v>377</v>
      </c>
      <c r="BC2294" s="297">
        <v>0</v>
      </c>
      <c r="BD2294" s="297">
        <v>0</v>
      </c>
      <c r="BE2294" s="299" t="s">
        <v>5296</v>
      </c>
      <c r="BF2294" s="299" t="s">
        <v>5297</v>
      </c>
      <c r="BG2294" s="296">
        <v>0</v>
      </c>
      <c r="BH2294" s="296">
        <v>0</v>
      </c>
      <c r="BI2294" s="296">
        <v>0</v>
      </c>
      <c r="BJ2294" s="296">
        <v>0</v>
      </c>
      <c r="BK2294" s="296">
        <v>0</v>
      </c>
      <c r="BL2294" s="296">
        <v>0</v>
      </c>
      <c r="BM2294" s="300">
        <v>0</v>
      </c>
      <c r="BN2294" s="23">
        <v>0</v>
      </c>
      <c r="BO2294" s="23">
        <v>0</v>
      </c>
      <c r="BP2294" s="23">
        <v>0</v>
      </c>
      <c r="BQ2294" s="23">
        <v>0</v>
      </c>
      <c r="BR2294" s="23">
        <v>0</v>
      </c>
      <c r="BS2294" s="23">
        <v>0</v>
      </c>
      <c r="BT2294" s="23">
        <v>0</v>
      </c>
      <c r="BU2294" s="23">
        <v>0</v>
      </c>
      <c r="BV2294" s="23"/>
      <c r="BW2294" s="23"/>
      <c r="BX2294" s="23"/>
      <c r="BY2294" s="23"/>
      <c r="BZ2294" s="23"/>
    </row>
    <row r="2295" spans="3:78" ht="20.100000000000001" customHeight="1">
      <c r="C2295" s="294">
        <v>77001504</v>
      </c>
      <c r="D2295" s="295" t="s">
        <v>5298</v>
      </c>
      <c r="E2295" s="305" t="s">
        <v>5299</v>
      </c>
      <c r="F2295" s="300">
        <v>1</v>
      </c>
      <c r="G2295" s="296">
        <v>0</v>
      </c>
      <c r="H2295" s="296">
        <v>0</v>
      </c>
      <c r="I2295" s="297">
        <v>0</v>
      </c>
      <c r="J2295" s="294">
        <v>1</v>
      </c>
      <c r="K2295" s="294">
        <v>0</v>
      </c>
      <c r="L2295" s="294">
        <v>0</v>
      </c>
      <c r="M2295" s="296">
        <v>0</v>
      </c>
      <c r="N2295" s="296">
        <v>0</v>
      </c>
      <c r="O2295" s="296">
        <v>2</v>
      </c>
      <c r="P2295" s="296">
        <v>1</v>
      </c>
      <c r="Q2295" s="296">
        <v>0.2</v>
      </c>
      <c r="R2295" s="296">
        <v>0</v>
      </c>
      <c r="S2295" s="23">
        <v>0</v>
      </c>
      <c r="T2295" s="296">
        <v>0</v>
      </c>
      <c r="U2295" s="296">
        <v>1</v>
      </c>
      <c r="V2295" s="300">
        <v>1</v>
      </c>
      <c r="W2295" s="296">
        <v>0</v>
      </c>
      <c r="X2295" s="296">
        <v>0</v>
      </c>
      <c r="Y2295" s="19">
        <v>0</v>
      </c>
      <c r="Z2295" s="296">
        <v>0</v>
      </c>
      <c r="AA2295" s="296">
        <v>1</v>
      </c>
      <c r="AB2295" s="296">
        <v>0</v>
      </c>
      <c r="AC2295" s="296">
        <v>0</v>
      </c>
      <c r="AD2295" s="296">
        <v>0</v>
      </c>
      <c r="AE2295" s="296">
        <v>1</v>
      </c>
      <c r="AF2295" s="296">
        <v>12</v>
      </c>
      <c r="AG2295" s="296">
        <v>2</v>
      </c>
      <c r="AH2295" s="296" t="s">
        <v>219</v>
      </c>
      <c r="AI2295" s="23">
        <v>0</v>
      </c>
      <c r="AJ2295" s="23">
        <v>2</v>
      </c>
      <c r="AK2295" s="23">
        <v>0</v>
      </c>
      <c r="AL2295" s="23">
        <v>1.5</v>
      </c>
      <c r="AM2295" s="296">
        <v>0</v>
      </c>
      <c r="AN2295" s="296">
        <v>0</v>
      </c>
      <c r="AO2295" s="296">
        <v>0</v>
      </c>
      <c r="AP2295" s="296">
        <v>0.5</v>
      </c>
      <c r="AQ2295" s="296">
        <v>500</v>
      </c>
      <c r="AR2295" s="296">
        <v>0</v>
      </c>
      <c r="AS2295" s="296">
        <v>18</v>
      </c>
      <c r="AT2295" s="23">
        <v>0</v>
      </c>
      <c r="AU2295" s="301">
        <v>0</v>
      </c>
      <c r="AV2295" s="301"/>
      <c r="AW2295" s="295" t="s">
        <v>293</v>
      </c>
      <c r="AX2295" s="296" t="s">
        <v>221</v>
      </c>
      <c r="AY2295" s="294">
        <v>0</v>
      </c>
      <c r="AZ2295" s="294">
        <v>0</v>
      </c>
      <c r="BA2295" s="295" t="s">
        <v>222</v>
      </c>
      <c r="BB2295" s="296">
        <v>0</v>
      </c>
      <c r="BC2295" s="297">
        <v>0</v>
      </c>
      <c r="BD2295" s="297">
        <v>0</v>
      </c>
      <c r="BE2295" s="299" t="s">
        <v>5300</v>
      </c>
      <c r="BF2295" s="299" t="s">
        <v>5301</v>
      </c>
      <c r="BG2295" s="296">
        <v>0</v>
      </c>
      <c r="BH2295" s="296">
        <v>0</v>
      </c>
      <c r="BI2295" s="296">
        <v>0</v>
      </c>
      <c r="BJ2295" s="296">
        <v>0</v>
      </c>
      <c r="BK2295" s="296">
        <v>0</v>
      </c>
      <c r="BL2295" s="296">
        <v>0</v>
      </c>
      <c r="BM2295" s="300">
        <v>0</v>
      </c>
      <c r="BN2295" s="23">
        <v>0</v>
      </c>
      <c r="BO2295" s="23">
        <v>0</v>
      </c>
      <c r="BP2295" s="23">
        <v>0</v>
      </c>
      <c r="BQ2295" s="23">
        <v>0</v>
      </c>
      <c r="BR2295" s="23">
        <v>0</v>
      </c>
      <c r="BS2295" s="23">
        <v>1</v>
      </c>
      <c r="BT2295" s="23">
        <v>77001505</v>
      </c>
      <c r="BU2295" s="23">
        <v>0</v>
      </c>
      <c r="BV2295" s="23"/>
      <c r="BW2295" s="23"/>
      <c r="BX2295" s="23"/>
      <c r="BY2295" s="23"/>
      <c r="BZ2295" s="23"/>
    </row>
    <row r="2296" spans="3:78" ht="19.5" customHeight="1">
      <c r="C2296" s="294">
        <v>77001505</v>
      </c>
      <c r="D2296" s="295" t="s">
        <v>5302</v>
      </c>
      <c r="E2296" s="295" t="s">
        <v>1272</v>
      </c>
      <c r="F2296" s="294">
        <v>1</v>
      </c>
      <c r="G2296" s="296">
        <v>0</v>
      </c>
      <c r="H2296" s="294">
        <v>0</v>
      </c>
      <c r="I2296" s="297">
        <v>0</v>
      </c>
      <c r="J2296" s="294">
        <v>1</v>
      </c>
      <c r="K2296" s="294">
        <v>0</v>
      </c>
      <c r="L2296" s="294">
        <v>0</v>
      </c>
      <c r="M2296" s="296">
        <v>0</v>
      </c>
      <c r="N2296" s="296">
        <v>0</v>
      </c>
      <c r="O2296" s="296">
        <v>2</v>
      </c>
      <c r="P2296" s="296">
        <v>16</v>
      </c>
      <c r="Q2296" s="296">
        <v>5</v>
      </c>
      <c r="R2296" s="296">
        <v>0</v>
      </c>
      <c r="S2296" s="23">
        <v>0</v>
      </c>
      <c r="T2296" s="296">
        <v>0</v>
      </c>
      <c r="U2296" s="296">
        <v>1</v>
      </c>
      <c r="V2296" s="296">
        <v>2</v>
      </c>
      <c r="W2296" s="296">
        <v>0</v>
      </c>
      <c r="X2296" s="296">
        <v>2</v>
      </c>
      <c r="Y2296" s="19">
        <v>0</v>
      </c>
      <c r="Z2296" s="296">
        <v>0</v>
      </c>
      <c r="AA2296" s="296">
        <v>0</v>
      </c>
      <c r="AB2296" s="296">
        <v>0</v>
      </c>
      <c r="AC2296" s="296">
        <v>0</v>
      </c>
      <c r="AD2296" s="296">
        <v>0</v>
      </c>
      <c r="AE2296" s="296">
        <v>1</v>
      </c>
      <c r="AF2296" s="296">
        <v>0</v>
      </c>
      <c r="AG2296" s="296">
        <v>1</v>
      </c>
      <c r="AH2296" s="296" t="s">
        <v>5303</v>
      </c>
      <c r="AI2296" s="23">
        <v>0</v>
      </c>
      <c r="AJ2296" s="23">
        <v>2</v>
      </c>
      <c r="AK2296" s="23">
        <v>0</v>
      </c>
      <c r="AL2296" s="23">
        <v>2</v>
      </c>
      <c r="AM2296" s="296">
        <v>0</v>
      </c>
      <c r="AN2296" s="296">
        <v>0</v>
      </c>
      <c r="AO2296" s="296">
        <v>0</v>
      </c>
      <c r="AP2296" s="296">
        <v>0.5</v>
      </c>
      <c r="AQ2296" s="296">
        <v>1000</v>
      </c>
      <c r="AR2296" s="296">
        <v>0.5</v>
      </c>
      <c r="AS2296" s="296">
        <v>0</v>
      </c>
      <c r="AT2296" s="302">
        <v>0</v>
      </c>
      <c r="AU2296" s="359" t="s">
        <v>5304</v>
      </c>
      <c r="AV2296" s="301"/>
      <c r="AW2296" s="295" t="s">
        <v>205</v>
      </c>
      <c r="AX2296" s="296" t="s">
        <v>540</v>
      </c>
      <c r="AY2296" s="294">
        <v>10000007</v>
      </c>
      <c r="AZ2296" s="360" t="s">
        <v>5305</v>
      </c>
      <c r="BA2296" s="295" t="s">
        <v>206</v>
      </c>
      <c r="BB2296" s="296">
        <v>0</v>
      </c>
      <c r="BC2296" s="297">
        <v>0</v>
      </c>
      <c r="BD2296" s="297">
        <v>1</v>
      </c>
      <c r="BE2296" s="299" t="s">
        <v>1312</v>
      </c>
      <c r="BF2296" s="299" t="s">
        <v>1313</v>
      </c>
      <c r="BG2296" s="296">
        <v>0</v>
      </c>
      <c r="BH2296" s="296">
        <v>0</v>
      </c>
      <c r="BI2296" s="296">
        <v>0</v>
      </c>
      <c r="BJ2296" s="296">
        <v>0</v>
      </c>
      <c r="BK2296" s="296">
        <v>0</v>
      </c>
      <c r="BL2296" s="296">
        <v>0</v>
      </c>
      <c r="BM2296" s="300">
        <v>0</v>
      </c>
      <c r="BN2296" s="23">
        <v>0</v>
      </c>
      <c r="BO2296" s="23">
        <v>0</v>
      </c>
      <c r="BP2296" s="23">
        <v>0</v>
      </c>
      <c r="BQ2296" s="23">
        <v>0</v>
      </c>
      <c r="BR2296" s="23">
        <v>0</v>
      </c>
      <c r="BS2296" s="23">
        <v>0</v>
      </c>
      <c r="BT2296" s="23">
        <v>77001508</v>
      </c>
      <c r="BU2296" s="23">
        <v>0</v>
      </c>
      <c r="BV2296" s="23"/>
      <c r="BW2296" s="23"/>
      <c r="BX2296" s="23"/>
      <c r="BY2296" s="23"/>
      <c r="BZ2296" s="23"/>
    </row>
    <row r="2297" spans="3:78" ht="19.5" customHeight="1">
      <c r="C2297" s="294">
        <v>77001506</v>
      </c>
      <c r="D2297" s="295" t="s">
        <v>5306</v>
      </c>
      <c r="E2297" s="295" t="s">
        <v>5307</v>
      </c>
      <c r="F2297" s="294">
        <v>1</v>
      </c>
      <c r="G2297" s="294">
        <v>0</v>
      </c>
      <c r="H2297" s="294">
        <v>0</v>
      </c>
      <c r="I2297" s="297">
        <v>0</v>
      </c>
      <c r="J2297" s="294">
        <v>1</v>
      </c>
      <c r="K2297" s="294">
        <v>0</v>
      </c>
      <c r="L2297" s="294">
        <v>0</v>
      </c>
      <c r="M2297" s="296">
        <v>0</v>
      </c>
      <c r="N2297" s="296">
        <v>0</v>
      </c>
      <c r="O2297" s="296">
        <v>2</v>
      </c>
      <c r="P2297" s="296">
        <v>2</v>
      </c>
      <c r="Q2297" s="296">
        <v>0.3</v>
      </c>
      <c r="R2297" s="296">
        <v>1</v>
      </c>
      <c r="S2297" s="23">
        <v>0</v>
      </c>
      <c r="T2297" s="296">
        <v>0</v>
      </c>
      <c r="U2297" s="296">
        <v>1</v>
      </c>
      <c r="V2297" s="296">
        <v>2</v>
      </c>
      <c r="W2297" s="296">
        <v>0</v>
      </c>
      <c r="X2297" s="296">
        <v>2.5</v>
      </c>
      <c r="Y2297" s="19">
        <v>0</v>
      </c>
      <c r="Z2297" s="296">
        <v>0</v>
      </c>
      <c r="AA2297" s="296">
        <v>1</v>
      </c>
      <c r="AB2297" s="296">
        <v>0</v>
      </c>
      <c r="AC2297" s="296">
        <v>0</v>
      </c>
      <c r="AD2297" s="296">
        <v>1</v>
      </c>
      <c r="AE2297" s="296">
        <v>0</v>
      </c>
      <c r="AF2297" s="296">
        <v>0</v>
      </c>
      <c r="AG2297" s="296">
        <v>1</v>
      </c>
      <c r="AH2297" s="296">
        <v>5</v>
      </c>
      <c r="AI2297" s="23">
        <v>0</v>
      </c>
      <c r="AJ2297" s="23">
        <v>1</v>
      </c>
      <c r="AK2297" s="23">
        <v>0</v>
      </c>
      <c r="AL2297" s="23">
        <v>1.5</v>
      </c>
      <c r="AM2297" s="296">
        <v>0</v>
      </c>
      <c r="AN2297" s="296">
        <v>0</v>
      </c>
      <c r="AO2297" s="296">
        <v>0</v>
      </c>
      <c r="AP2297" s="296">
        <v>1.5</v>
      </c>
      <c r="AQ2297" s="296">
        <v>2000</v>
      </c>
      <c r="AR2297" s="296">
        <v>1.5</v>
      </c>
      <c r="AS2297" s="296">
        <v>0</v>
      </c>
      <c r="AT2297" s="23">
        <v>97005007</v>
      </c>
      <c r="AU2297" s="359" t="s">
        <v>5304</v>
      </c>
      <c r="AV2297" s="301"/>
      <c r="AW2297" s="298" t="s">
        <v>623</v>
      </c>
      <c r="AX2297" s="296" t="s">
        <v>540</v>
      </c>
      <c r="AY2297" s="294">
        <v>0</v>
      </c>
      <c r="AZ2297" s="294">
        <v>77001506</v>
      </c>
      <c r="BA2297" s="295" t="s">
        <v>206</v>
      </c>
      <c r="BB2297" s="296">
        <v>0</v>
      </c>
      <c r="BC2297" s="297">
        <v>0</v>
      </c>
      <c r="BD2297" s="297">
        <v>0</v>
      </c>
      <c r="BE2297" s="299" t="s">
        <v>5308</v>
      </c>
      <c r="BF2297" s="299" t="s">
        <v>5309</v>
      </c>
      <c r="BG2297" s="296">
        <v>0</v>
      </c>
      <c r="BH2297" s="296">
        <v>0</v>
      </c>
      <c r="BI2297" s="296">
        <v>0</v>
      </c>
      <c r="BJ2297" s="296">
        <v>0</v>
      </c>
      <c r="BK2297" s="296">
        <v>0</v>
      </c>
      <c r="BL2297" s="296">
        <v>0</v>
      </c>
      <c r="BM2297" s="300">
        <v>0</v>
      </c>
      <c r="BN2297" s="23">
        <v>0</v>
      </c>
      <c r="BO2297" s="23">
        <v>0</v>
      </c>
      <c r="BP2297" s="23">
        <v>0</v>
      </c>
      <c r="BQ2297" s="23">
        <v>0</v>
      </c>
      <c r="BR2297" s="23">
        <v>0</v>
      </c>
      <c r="BS2297" s="23">
        <v>0</v>
      </c>
      <c r="BT2297" s="23">
        <v>0</v>
      </c>
      <c r="BU2297" s="23">
        <v>0</v>
      </c>
      <c r="BV2297" s="23"/>
      <c r="BW2297" s="23"/>
      <c r="BX2297" s="23"/>
      <c r="BY2297" s="23"/>
      <c r="BZ2297" s="23"/>
    </row>
    <row r="2298" spans="3:78" ht="19.5" customHeight="1">
      <c r="C2298" s="294">
        <v>77001507</v>
      </c>
      <c r="D2298" s="295" t="s">
        <v>5310</v>
      </c>
      <c r="E2298" s="295" t="s">
        <v>5311</v>
      </c>
      <c r="F2298" s="294">
        <v>1</v>
      </c>
      <c r="G2298" s="294">
        <v>0</v>
      </c>
      <c r="H2298" s="294">
        <v>0</v>
      </c>
      <c r="I2298" s="297">
        <v>0</v>
      </c>
      <c r="J2298" s="294">
        <v>1</v>
      </c>
      <c r="K2298" s="294">
        <v>0</v>
      </c>
      <c r="L2298" s="294">
        <v>0</v>
      </c>
      <c r="M2298" s="296">
        <v>0</v>
      </c>
      <c r="N2298" s="296">
        <v>0</v>
      </c>
      <c r="O2298" s="296">
        <v>2</v>
      </c>
      <c r="P2298" s="296">
        <v>3</v>
      </c>
      <c r="Q2298" s="296">
        <v>0.2</v>
      </c>
      <c r="R2298" s="296">
        <v>0</v>
      </c>
      <c r="S2298" s="23">
        <v>1</v>
      </c>
      <c r="T2298" s="296">
        <v>0</v>
      </c>
      <c r="U2298" s="296">
        <v>1</v>
      </c>
      <c r="V2298" s="296">
        <v>2</v>
      </c>
      <c r="W2298" s="296">
        <v>0</v>
      </c>
      <c r="X2298" s="296">
        <v>2</v>
      </c>
      <c r="Y2298" s="19">
        <v>0</v>
      </c>
      <c r="Z2298" s="296">
        <v>0</v>
      </c>
      <c r="AA2298" s="296">
        <v>1</v>
      </c>
      <c r="AB2298" s="296">
        <v>0</v>
      </c>
      <c r="AC2298" s="296">
        <v>0</v>
      </c>
      <c r="AD2298" s="296">
        <v>1</v>
      </c>
      <c r="AE2298" s="296">
        <v>1</v>
      </c>
      <c r="AF2298" s="296">
        <v>0</v>
      </c>
      <c r="AG2298" s="296">
        <v>1</v>
      </c>
      <c r="AH2298" s="296">
        <v>3</v>
      </c>
      <c r="AI2298" s="23">
        <v>0</v>
      </c>
      <c r="AJ2298" s="23">
        <v>1</v>
      </c>
      <c r="AK2298" s="23">
        <v>0</v>
      </c>
      <c r="AL2298" s="23">
        <v>3</v>
      </c>
      <c r="AM2298" s="296">
        <v>0</v>
      </c>
      <c r="AN2298" s="296">
        <v>0</v>
      </c>
      <c r="AO2298" s="296">
        <v>0</v>
      </c>
      <c r="AP2298" s="296">
        <v>0</v>
      </c>
      <c r="AQ2298" s="296">
        <v>500</v>
      </c>
      <c r="AR2298" s="296">
        <v>0.3</v>
      </c>
      <c r="AS2298" s="296">
        <v>0</v>
      </c>
      <c r="AT2298" s="23">
        <v>0</v>
      </c>
      <c r="AU2298" s="301">
        <v>0</v>
      </c>
      <c r="AV2298" s="301"/>
      <c r="AW2298" s="298" t="s">
        <v>204</v>
      </c>
      <c r="AX2298" s="296" t="s">
        <v>540</v>
      </c>
      <c r="AY2298" s="294">
        <v>0</v>
      </c>
      <c r="AZ2298" s="294">
        <v>77001507</v>
      </c>
      <c r="BA2298" s="295" t="s">
        <v>206</v>
      </c>
      <c r="BB2298" s="296">
        <v>0</v>
      </c>
      <c r="BC2298" s="297">
        <v>0</v>
      </c>
      <c r="BD2298" s="297">
        <v>0</v>
      </c>
      <c r="BE2298" s="299" t="s">
        <v>2334</v>
      </c>
      <c r="BF2298" s="299" t="s">
        <v>2335</v>
      </c>
      <c r="BG2298" s="296">
        <v>0</v>
      </c>
      <c r="BH2298" s="296">
        <v>0</v>
      </c>
      <c r="BI2298" s="296">
        <v>0</v>
      </c>
      <c r="BJ2298" s="296">
        <v>0</v>
      </c>
      <c r="BK2298" s="296">
        <v>0</v>
      </c>
      <c r="BL2298" s="296">
        <v>0</v>
      </c>
      <c r="BM2298" s="300">
        <v>0</v>
      </c>
      <c r="BN2298" s="23">
        <v>0</v>
      </c>
      <c r="BO2298" s="23">
        <v>0</v>
      </c>
      <c r="BP2298" s="23">
        <v>0</v>
      </c>
      <c r="BQ2298" s="23">
        <v>0</v>
      </c>
      <c r="BR2298" s="23">
        <v>0</v>
      </c>
      <c r="BS2298" s="23">
        <v>0</v>
      </c>
      <c r="BT2298" s="23">
        <v>0</v>
      </c>
      <c r="BU2298" s="23">
        <v>0</v>
      </c>
      <c r="BV2298" s="23"/>
      <c r="BW2298" s="23"/>
      <c r="BX2298" s="23"/>
      <c r="BY2298" s="23"/>
      <c r="BZ2298" s="23"/>
    </row>
    <row r="2299" spans="3:78" ht="19.5" customHeight="1">
      <c r="C2299" s="294">
        <v>77001508</v>
      </c>
      <c r="D2299" s="295" t="s">
        <v>568</v>
      </c>
      <c r="E2299" s="295" t="s">
        <v>569</v>
      </c>
      <c r="F2299" s="294">
        <v>1</v>
      </c>
      <c r="G2299" s="296">
        <v>0</v>
      </c>
      <c r="H2299" s="294">
        <v>0</v>
      </c>
      <c r="I2299" s="297">
        <v>0</v>
      </c>
      <c r="J2299" s="294">
        <v>1</v>
      </c>
      <c r="K2299" s="294">
        <v>0</v>
      </c>
      <c r="L2299" s="294">
        <v>0</v>
      </c>
      <c r="M2299" s="296">
        <v>0</v>
      </c>
      <c r="N2299" s="296">
        <v>0</v>
      </c>
      <c r="O2299" s="296">
        <v>2</v>
      </c>
      <c r="P2299" s="296">
        <v>1</v>
      </c>
      <c r="Q2299" s="296">
        <v>1</v>
      </c>
      <c r="R2299" s="296">
        <v>0</v>
      </c>
      <c r="S2299" s="23">
        <v>0</v>
      </c>
      <c r="T2299" s="296">
        <v>0</v>
      </c>
      <c r="U2299" s="296">
        <v>1</v>
      </c>
      <c r="V2299" s="296">
        <v>2</v>
      </c>
      <c r="W2299" s="296">
        <v>0</v>
      </c>
      <c r="X2299" s="296">
        <v>0.5</v>
      </c>
      <c r="Y2299" s="19">
        <v>0</v>
      </c>
      <c r="Z2299" s="296">
        <v>0</v>
      </c>
      <c r="AA2299" s="296">
        <v>1</v>
      </c>
      <c r="AB2299" s="296">
        <v>0</v>
      </c>
      <c r="AC2299" s="296">
        <v>0</v>
      </c>
      <c r="AD2299" s="296">
        <v>0</v>
      </c>
      <c r="AE2299" s="296">
        <v>0</v>
      </c>
      <c r="AF2299" s="296">
        <v>25</v>
      </c>
      <c r="AG2299" s="296">
        <v>1</v>
      </c>
      <c r="AH2299" s="296">
        <v>3</v>
      </c>
      <c r="AI2299" s="23">
        <v>0</v>
      </c>
      <c r="AJ2299" s="23">
        <v>0</v>
      </c>
      <c r="AK2299" s="23">
        <v>0</v>
      </c>
      <c r="AL2299" s="23">
        <v>0</v>
      </c>
      <c r="AM2299" s="296">
        <v>0</v>
      </c>
      <c r="AN2299" s="296">
        <v>0</v>
      </c>
      <c r="AO2299" s="296">
        <v>0</v>
      </c>
      <c r="AP2299" s="296">
        <v>0</v>
      </c>
      <c r="AQ2299" s="296">
        <v>300000</v>
      </c>
      <c r="AR2299" s="296">
        <v>0</v>
      </c>
      <c r="AS2299" s="296">
        <v>0</v>
      </c>
      <c r="AT2299" s="361" t="s">
        <v>5312</v>
      </c>
      <c r="AU2299" s="296">
        <v>97005002</v>
      </c>
      <c r="AV2299" s="296"/>
      <c r="AW2299" s="298" t="s">
        <v>204</v>
      </c>
      <c r="AX2299" s="296" t="s">
        <v>540</v>
      </c>
      <c r="AY2299" s="294">
        <v>10000007</v>
      </c>
      <c r="AZ2299" s="294">
        <v>77001503</v>
      </c>
      <c r="BA2299" s="298" t="s">
        <v>321</v>
      </c>
      <c r="BB2299" s="298" t="s">
        <v>377</v>
      </c>
      <c r="BC2299" s="297">
        <v>0</v>
      </c>
      <c r="BD2299" s="297">
        <v>0</v>
      </c>
      <c r="BE2299" s="299" t="s">
        <v>1232</v>
      </c>
      <c r="BF2299" s="299" t="s">
        <v>1233</v>
      </c>
      <c r="BG2299" s="296">
        <v>0</v>
      </c>
      <c r="BH2299" s="296">
        <v>0</v>
      </c>
      <c r="BI2299" s="296">
        <v>0</v>
      </c>
      <c r="BJ2299" s="296">
        <v>0</v>
      </c>
      <c r="BK2299" s="296">
        <v>0</v>
      </c>
      <c r="BL2299" s="296">
        <v>0</v>
      </c>
      <c r="BM2299" s="300">
        <v>0</v>
      </c>
      <c r="BN2299" s="23">
        <v>0</v>
      </c>
      <c r="BO2299" s="23">
        <v>0</v>
      </c>
      <c r="BP2299" s="23">
        <v>0</v>
      </c>
      <c r="BQ2299" s="23">
        <v>0</v>
      </c>
      <c r="BR2299" s="23">
        <v>0</v>
      </c>
      <c r="BS2299" s="23">
        <v>1</v>
      </c>
      <c r="BT2299" s="23">
        <v>0</v>
      </c>
      <c r="BU2299" s="23">
        <v>0</v>
      </c>
      <c r="BV2299" s="23"/>
      <c r="BW2299" s="23"/>
      <c r="BX2299" s="23"/>
      <c r="BY2299" s="23"/>
      <c r="BZ2299" s="23"/>
    </row>
    <row r="2300" spans="3:78" ht="20.100000000000001" customHeight="1">
      <c r="C2300" s="107">
        <v>77001601</v>
      </c>
      <c r="D2300" s="110" t="s">
        <v>5313</v>
      </c>
      <c r="E2300" s="110" t="s">
        <v>5314</v>
      </c>
      <c r="F2300" s="100">
        <v>1</v>
      </c>
      <c r="G2300" s="100">
        <v>0</v>
      </c>
      <c r="H2300" s="107">
        <v>0</v>
      </c>
      <c r="I2300" s="105">
        <v>0</v>
      </c>
      <c r="J2300" s="107">
        <v>1</v>
      </c>
      <c r="K2300" s="107">
        <v>0</v>
      </c>
      <c r="L2300" s="107">
        <v>0</v>
      </c>
      <c r="M2300" s="100">
        <v>0</v>
      </c>
      <c r="N2300" s="100">
        <v>0</v>
      </c>
      <c r="O2300" s="100">
        <v>2</v>
      </c>
      <c r="P2300" s="100">
        <v>16</v>
      </c>
      <c r="Q2300" s="100">
        <v>8</v>
      </c>
      <c r="R2300" s="100">
        <v>0</v>
      </c>
      <c r="S2300" s="99">
        <v>3</v>
      </c>
      <c r="T2300" s="100">
        <v>0</v>
      </c>
      <c r="U2300" s="100">
        <v>1</v>
      </c>
      <c r="V2300" s="100">
        <v>2</v>
      </c>
      <c r="W2300" s="100">
        <v>0</v>
      </c>
      <c r="X2300" s="100">
        <v>1.2</v>
      </c>
      <c r="Y2300" s="19">
        <v>0</v>
      </c>
      <c r="Z2300" s="100">
        <v>0</v>
      </c>
      <c r="AA2300" s="100">
        <v>0</v>
      </c>
      <c r="AB2300" s="100">
        <v>0</v>
      </c>
      <c r="AC2300" s="100">
        <v>0</v>
      </c>
      <c r="AD2300" s="100">
        <v>0</v>
      </c>
      <c r="AE2300" s="100">
        <v>0</v>
      </c>
      <c r="AF2300" s="100">
        <v>0</v>
      </c>
      <c r="AG2300" s="100">
        <v>1</v>
      </c>
      <c r="AH2300" s="100">
        <v>3</v>
      </c>
      <c r="AI2300" s="99">
        <v>6</v>
      </c>
      <c r="AJ2300" s="99">
        <v>1</v>
      </c>
      <c r="AK2300" s="99">
        <v>0</v>
      </c>
      <c r="AL2300" s="99">
        <v>1.5</v>
      </c>
      <c r="AM2300" s="100">
        <v>0</v>
      </c>
      <c r="AN2300" s="100">
        <v>0</v>
      </c>
      <c r="AO2300" s="100">
        <v>0</v>
      </c>
      <c r="AP2300" s="100">
        <v>1</v>
      </c>
      <c r="AQ2300" s="100">
        <v>5000</v>
      </c>
      <c r="AR2300" s="100">
        <v>1</v>
      </c>
      <c r="AS2300" s="100">
        <v>0</v>
      </c>
      <c r="AT2300" s="99">
        <v>0</v>
      </c>
      <c r="AU2300" s="327" t="s">
        <v>5315</v>
      </c>
      <c r="AV2300" s="118"/>
      <c r="AW2300" s="104" t="s">
        <v>262</v>
      </c>
      <c r="AX2300" s="100" t="s">
        <v>540</v>
      </c>
      <c r="AY2300" s="107">
        <v>10000007</v>
      </c>
      <c r="AZ2300" s="325" t="s">
        <v>5316</v>
      </c>
      <c r="BA2300" s="110" t="s">
        <v>206</v>
      </c>
      <c r="BB2300" s="100" t="s">
        <v>5317</v>
      </c>
      <c r="BC2300" s="105">
        <v>0</v>
      </c>
      <c r="BD2300" s="105">
        <v>0</v>
      </c>
      <c r="BE2300" s="111" t="s">
        <v>5318</v>
      </c>
      <c r="BF2300" s="111" t="s">
        <v>5319</v>
      </c>
      <c r="BG2300" s="100">
        <v>0</v>
      </c>
      <c r="BH2300" s="100">
        <v>0</v>
      </c>
      <c r="BI2300" s="100">
        <v>0</v>
      </c>
      <c r="BJ2300" s="100">
        <v>0</v>
      </c>
      <c r="BK2300" s="100">
        <v>0</v>
      </c>
      <c r="BL2300" s="100">
        <v>0</v>
      </c>
      <c r="BM2300" s="97">
        <v>0</v>
      </c>
      <c r="BN2300" s="99">
        <v>0</v>
      </c>
      <c r="BO2300" s="99">
        <v>0</v>
      </c>
      <c r="BP2300" s="99">
        <v>0</v>
      </c>
      <c r="BQ2300" s="99">
        <v>0</v>
      </c>
      <c r="BR2300" s="99">
        <v>0</v>
      </c>
      <c r="BS2300" s="99">
        <v>0</v>
      </c>
      <c r="BT2300" s="99">
        <v>0</v>
      </c>
      <c r="BU2300" s="23">
        <v>0</v>
      </c>
      <c r="BV2300" s="23"/>
      <c r="BW2300" s="23"/>
      <c r="BX2300" s="23"/>
      <c r="BY2300" s="23"/>
      <c r="BZ2300" s="23"/>
    </row>
    <row r="2301" spans="3:78" ht="20.100000000000001" customHeight="1">
      <c r="C2301" s="107">
        <v>77001602</v>
      </c>
      <c r="D2301" s="119" t="s">
        <v>820</v>
      </c>
      <c r="E2301" s="119" t="s">
        <v>821</v>
      </c>
      <c r="F2301" s="97">
        <v>1</v>
      </c>
      <c r="G2301" s="97">
        <v>0</v>
      </c>
      <c r="H2301" s="97">
        <v>0</v>
      </c>
      <c r="I2301" s="98">
        <v>0</v>
      </c>
      <c r="J2301" s="107">
        <v>1</v>
      </c>
      <c r="K2301" s="97">
        <v>0</v>
      </c>
      <c r="L2301" s="98">
        <v>0</v>
      </c>
      <c r="M2301" s="98">
        <v>0</v>
      </c>
      <c r="N2301" s="97">
        <v>0</v>
      </c>
      <c r="O2301" s="100">
        <v>2</v>
      </c>
      <c r="P2301" s="100">
        <v>2</v>
      </c>
      <c r="Q2301" s="97">
        <v>0.8</v>
      </c>
      <c r="R2301" s="97">
        <v>0</v>
      </c>
      <c r="S2301" s="99">
        <v>0</v>
      </c>
      <c r="T2301" s="97">
        <v>0</v>
      </c>
      <c r="U2301" s="100">
        <v>1</v>
      </c>
      <c r="V2301" s="97">
        <v>1</v>
      </c>
      <c r="W2301" s="98">
        <v>0</v>
      </c>
      <c r="X2301" s="97">
        <v>2</v>
      </c>
      <c r="Y2301" s="19">
        <v>0</v>
      </c>
      <c r="Z2301" s="97">
        <v>0</v>
      </c>
      <c r="AA2301" s="97">
        <v>0</v>
      </c>
      <c r="AB2301" s="97">
        <v>0</v>
      </c>
      <c r="AC2301" s="98">
        <v>0</v>
      </c>
      <c r="AD2301" s="97">
        <v>0</v>
      </c>
      <c r="AE2301" s="97">
        <v>0</v>
      </c>
      <c r="AF2301" s="97">
        <v>0</v>
      </c>
      <c r="AG2301" s="97">
        <v>1</v>
      </c>
      <c r="AH2301" s="100">
        <v>2</v>
      </c>
      <c r="AI2301" s="101">
        <v>0</v>
      </c>
      <c r="AJ2301" s="101">
        <v>2</v>
      </c>
      <c r="AK2301" s="99">
        <v>0</v>
      </c>
      <c r="AL2301" s="97">
        <v>1.5</v>
      </c>
      <c r="AM2301" s="102">
        <v>0</v>
      </c>
      <c r="AN2301" s="97">
        <v>0</v>
      </c>
      <c r="AO2301" s="97">
        <v>0</v>
      </c>
      <c r="AP2301" s="97">
        <v>0</v>
      </c>
      <c r="AQ2301" s="100">
        <v>7000</v>
      </c>
      <c r="AR2301" s="97">
        <v>0</v>
      </c>
      <c r="AS2301" s="97">
        <v>10</v>
      </c>
      <c r="AT2301" s="99">
        <v>0</v>
      </c>
      <c r="AU2301" s="100">
        <v>0</v>
      </c>
      <c r="AV2301" s="100"/>
      <c r="AW2301" s="104" t="s">
        <v>293</v>
      </c>
      <c r="AX2301" s="98">
        <v>0</v>
      </c>
      <c r="AY2301" s="98">
        <v>0</v>
      </c>
      <c r="AZ2301" s="107">
        <v>77001602</v>
      </c>
      <c r="BA2301" s="104" t="s">
        <v>592</v>
      </c>
      <c r="BB2301" s="100" t="s">
        <v>5320</v>
      </c>
      <c r="BC2301" s="105">
        <v>0</v>
      </c>
      <c r="BD2301" s="105">
        <v>0</v>
      </c>
      <c r="BE2301" s="111" t="s">
        <v>5321</v>
      </c>
      <c r="BF2301" s="120" t="s">
        <v>5322</v>
      </c>
      <c r="BG2301" s="97">
        <v>2</v>
      </c>
      <c r="BH2301" s="97">
        <v>0</v>
      </c>
      <c r="BI2301" s="107">
        <v>0</v>
      </c>
      <c r="BJ2301" s="97">
        <v>1</v>
      </c>
      <c r="BK2301" s="97">
        <v>2</v>
      </c>
      <c r="BL2301" s="102">
        <v>0</v>
      </c>
      <c r="BM2301" s="97">
        <v>0</v>
      </c>
      <c r="BN2301" s="99">
        <v>0</v>
      </c>
      <c r="BO2301" s="99">
        <v>0</v>
      </c>
      <c r="BP2301" s="99">
        <v>0</v>
      </c>
      <c r="BQ2301" s="99">
        <v>0</v>
      </c>
      <c r="BR2301" s="99">
        <v>0</v>
      </c>
      <c r="BS2301" s="99">
        <v>1</v>
      </c>
      <c r="BT2301" s="99">
        <v>0</v>
      </c>
      <c r="BU2301" s="23">
        <v>0</v>
      </c>
      <c r="BV2301" s="23"/>
      <c r="BW2301" s="23"/>
      <c r="BX2301" s="23"/>
      <c r="BY2301" s="23"/>
      <c r="BZ2301" s="23"/>
    </row>
    <row r="2302" spans="3:78" ht="19.5" customHeight="1">
      <c r="C2302" s="107">
        <v>77001603</v>
      </c>
      <c r="D2302" s="110" t="s">
        <v>5323</v>
      </c>
      <c r="E2302" s="110" t="s">
        <v>5324</v>
      </c>
      <c r="F2302" s="107">
        <v>1</v>
      </c>
      <c r="G2302" s="100">
        <v>0</v>
      </c>
      <c r="H2302" s="107">
        <v>0</v>
      </c>
      <c r="I2302" s="105">
        <v>0</v>
      </c>
      <c r="J2302" s="107">
        <v>1</v>
      </c>
      <c r="K2302" s="107">
        <v>0</v>
      </c>
      <c r="L2302" s="107">
        <v>0</v>
      </c>
      <c r="M2302" s="100">
        <v>0</v>
      </c>
      <c r="N2302" s="100">
        <v>0</v>
      </c>
      <c r="O2302" s="100">
        <v>2</v>
      </c>
      <c r="P2302" s="100">
        <v>2</v>
      </c>
      <c r="Q2302" s="100">
        <v>0.6</v>
      </c>
      <c r="R2302" s="100">
        <v>0</v>
      </c>
      <c r="S2302" s="99">
        <v>0</v>
      </c>
      <c r="T2302" s="100">
        <v>0</v>
      </c>
      <c r="U2302" s="100">
        <v>1</v>
      </c>
      <c r="V2302" s="100">
        <v>2</v>
      </c>
      <c r="W2302" s="100">
        <v>0</v>
      </c>
      <c r="X2302" s="100">
        <v>0.8</v>
      </c>
      <c r="Y2302" s="19">
        <v>0</v>
      </c>
      <c r="Z2302" s="100">
        <v>0</v>
      </c>
      <c r="AA2302" s="100">
        <v>1</v>
      </c>
      <c r="AB2302" s="100">
        <v>0</v>
      </c>
      <c r="AC2302" s="100">
        <v>0</v>
      </c>
      <c r="AD2302" s="100">
        <v>0</v>
      </c>
      <c r="AE2302" s="100">
        <v>0</v>
      </c>
      <c r="AF2302" s="100">
        <v>16</v>
      </c>
      <c r="AG2302" s="100">
        <v>1</v>
      </c>
      <c r="AH2302" s="100">
        <v>5</v>
      </c>
      <c r="AI2302" s="99">
        <v>0</v>
      </c>
      <c r="AJ2302" s="99">
        <v>0</v>
      </c>
      <c r="AK2302" s="99">
        <v>0</v>
      </c>
      <c r="AL2302" s="99">
        <v>0</v>
      </c>
      <c r="AM2302" s="100">
        <v>0</v>
      </c>
      <c r="AN2302" s="100">
        <v>0</v>
      </c>
      <c r="AO2302" s="100">
        <v>0</v>
      </c>
      <c r="AP2302" s="100">
        <v>0.8</v>
      </c>
      <c r="AQ2302" s="100">
        <v>15000</v>
      </c>
      <c r="AR2302" s="100">
        <v>0.8</v>
      </c>
      <c r="AS2302" s="100">
        <v>0</v>
      </c>
      <c r="AT2302" s="117">
        <v>0</v>
      </c>
      <c r="AU2302" s="327" t="s">
        <v>5325</v>
      </c>
      <c r="AV2302" s="118"/>
      <c r="AW2302" s="104" t="s">
        <v>205</v>
      </c>
      <c r="AX2302" s="100" t="s">
        <v>540</v>
      </c>
      <c r="AY2302" s="107">
        <v>10000007</v>
      </c>
      <c r="AZ2302" s="107">
        <v>77001603</v>
      </c>
      <c r="BA2302" s="104" t="s">
        <v>321</v>
      </c>
      <c r="BB2302" s="104" t="s">
        <v>377</v>
      </c>
      <c r="BC2302" s="105">
        <v>0</v>
      </c>
      <c r="BD2302" s="105">
        <v>0</v>
      </c>
      <c r="BE2302" s="111" t="s">
        <v>5326</v>
      </c>
      <c r="BF2302" s="111" t="s">
        <v>5327</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c r="BZ2302" s="23"/>
    </row>
    <row r="2303" spans="3:78" ht="20.100000000000001" customHeight="1">
      <c r="C2303" s="107">
        <v>77001604</v>
      </c>
      <c r="D2303" s="110" t="s">
        <v>5328</v>
      </c>
      <c r="E2303" s="110" t="s">
        <v>5329</v>
      </c>
      <c r="F2303" s="100">
        <v>1</v>
      </c>
      <c r="G2303" s="100">
        <v>0</v>
      </c>
      <c r="H2303" s="100">
        <v>0</v>
      </c>
      <c r="I2303" s="105">
        <v>0</v>
      </c>
      <c r="J2303" s="107">
        <v>1</v>
      </c>
      <c r="K2303" s="100">
        <v>0</v>
      </c>
      <c r="L2303" s="100">
        <v>0</v>
      </c>
      <c r="M2303" s="100">
        <v>0</v>
      </c>
      <c r="N2303" s="100">
        <v>0</v>
      </c>
      <c r="O2303" s="100">
        <v>2</v>
      </c>
      <c r="P2303" s="100">
        <v>3</v>
      </c>
      <c r="Q2303" s="100">
        <v>0.2</v>
      </c>
      <c r="R2303" s="100">
        <v>0</v>
      </c>
      <c r="S2303" s="99">
        <v>0</v>
      </c>
      <c r="T2303" s="100">
        <v>0</v>
      </c>
      <c r="U2303" s="100">
        <v>1</v>
      </c>
      <c r="V2303" s="100">
        <v>1</v>
      </c>
      <c r="W2303" s="100">
        <v>0</v>
      </c>
      <c r="X2303" s="100">
        <v>1.5</v>
      </c>
      <c r="Y2303" s="19">
        <v>0</v>
      </c>
      <c r="Z2303" s="100">
        <v>0</v>
      </c>
      <c r="AA2303" s="100">
        <v>1</v>
      </c>
      <c r="AB2303" s="100">
        <v>0</v>
      </c>
      <c r="AC2303" s="100">
        <v>0</v>
      </c>
      <c r="AD2303" s="100">
        <v>0</v>
      </c>
      <c r="AE2303" s="100">
        <v>1</v>
      </c>
      <c r="AF2303" s="100">
        <v>8</v>
      </c>
      <c r="AG2303" s="100">
        <v>1</v>
      </c>
      <c r="AH2303" s="100">
        <v>4</v>
      </c>
      <c r="AI2303" s="99">
        <v>0</v>
      </c>
      <c r="AJ2303" s="99">
        <v>1</v>
      </c>
      <c r="AK2303" s="99">
        <v>0</v>
      </c>
      <c r="AL2303" s="99">
        <v>2</v>
      </c>
      <c r="AM2303" s="100">
        <v>0</v>
      </c>
      <c r="AN2303" s="100">
        <v>0</v>
      </c>
      <c r="AO2303" s="100">
        <v>0</v>
      </c>
      <c r="AP2303" s="100">
        <v>0.5</v>
      </c>
      <c r="AQ2303" s="100">
        <v>600</v>
      </c>
      <c r="AR2303" s="100">
        <v>0.5</v>
      </c>
      <c r="AS2303" s="100">
        <v>0</v>
      </c>
      <c r="AT2303" s="99">
        <v>0</v>
      </c>
      <c r="AU2303" s="100">
        <v>97006001</v>
      </c>
      <c r="AV2303" s="100"/>
      <c r="AW2303" s="110" t="s">
        <v>204</v>
      </c>
      <c r="AX2303" s="100" t="s">
        <v>540</v>
      </c>
      <c r="AY2303" s="107">
        <v>10000001</v>
      </c>
      <c r="AZ2303" s="107">
        <v>77001604</v>
      </c>
      <c r="BA2303" s="110" t="s">
        <v>777</v>
      </c>
      <c r="BB2303" s="100">
        <v>0</v>
      </c>
      <c r="BC2303" s="105">
        <v>0</v>
      </c>
      <c r="BD2303" s="105">
        <v>0</v>
      </c>
      <c r="BE2303" s="136" t="s">
        <v>5330</v>
      </c>
      <c r="BF2303" s="136" t="s">
        <v>5331</v>
      </c>
      <c r="BG2303" s="100">
        <v>0</v>
      </c>
      <c r="BH2303" s="100">
        <v>0</v>
      </c>
      <c r="BI2303" s="100">
        <v>0</v>
      </c>
      <c r="BJ2303" s="100">
        <v>0</v>
      </c>
      <c r="BK2303" s="100">
        <v>0</v>
      </c>
      <c r="BL2303" s="100">
        <v>0</v>
      </c>
      <c r="BM2303" s="97">
        <v>0</v>
      </c>
      <c r="BN2303" s="99">
        <v>0</v>
      </c>
      <c r="BO2303" s="99">
        <v>0</v>
      </c>
      <c r="BP2303" s="99">
        <v>0</v>
      </c>
      <c r="BQ2303" s="99">
        <v>0</v>
      </c>
      <c r="BR2303" s="99">
        <v>0</v>
      </c>
      <c r="BS2303" s="99">
        <v>0</v>
      </c>
      <c r="BT2303" s="99">
        <v>77001603</v>
      </c>
      <c r="BU2303" s="23">
        <v>0</v>
      </c>
      <c r="BV2303" s="23"/>
      <c r="BW2303" s="23"/>
      <c r="BX2303" s="23"/>
      <c r="BY2303" s="23"/>
      <c r="BZ2303" s="23"/>
    </row>
    <row r="2304" spans="3:78" ht="20.100000000000001" customHeight="1">
      <c r="C2304" s="107">
        <v>77001605</v>
      </c>
      <c r="D2304" s="110" t="s">
        <v>5332</v>
      </c>
      <c r="E2304" s="303" t="s">
        <v>5333</v>
      </c>
      <c r="F2304" s="97">
        <v>1</v>
      </c>
      <c r="G2304" s="97">
        <v>0</v>
      </c>
      <c r="H2304" s="100">
        <v>0</v>
      </c>
      <c r="I2304" s="105">
        <v>0</v>
      </c>
      <c r="J2304" s="107">
        <v>1</v>
      </c>
      <c r="K2304" s="107">
        <v>0</v>
      </c>
      <c r="L2304" s="107">
        <v>0</v>
      </c>
      <c r="M2304" s="100">
        <v>0</v>
      </c>
      <c r="N2304" s="100">
        <v>0</v>
      </c>
      <c r="O2304" s="100">
        <v>2</v>
      </c>
      <c r="P2304" s="100">
        <v>16</v>
      </c>
      <c r="Q2304" s="100">
        <v>30</v>
      </c>
      <c r="R2304" s="100">
        <v>0</v>
      </c>
      <c r="S2304" s="99">
        <v>0</v>
      </c>
      <c r="T2304" s="100">
        <v>0</v>
      </c>
      <c r="U2304" s="100">
        <v>1</v>
      </c>
      <c r="V2304" s="97">
        <v>1</v>
      </c>
      <c r="W2304" s="100">
        <v>0</v>
      </c>
      <c r="X2304" s="100">
        <v>0</v>
      </c>
      <c r="Y2304" s="19">
        <v>0</v>
      </c>
      <c r="Z2304" s="100">
        <v>0</v>
      </c>
      <c r="AA2304" s="100">
        <v>1</v>
      </c>
      <c r="AB2304" s="100">
        <v>0</v>
      </c>
      <c r="AC2304" s="100">
        <v>0</v>
      </c>
      <c r="AD2304" s="100">
        <v>0</v>
      </c>
      <c r="AE2304" s="100">
        <v>1</v>
      </c>
      <c r="AF2304" s="100">
        <v>0</v>
      </c>
      <c r="AG2304" s="100">
        <v>1</v>
      </c>
      <c r="AH2304" s="100">
        <v>15</v>
      </c>
      <c r="AI2304" s="99">
        <v>0</v>
      </c>
      <c r="AJ2304" s="99">
        <v>1</v>
      </c>
      <c r="AK2304" s="99">
        <v>0</v>
      </c>
      <c r="AL2304" s="99">
        <v>1.5</v>
      </c>
      <c r="AM2304" s="100">
        <v>0</v>
      </c>
      <c r="AN2304" s="100">
        <v>0</v>
      </c>
      <c r="AO2304" s="100">
        <v>0</v>
      </c>
      <c r="AP2304" s="100">
        <v>1</v>
      </c>
      <c r="AQ2304" s="100">
        <v>3000</v>
      </c>
      <c r="AR2304" s="100">
        <v>0.5</v>
      </c>
      <c r="AS2304" s="100">
        <v>0</v>
      </c>
      <c r="AT2304" s="323" t="s">
        <v>5334</v>
      </c>
      <c r="AU2304" s="118">
        <v>0</v>
      </c>
      <c r="AV2304" s="118"/>
      <c r="AW2304" s="110" t="s">
        <v>293</v>
      </c>
      <c r="AX2304" s="100" t="s">
        <v>221</v>
      </c>
      <c r="AY2304" s="107">
        <v>0</v>
      </c>
      <c r="AZ2304" s="107">
        <v>0</v>
      </c>
      <c r="BA2304" s="110" t="s">
        <v>206</v>
      </c>
      <c r="BB2304" s="100">
        <v>0</v>
      </c>
      <c r="BC2304" s="105">
        <v>0</v>
      </c>
      <c r="BD2304" s="105">
        <v>0</v>
      </c>
      <c r="BE2304" s="111" t="s">
        <v>5335</v>
      </c>
      <c r="BF2304" s="111" t="s">
        <v>5336</v>
      </c>
      <c r="BG2304" s="100">
        <v>0</v>
      </c>
      <c r="BH2304" s="100">
        <v>0</v>
      </c>
      <c r="BI2304" s="100">
        <v>0</v>
      </c>
      <c r="BJ2304" s="100">
        <v>0</v>
      </c>
      <c r="BK2304" s="100">
        <v>0</v>
      </c>
      <c r="BL2304" s="100">
        <v>0</v>
      </c>
      <c r="BM2304" s="97">
        <v>0</v>
      </c>
      <c r="BN2304" s="99">
        <v>0</v>
      </c>
      <c r="BO2304" s="99">
        <v>0</v>
      </c>
      <c r="BP2304" s="99">
        <v>0</v>
      </c>
      <c r="BQ2304" s="99">
        <v>0</v>
      </c>
      <c r="BR2304" s="99">
        <v>0</v>
      </c>
      <c r="BS2304" s="99">
        <v>1</v>
      </c>
      <c r="BT2304" s="99">
        <v>0</v>
      </c>
      <c r="BU2304" s="23">
        <v>0</v>
      </c>
      <c r="BV2304" s="23"/>
      <c r="BW2304" s="23"/>
      <c r="BX2304" s="23"/>
      <c r="BY2304" s="23"/>
      <c r="BZ2304" s="23"/>
    </row>
    <row r="2305" spans="1:78" ht="20.100000000000001" customHeight="1">
      <c r="C2305" s="107">
        <v>77001606</v>
      </c>
      <c r="D2305" s="110" t="s">
        <v>5337</v>
      </c>
      <c r="E2305" s="110" t="s">
        <v>5338</v>
      </c>
      <c r="F2305" s="100">
        <v>1</v>
      </c>
      <c r="G2305" s="100">
        <v>0</v>
      </c>
      <c r="H2305" s="107">
        <v>0</v>
      </c>
      <c r="I2305" s="105">
        <v>0</v>
      </c>
      <c r="J2305" s="107">
        <v>1</v>
      </c>
      <c r="K2305" s="107">
        <v>0</v>
      </c>
      <c r="L2305" s="107">
        <v>0</v>
      </c>
      <c r="M2305" s="100">
        <v>0</v>
      </c>
      <c r="N2305" s="100">
        <v>0</v>
      </c>
      <c r="O2305" s="100">
        <v>2</v>
      </c>
      <c r="P2305" s="100">
        <v>1</v>
      </c>
      <c r="Q2305" s="100">
        <v>0.2</v>
      </c>
      <c r="R2305" s="100">
        <v>0</v>
      </c>
      <c r="S2305" s="99">
        <v>3</v>
      </c>
      <c r="T2305" s="100">
        <v>0</v>
      </c>
      <c r="U2305" s="100">
        <v>1</v>
      </c>
      <c r="V2305" s="100">
        <v>2</v>
      </c>
      <c r="W2305" s="100">
        <v>0</v>
      </c>
      <c r="X2305" s="100">
        <v>1</v>
      </c>
      <c r="Y2305" s="19">
        <v>0</v>
      </c>
      <c r="Z2305" s="100">
        <v>0</v>
      </c>
      <c r="AA2305" s="100">
        <v>0</v>
      </c>
      <c r="AB2305" s="100">
        <v>0</v>
      </c>
      <c r="AC2305" s="100">
        <v>0</v>
      </c>
      <c r="AD2305" s="100">
        <v>0</v>
      </c>
      <c r="AE2305" s="100">
        <v>0</v>
      </c>
      <c r="AF2305" s="100">
        <v>18</v>
      </c>
      <c r="AG2305" s="100">
        <v>1</v>
      </c>
      <c r="AH2305" s="100">
        <v>3</v>
      </c>
      <c r="AI2305" s="99">
        <v>6</v>
      </c>
      <c r="AJ2305" s="99">
        <v>1</v>
      </c>
      <c r="AK2305" s="99">
        <v>0</v>
      </c>
      <c r="AL2305" s="99">
        <v>1.5</v>
      </c>
      <c r="AM2305" s="100">
        <v>0</v>
      </c>
      <c r="AN2305" s="100">
        <v>0</v>
      </c>
      <c r="AO2305" s="100">
        <v>0</v>
      </c>
      <c r="AP2305" s="100">
        <v>1</v>
      </c>
      <c r="AQ2305" s="100">
        <v>5000</v>
      </c>
      <c r="AR2305" s="100">
        <v>1</v>
      </c>
      <c r="AS2305" s="100">
        <v>0</v>
      </c>
      <c r="AT2305" s="99">
        <v>0</v>
      </c>
      <c r="AU2305" s="327" t="s">
        <v>5339</v>
      </c>
      <c r="AV2305" s="118"/>
      <c r="AW2305" s="104" t="s">
        <v>205</v>
      </c>
      <c r="AX2305" s="100" t="s">
        <v>540</v>
      </c>
      <c r="AY2305" s="107">
        <v>10000007</v>
      </c>
      <c r="AZ2305" s="325" t="s">
        <v>5316</v>
      </c>
      <c r="BA2305" s="110" t="s">
        <v>206</v>
      </c>
      <c r="BB2305" s="100" t="s">
        <v>5340</v>
      </c>
      <c r="BC2305" s="105">
        <v>0</v>
      </c>
      <c r="BD2305" s="105">
        <v>0</v>
      </c>
      <c r="BE2305" s="111" t="s">
        <v>5341</v>
      </c>
      <c r="BF2305" s="111" t="s">
        <v>5342</v>
      </c>
      <c r="BG2305" s="100">
        <v>0</v>
      </c>
      <c r="BH2305" s="100">
        <v>0</v>
      </c>
      <c r="BI2305" s="100">
        <v>0</v>
      </c>
      <c r="BJ2305" s="100">
        <v>0</v>
      </c>
      <c r="BK2305" s="100">
        <v>0</v>
      </c>
      <c r="BL2305" s="100">
        <v>0</v>
      </c>
      <c r="BM2305" s="97">
        <v>0</v>
      </c>
      <c r="BN2305" s="99">
        <v>0</v>
      </c>
      <c r="BO2305" s="99">
        <v>0</v>
      </c>
      <c r="BP2305" s="99">
        <v>0</v>
      </c>
      <c r="BQ2305" s="99">
        <v>0</v>
      </c>
      <c r="BR2305" s="99">
        <v>0</v>
      </c>
      <c r="BS2305" s="99">
        <v>0</v>
      </c>
      <c r="BT2305" s="99">
        <v>0</v>
      </c>
      <c r="BU2305" s="23">
        <v>0</v>
      </c>
      <c r="BV2305" s="23"/>
      <c r="BW2305" s="23"/>
      <c r="BX2305" s="23"/>
      <c r="BY2305" s="23"/>
      <c r="BZ2305" s="23"/>
    </row>
    <row r="2306" spans="1:78" ht="20.100000000000001" customHeight="1">
      <c r="C2306" s="107">
        <v>77001607</v>
      </c>
      <c r="D2306" s="110" t="s">
        <v>5343</v>
      </c>
      <c r="E2306" s="110" t="s">
        <v>5344</v>
      </c>
      <c r="F2306" s="100">
        <v>1</v>
      </c>
      <c r="G2306" s="100">
        <v>0</v>
      </c>
      <c r="H2306" s="100">
        <v>0</v>
      </c>
      <c r="I2306" s="105">
        <v>0</v>
      </c>
      <c r="J2306" s="107">
        <v>1</v>
      </c>
      <c r="K2306" s="100">
        <v>0</v>
      </c>
      <c r="L2306" s="100">
        <v>0</v>
      </c>
      <c r="M2306" s="100">
        <v>0</v>
      </c>
      <c r="N2306" s="100">
        <v>0</v>
      </c>
      <c r="O2306" s="100">
        <v>2</v>
      </c>
      <c r="P2306" s="100">
        <v>3</v>
      </c>
      <c r="Q2306" s="100">
        <v>0.2</v>
      </c>
      <c r="R2306" s="100">
        <v>0</v>
      </c>
      <c r="S2306" s="99">
        <v>0</v>
      </c>
      <c r="T2306" s="100">
        <v>0</v>
      </c>
      <c r="U2306" s="100">
        <v>1</v>
      </c>
      <c r="V2306" s="100">
        <v>1</v>
      </c>
      <c r="W2306" s="100">
        <v>0</v>
      </c>
      <c r="X2306" s="100">
        <v>2</v>
      </c>
      <c r="Y2306" s="19">
        <v>0</v>
      </c>
      <c r="Z2306" s="100">
        <v>0</v>
      </c>
      <c r="AA2306" s="100">
        <v>1</v>
      </c>
      <c r="AB2306" s="100">
        <v>0</v>
      </c>
      <c r="AC2306" s="100">
        <v>0</v>
      </c>
      <c r="AD2306" s="100">
        <v>0</v>
      </c>
      <c r="AE2306" s="100">
        <v>1</v>
      </c>
      <c r="AF2306" s="100">
        <v>9</v>
      </c>
      <c r="AG2306" s="100">
        <v>1</v>
      </c>
      <c r="AH2306" s="100">
        <v>4</v>
      </c>
      <c r="AI2306" s="99">
        <v>0</v>
      </c>
      <c r="AJ2306" s="99">
        <v>1</v>
      </c>
      <c r="AK2306" s="99">
        <v>0</v>
      </c>
      <c r="AL2306" s="99">
        <v>2</v>
      </c>
      <c r="AM2306" s="100">
        <v>0</v>
      </c>
      <c r="AN2306" s="100">
        <v>0</v>
      </c>
      <c r="AO2306" s="100">
        <v>0</v>
      </c>
      <c r="AP2306" s="100">
        <v>0.5</v>
      </c>
      <c r="AQ2306" s="100">
        <v>600</v>
      </c>
      <c r="AR2306" s="100">
        <v>0.5</v>
      </c>
      <c r="AS2306" s="100">
        <v>0</v>
      </c>
      <c r="AT2306" s="99">
        <v>0</v>
      </c>
      <c r="AU2306" s="100">
        <v>97006001</v>
      </c>
      <c r="AV2306" s="100"/>
      <c r="AW2306" s="110" t="s">
        <v>204</v>
      </c>
      <c r="AX2306" s="100" t="s">
        <v>540</v>
      </c>
      <c r="AY2306" s="107">
        <v>10000001</v>
      </c>
      <c r="AZ2306" s="107">
        <v>77001604</v>
      </c>
      <c r="BA2306" s="110" t="s">
        <v>777</v>
      </c>
      <c r="BB2306" s="100">
        <v>0</v>
      </c>
      <c r="BC2306" s="105">
        <v>0</v>
      </c>
      <c r="BD2306" s="105">
        <v>0</v>
      </c>
      <c r="BE2306" s="136" t="s">
        <v>5345</v>
      </c>
      <c r="BF2306" s="136" t="s">
        <v>5346</v>
      </c>
      <c r="BG2306" s="100">
        <v>0</v>
      </c>
      <c r="BH2306" s="100">
        <v>0</v>
      </c>
      <c r="BI2306" s="100">
        <v>0</v>
      </c>
      <c r="BJ2306" s="100">
        <v>0</v>
      </c>
      <c r="BK2306" s="100">
        <v>0</v>
      </c>
      <c r="BL2306" s="100">
        <v>0</v>
      </c>
      <c r="BM2306" s="97">
        <v>0</v>
      </c>
      <c r="BN2306" s="99">
        <v>0</v>
      </c>
      <c r="BO2306" s="99">
        <v>0</v>
      </c>
      <c r="BP2306" s="99">
        <v>0</v>
      </c>
      <c r="BQ2306" s="99">
        <v>0</v>
      </c>
      <c r="BR2306" s="99">
        <v>0</v>
      </c>
      <c r="BS2306" s="99">
        <v>0</v>
      </c>
      <c r="BT2306" s="99">
        <v>0</v>
      </c>
      <c r="BU2306" s="23">
        <v>0</v>
      </c>
      <c r="BV2306" s="23"/>
      <c r="BW2306" s="23"/>
      <c r="BX2306" s="23"/>
      <c r="BY2306" s="23"/>
      <c r="BZ2306" s="23"/>
    </row>
    <row r="2307" spans="1:78" ht="19.5" customHeight="1">
      <c r="C2307" s="107">
        <v>77001608</v>
      </c>
      <c r="D2307" s="110" t="s">
        <v>5347</v>
      </c>
      <c r="E2307" s="110" t="s">
        <v>5348</v>
      </c>
      <c r="F2307" s="107">
        <v>1</v>
      </c>
      <c r="G2307" s="100">
        <v>0</v>
      </c>
      <c r="H2307" s="107">
        <v>0</v>
      </c>
      <c r="I2307" s="105">
        <v>0</v>
      </c>
      <c r="J2307" s="107">
        <v>1</v>
      </c>
      <c r="K2307" s="107">
        <v>0</v>
      </c>
      <c r="L2307" s="107">
        <v>0</v>
      </c>
      <c r="M2307" s="100">
        <v>0</v>
      </c>
      <c r="N2307" s="100">
        <v>0</v>
      </c>
      <c r="O2307" s="100">
        <v>2</v>
      </c>
      <c r="P2307" s="100">
        <v>2</v>
      </c>
      <c r="Q2307" s="100">
        <v>0.5</v>
      </c>
      <c r="R2307" s="100">
        <v>0</v>
      </c>
      <c r="S2307" s="99">
        <v>0</v>
      </c>
      <c r="T2307" s="100">
        <v>0</v>
      </c>
      <c r="U2307" s="100">
        <v>1</v>
      </c>
      <c r="V2307" s="100">
        <v>1</v>
      </c>
      <c r="W2307" s="100">
        <v>0</v>
      </c>
      <c r="X2307" s="100">
        <v>0</v>
      </c>
      <c r="Y2307" s="19">
        <v>0</v>
      </c>
      <c r="Z2307" s="100">
        <v>0</v>
      </c>
      <c r="AA2307" s="100">
        <v>0</v>
      </c>
      <c r="AB2307" s="100">
        <v>0</v>
      </c>
      <c r="AC2307" s="100">
        <v>0</v>
      </c>
      <c r="AD2307" s="100">
        <v>0</v>
      </c>
      <c r="AE2307" s="100">
        <v>1</v>
      </c>
      <c r="AF2307" s="100">
        <v>12</v>
      </c>
      <c r="AG2307" s="100">
        <v>1</v>
      </c>
      <c r="AH2307" s="100">
        <v>2</v>
      </c>
      <c r="AI2307" s="99">
        <v>0</v>
      </c>
      <c r="AJ2307" s="99">
        <v>1</v>
      </c>
      <c r="AK2307" s="99">
        <v>0</v>
      </c>
      <c r="AL2307" s="99">
        <v>3</v>
      </c>
      <c r="AM2307" s="100">
        <v>0</v>
      </c>
      <c r="AN2307" s="100">
        <v>0</v>
      </c>
      <c r="AO2307" s="100">
        <v>0</v>
      </c>
      <c r="AP2307" s="100">
        <v>0.3</v>
      </c>
      <c r="AQ2307" s="100">
        <v>300</v>
      </c>
      <c r="AR2307" s="100">
        <v>0</v>
      </c>
      <c r="AS2307" s="100">
        <v>0</v>
      </c>
      <c r="AT2307" s="99">
        <v>0</v>
      </c>
      <c r="AU2307" s="118">
        <v>0</v>
      </c>
      <c r="AV2307" s="118"/>
      <c r="AW2307" s="110" t="s">
        <v>204</v>
      </c>
      <c r="AX2307" s="100">
        <v>0</v>
      </c>
      <c r="AY2307" s="107">
        <v>0</v>
      </c>
      <c r="AZ2307" s="107">
        <v>0</v>
      </c>
      <c r="BA2307" s="110" t="s">
        <v>534</v>
      </c>
      <c r="BB2307" s="328" t="s">
        <v>5349</v>
      </c>
      <c r="BC2307" s="105">
        <v>0</v>
      </c>
      <c r="BD2307" s="105">
        <v>0</v>
      </c>
      <c r="BE2307" s="111" t="s">
        <v>5350</v>
      </c>
      <c r="BF2307" s="111" t="s">
        <v>5351</v>
      </c>
      <c r="BG2307" s="100">
        <v>0</v>
      </c>
      <c r="BH2307" s="100">
        <v>0</v>
      </c>
      <c r="BI2307" s="100">
        <v>0</v>
      </c>
      <c r="BJ2307" s="100">
        <v>0</v>
      </c>
      <c r="BK2307" s="100">
        <v>0</v>
      </c>
      <c r="BL2307" s="100">
        <v>0</v>
      </c>
      <c r="BM2307" s="97">
        <v>0</v>
      </c>
      <c r="BN2307" s="99">
        <v>0</v>
      </c>
      <c r="BO2307" s="99">
        <v>0</v>
      </c>
      <c r="BP2307" s="99">
        <v>0</v>
      </c>
      <c r="BQ2307" s="99">
        <v>0</v>
      </c>
      <c r="BR2307" s="99">
        <v>0</v>
      </c>
      <c r="BS2307" s="99">
        <v>1</v>
      </c>
      <c r="BT2307" s="99">
        <v>0</v>
      </c>
      <c r="BU2307" s="23">
        <v>0</v>
      </c>
      <c r="BV2307" s="23"/>
      <c r="BW2307" s="23"/>
      <c r="BX2307" s="23"/>
      <c r="BY2307" s="23"/>
      <c r="BZ2307" s="23"/>
    </row>
    <row r="2308" spans="1:78" s="2" customFormat="1" ht="19.5" customHeight="1">
      <c r="A2308" s="6"/>
      <c r="B2308" s="6"/>
      <c r="C2308" s="107">
        <v>77001609</v>
      </c>
      <c r="D2308" s="110" t="s">
        <v>5352</v>
      </c>
      <c r="E2308" s="110" t="s">
        <v>5353</v>
      </c>
      <c r="F2308" s="107">
        <v>1</v>
      </c>
      <c r="G2308" s="100">
        <v>0</v>
      </c>
      <c r="H2308" s="107">
        <v>0</v>
      </c>
      <c r="I2308" s="105">
        <v>0</v>
      </c>
      <c r="J2308" s="107">
        <v>1</v>
      </c>
      <c r="K2308" s="107">
        <v>0</v>
      </c>
      <c r="L2308" s="107">
        <v>0</v>
      </c>
      <c r="M2308" s="100">
        <v>0</v>
      </c>
      <c r="N2308" s="100">
        <v>0</v>
      </c>
      <c r="O2308" s="100">
        <v>2</v>
      </c>
      <c r="P2308" s="100">
        <v>2</v>
      </c>
      <c r="Q2308" s="100">
        <v>1</v>
      </c>
      <c r="R2308" s="100">
        <v>1</v>
      </c>
      <c r="S2308" s="99">
        <v>0</v>
      </c>
      <c r="T2308" s="100">
        <v>0</v>
      </c>
      <c r="U2308" s="100">
        <v>1</v>
      </c>
      <c r="V2308" s="100">
        <v>2</v>
      </c>
      <c r="W2308" s="100">
        <v>0</v>
      </c>
      <c r="X2308" s="100">
        <v>1</v>
      </c>
      <c r="Y2308" s="19">
        <v>0</v>
      </c>
      <c r="Z2308" s="100">
        <v>0</v>
      </c>
      <c r="AA2308" s="100">
        <v>0</v>
      </c>
      <c r="AB2308" s="100">
        <v>0</v>
      </c>
      <c r="AC2308" s="100">
        <v>0</v>
      </c>
      <c r="AD2308" s="100">
        <v>0</v>
      </c>
      <c r="AE2308" s="100">
        <v>1</v>
      </c>
      <c r="AF2308" s="100">
        <v>18</v>
      </c>
      <c r="AG2308" s="100">
        <v>1</v>
      </c>
      <c r="AH2308" s="100">
        <v>2</v>
      </c>
      <c r="AI2308" s="99">
        <v>0</v>
      </c>
      <c r="AJ2308" s="99">
        <v>2</v>
      </c>
      <c r="AK2308" s="99">
        <v>0</v>
      </c>
      <c r="AL2308" s="99">
        <v>2</v>
      </c>
      <c r="AM2308" s="100">
        <v>0</v>
      </c>
      <c r="AN2308" s="100">
        <v>0</v>
      </c>
      <c r="AO2308" s="100">
        <v>0</v>
      </c>
      <c r="AP2308" s="100">
        <v>0</v>
      </c>
      <c r="AQ2308" s="100">
        <v>5000</v>
      </c>
      <c r="AR2308" s="100">
        <v>0.5</v>
      </c>
      <c r="AS2308" s="100">
        <v>15</v>
      </c>
      <c r="AT2308" s="117">
        <v>0</v>
      </c>
      <c r="AU2308" s="327" t="s">
        <v>5339</v>
      </c>
      <c r="AV2308" s="118"/>
      <c r="AW2308" s="110" t="s">
        <v>204</v>
      </c>
      <c r="AX2308" s="100" t="s">
        <v>540</v>
      </c>
      <c r="AY2308" s="107">
        <v>10000007</v>
      </c>
      <c r="AZ2308" s="325" t="s">
        <v>5354</v>
      </c>
      <c r="BA2308" s="110" t="s">
        <v>592</v>
      </c>
      <c r="BB2308" s="100" t="s">
        <v>5243</v>
      </c>
      <c r="BC2308" s="105">
        <v>0</v>
      </c>
      <c r="BD2308" s="105">
        <v>0</v>
      </c>
      <c r="BE2308" s="111" t="s">
        <v>5355</v>
      </c>
      <c r="BF2308" s="111" t="s">
        <v>5356</v>
      </c>
      <c r="BG2308" s="100">
        <v>0</v>
      </c>
      <c r="BH2308" s="100">
        <v>0</v>
      </c>
      <c r="BI2308" s="100">
        <v>0</v>
      </c>
      <c r="BJ2308" s="100">
        <v>0</v>
      </c>
      <c r="BK2308" s="100">
        <v>0</v>
      </c>
      <c r="BL2308" s="100">
        <v>0</v>
      </c>
      <c r="BM2308" s="97">
        <v>0</v>
      </c>
      <c r="BN2308" s="99">
        <v>0</v>
      </c>
      <c r="BO2308" s="99">
        <v>0</v>
      </c>
      <c r="BP2308" s="99">
        <v>0</v>
      </c>
      <c r="BQ2308" s="99">
        <v>0</v>
      </c>
      <c r="BR2308" s="99">
        <v>0</v>
      </c>
      <c r="BS2308" s="99">
        <v>0</v>
      </c>
      <c r="BT2308" s="99">
        <v>0</v>
      </c>
      <c r="BU2308" s="99">
        <v>0</v>
      </c>
      <c r="BV2308" s="23"/>
      <c r="BW2308" s="23"/>
      <c r="BX2308" s="23"/>
      <c r="BY2308" s="23"/>
      <c r="BZ2308" s="23"/>
    </row>
    <row r="2309" spans="1:78" ht="20.100000000000001" customHeight="1">
      <c r="C2309" s="74">
        <v>77001701</v>
      </c>
      <c r="D2309" s="71" t="s">
        <v>5357</v>
      </c>
      <c r="E2309" s="160" t="s">
        <v>5358</v>
      </c>
      <c r="F2309" s="90">
        <v>1</v>
      </c>
      <c r="G2309" s="90">
        <v>0</v>
      </c>
      <c r="H2309" s="72">
        <v>0</v>
      </c>
      <c r="I2309" s="75">
        <v>0</v>
      </c>
      <c r="J2309" s="74">
        <v>1</v>
      </c>
      <c r="K2309" s="74">
        <v>0</v>
      </c>
      <c r="L2309" s="74">
        <v>0</v>
      </c>
      <c r="M2309" s="72">
        <v>0</v>
      </c>
      <c r="N2309" s="72">
        <v>0</v>
      </c>
      <c r="O2309" s="72">
        <v>2</v>
      </c>
      <c r="P2309" s="72">
        <v>1</v>
      </c>
      <c r="Q2309" s="72">
        <v>0.2</v>
      </c>
      <c r="R2309" s="72">
        <v>0</v>
      </c>
      <c r="S2309" s="73">
        <v>0</v>
      </c>
      <c r="T2309" s="72">
        <v>0</v>
      </c>
      <c r="U2309" s="72">
        <v>1</v>
      </c>
      <c r="V2309" s="90">
        <v>1</v>
      </c>
      <c r="W2309" s="72">
        <v>0</v>
      </c>
      <c r="X2309" s="72">
        <v>0</v>
      </c>
      <c r="Y2309" s="19">
        <v>0</v>
      </c>
      <c r="Z2309" s="72">
        <v>0</v>
      </c>
      <c r="AA2309" s="72">
        <v>1</v>
      </c>
      <c r="AB2309" s="72">
        <v>0</v>
      </c>
      <c r="AC2309" s="72">
        <v>0</v>
      </c>
      <c r="AD2309" s="72">
        <v>0</v>
      </c>
      <c r="AE2309" s="72">
        <v>1</v>
      </c>
      <c r="AF2309" s="72">
        <v>8</v>
      </c>
      <c r="AG2309" s="72">
        <v>2</v>
      </c>
      <c r="AH2309" s="72" t="s">
        <v>1042</v>
      </c>
      <c r="AI2309" s="73">
        <v>0</v>
      </c>
      <c r="AJ2309" s="73">
        <v>2</v>
      </c>
      <c r="AK2309" s="73">
        <v>0</v>
      </c>
      <c r="AL2309" s="73">
        <v>1.5</v>
      </c>
      <c r="AM2309" s="72">
        <v>0</v>
      </c>
      <c r="AN2309" s="72">
        <v>0</v>
      </c>
      <c r="AO2309" s="72">
        <v>0</v>
      </c>
      <c r="AP2309" s="72">
        <v>1.2</v>
      </c>
      <c r="AQ2309" s="72">
        <v>1200</v>
      </c>
      <c r="AR2309" s="72">
        <v>1</v>
      </c>
      <c r="AS2309" s="72">
        <v>15</v>
      </c>
      <c r="AT2309" s="330" t="s">
        <v>204</v>
      </c>
      <c r="AU2309" s="344" t="s">
        <v>5359</v>
      </c>
      <c r="AV2309" s="72"/>
      <c r="AW2309" s="71" t="s">
        <v>262</v>
      </c>
      <c r="AX2309" s="72" t="s">
        <v>221</v>
      </c>
      <c r="AY2309" s="74">
        <v>10000011</v>
      </c>
      <c r="AZ2309" s="74">
        <v>77001706</v>
      </c>
      <c r="BA2309" s="71" t="s">
        <v>222</v>
      </c>
      <c r="BB2309" s="72">
        <v>0</v>
      </c>
      <c r="BC2309" s="75">
        <v>0</v>
      </c>
      <c r="BD2309" s="75">
        <v>0</v>
      </c>
      <c r="BE2309" s="76" t="s">
        <v>5360</v>
      </c>
      <c r="BF2309" s="76" t="s">
        <v>5361</v>
      </c>
      <c r="BG2309" s="72">
        <v>0</v>
      </c>
      <c r="BH2309" s="72">
        <v>0</v>
      </c>
      <c r="BI2309" s="72">
        <v>0</v>
      </c>
      <c r="BJ2309" s="72">
        <v>0</v>
      </c>
      <c r="BK2309" s="72">
        <v>0</v>
      </c>
      <c r="BL2309" s="72">
        <v>0</v>
      </c>
      <c r="BM2309" s="90">
        <v>0</v>
      </c>
      <c r="BN2309" s="73">
        <v>0</v>
      </c>
      <c r="BO2309" s="73">
        <v>0</v>
      </c>
      <c r="BP2309" s="73">
        <v>0</v>
      </c>
      <c r="BQ2309" s="73">
        <v>0</v>
      </c>
      <c r="BR2309" s="73">
        <v>0</v>
      </c>
      <c r="BS2309" s="73">
        <v>0</v>
      </c>
      <c r="BT2309" s="73">
        <v>77001702</v>
      </c>
      <c r="BU2309" s="23">
        <v>0</v>
      </c>
      <c r="BV2309" s="23"/>
      <c r="BW2309" s="23"/>
      <c r="BX2309" s="23"/>
      <c r="BY2309" s="23"/>
      <c r="BZ2309" s="23"/>
    </row>
    <row r="2310" spans="1:78" ht="20.100000000000001" customHeight="1">
      <c r="C2310" s="74">
        <v>77001702</v>
      </c>
      <c r="D2310" s="71" t="s">
        <v>1271</v>
      </c>
      <c r="E2310" s="71" t="s">
        <v>1272</v>
      </c>
      <c r="F2310" s="72">
        <v>1</v>
      </c>
      <c r="G2310" s="72">
        <v>0</v>
      </c>
      <c r="H2310" s="72">
        <v>0</v>
      </c>
      <c r="I2310" s="75">
        <v>0</v>
      </c>
      <c r="J2310" s="74">
        <v>1</v>
      </c>
      <c r="K2310" s="72">
        <v>0</v>
      </c>
      <c r="L2310" s="72">
        <v>0</v>
      </c>
      <c r="M2310" s="72">
        <v>0</v>
      </c>
      <c r="N2310" s="72">
        <v>0</v>
      </c>
      <c r="O2310" s="72">
        <v>2</v>
      </c>
      <c r="P2310" s="72">
        <v>3</v>
      </c>
      <c r="Q2310" s="72">
        <v>0.2</v>
      </c>
      <c r="R2310" s="72">
        <v>0</v>
      </c>
      <c r="S2310" s="73">
        <v>0</v>
      </c>
      <c r="T2310" s="72">
        <v>0</v>
      </c>
      <c r="U2310" s="72">
        <v>1</v>
      </c>
      <c r="V2310" s="72">
        <v>1</v>
      </c>
      <c r="W2310" s="72">
        <v>0</v>
      </c>
      <c r="X2310" s="72">
        <v>1.5</v>
      </c>
      <c r="Y2310" s="19">
        <v>0</v>
      </c>
      <c r="Z2310" s="72">
        <v>0</v>
      </c>
      <c r="AA2310" s="72">
        <v>1</v>
      </c>
      <c r="AB2310" s="72">
        <v>0</v>
      </c>
      <c r="AC2310" s="72">
        <v>0</v>
      </c>
      <c r="AD2310" s="72">
        <v>0</v>
      </c>
      <c r="AE2310" s="72">
        <v>1</v>
      </c>
      <c r="AF2310" s="72">
        <v>6</v>
      </c>
      <c r="AG2310" s="72">
        <v>1</v>
      </c>
      <c r="AH2310" s="72">
        <v>4</v>
      </c>
      <c r="AI2310" s="73">
        <v>0</v>
      </c>
      <c r="AJ2310" s="73">
        <v>1</v>
      </c>
      <c r="AK2310" s="73">
        <v>0</v>
      </c>
      <c r="AL2310" s="73">
        <v>2</v>
      </c>
      <c r="AM2310" s="72">
        <v>0</v>
      </c>
      <c r="AN2310" s="72">
        <v>0</v>
      </c>
      <c r="AO2310" s="72">
        <v>0</v>
      </c>
      <c r="AP2310" s="72">
        <v>0.6</v>
      </c>
      <c r="AQ2310" s="72">
        <v>700</v>
      </c>
      <c r="AR2310" s="72">
        <v>0.6</v>
      </c>
      <c r="AS2310" s="72">
        <v>0</v>
      </c>
      <c r="AT2310" s="73">
        <v>0</v>
      </c>
      <c r="AU2310" s="344" t="s">
        <v>5359</v>
      </c>
      <c r="AV2310" s="72"/>
      <c r="AW2310" s="71" t="s">
        <v>204</v>
      </c>
      <c r="AX2310" s="72" t="s">
        <v>540</v>
      </c>
      <c r="AY2310" s="74">
        <v>10000001</v>
      </c>
      <c r="AZ2310" s="74">
        <v>77001701</v>
      </c>
      <c r="BA2310" s="71" t="s">
        <v>777</v>
      </c>
      <c r="BB2310" s="72">
        <v>0</v>
      </c>
      <c r="BC2310" s="75">
        <v>0</v>
      </c>
      <c r="BD2310" s="75">
        <v>0</v>
      </c>
      <c r="BE2310" s="114" t="s">
        <v>5362</v>
      </c>
      <c r="BF2310" s="114" t="s">
        <v>5363</v>
      </c>
      <c r="BG2310" s="72">
        <v>0</v>
      </c>
      <c r="BH2310" s="72">
        <v>0</v>
      </c>
      <c r="BI2310" s="72">
        <v>0</v>
      </c>
      <c r="BJ2310" s="72">
        <v>0</v>
      </c>
      <c r="BK2310" s="72">
        <v>0</v>
      </c>
      <c r="BL2310" s="72">
        <v>0</v>
      </c>
      <c r="BM2310" s="90">
        <v>0</v>
      </c>
      <c r="BN2310" s="73">
        <v>0</v>
      </c>
      <c r="BO2310" s="73">
        <v>0</v>
      </c>
      <c r="BP2310" s="73">
        <v>0</v>
      </c>
      <c r="BQ2310" s="73">
        <v>0</v>
      </c>
      <c r="BR2310" s="73">
        <v>0</v>
      </c>
      <c r="BS2310" s="73">
        <v>0</v>
      </c>
      <c r="BT2310" s="73">
        <v>77001706</v>
      </c>
      <c r="BU2310" s="23">
        <v>0</v>
      </c>
      <c r="BV2310" s="23"/>
      <c r="BW2310" s="23"/>
      <c r="BX2310" s="23"/>
      <c r="BY2310" s="23"/>
      <c r="BZ2310" s="23"/>
    </row>
    <row r="2311" spans="1:78" ht="20.100000000000001" customHeight="1">
      <c r="C2311" s="74">
        <v>77001703</v>
      </c>
      <c r="D2311" s="71" t="s">
        <v>5357</v>
      </c>
      <c r="E2311" s="71" t="s">
        <v>5358</v>
      </c>
      <c r="F2311" s="72">
        <v>1</v>
      </c>
      <c r="G2311" s="72">
        <v>0</v>
      </c>
      <c r="H2311" s="72">
        <v>0</v>
      </c>
      <c r="I2311" s="75">
        <v>0</v>
      </c>
      <c r="J2311" s="74">
        <v>1</v>
      </c>
      <c r="K2311" s="72">
        <v>0</v>
      </c>
      <c r="L2311" s="72">
        <v>0</v>
      </c>
      <c r="M2311" s="72">
        <v>0</v>
      </c>
      <c r="N2311" s="72">
        <v>0</v>
      </c>
      <c r="O2311" s="72">
        <v>2</v>
      </c>
      <c r="P2311" s="72">
        <v>3</v>
      </c>
      <c r="Q2311" s="72">
        <v>0.3</v>
      </c>
      <c r="R2311" s="72">
        <v>0</v>
      </c>
      <c r="S2311" s="73">
        <v>0</v>
      </c>
      <c r="T2311" s="72">
        <v>0</v>
      </c>
      <c r="U2311" s="72">
        <v>1</v>
      </c>
      <c r="V2311" s="72">
        <v>2</v>
      </c>
      <c r="W2311" s="72">
        <v>0</v>
      </c>
      <c r="X2311" s="72">
        <v>0</v>
      </c>
      <c r="Y2311" s="19">
        <v>0</v>
      </c>
      <c r="Z2311" s="72">
        <v>0</v>
      </c>
      <c r="AA2311" s="72">
        <v>1</v>
      </c>
      <c r="AB2311" s="72">
        <v>0</v>
      </c>
      <c r="AC2311" s="72">
        <v>0</v>
      </c>
      <c r="AD2311" s="72">
        <v>0</v>
      </c>
      <c r="AE2311" s="72">
        <v>0</v>
      </c>
      <c r="AF2311" s="72">
        <v>21</v>
      </c>
      <c r="AG2311" s="72">
        <v>1</v>
      </c>
      <c r="AH2311" s="72">
        <v>1</v>
      </c>
      <c r="AI2311" s="73">
        <v>0</v>
      </c>
      <c r="AJ2311" s="73">
        <v>1</v>
      </c>
      <c r="AK2311" s="73">
        <v>0</v>
      </c>
      <c r="AL2311" s="73">
        <v>1.5</v>
      </c>
      <c r="AM2311" s="72">
        <v>0</v>
      </c>
      <c r="AN2311" s="72">
        <v>0</v>
      </c>
      <c r="AO2311" s="72">
        <v>0</v>
      </c>
      <c r="AP2311" s="72">
        <v>0</v>
      </c>
      <c r="AQ2311" s="72">
        <v>300</v>
      </c>
      <c r="AR2311" s="72">
        <v>0</v>
      </c>
      <c r="AS2311" s="72">
        <v>0</v>
      </c>
      <c r="AT2311" s="330" t="s">
        <v>5364</v>
      </c>
      <c r="AU2311" s="72">
        <v>0</v>
      </c>
      <c r="AV2311" s="72"/>
      <c r="AW2311" s="71" t="s">
        <v>205</v>
      </c>
      <c r="AX2311" s="72" t="s">
        <v>540</v>
      </c>
      <c r="AY2311" s="74">
        <v>0</v>
      </c>
      <c r="AZ2311" s="74">
        <v>0</v>
      </c>
      <c r="BA2311" s="71" t="s">
        <v>777</v>
      </c>
      <c r="BB2311" s="72">
        <v>0</v>
      </c>
      <c r="BC2311" s="75">
        <v>0</v>
      </c>
      <c r="BD2311" s="75">
        <v>0</v>
      </c>
      <c r="BE2311" s="114" t="s">
        <v>5365</v>
      </c>
      <c r="BF2311" s="114" t="s">
        <v>5366</v>
      </c>
      <c r="BG2311" s="72">
        <v>0</v>
      </c>
      <c r="BH2311" s="72">
        <v>0</v>
      </c>
      <c r="BI2311" s="72">
        <v>0</v>
      </c>
      <c r="BJ2311" s="72">
        <v>0</v>
      </c>
      <c r="BK2311" s="72">
        <v>0</v>
      </c>
      <c r="BL2311" s="72">
        <v>0</v>
      </c>
      <c r="BM2311" s="90">
        <v>0</v>
      </c>
      <c r="BN2311" s="73">
        <v>0</v>
      </c>
      <c r="BO2311" s="73">
        <v>0</v>
      </c>
      <c r="BP2311" s="73">
        <v>0</v>
      </c>
      <c r="BQ2311" s="73">
        <v>0</v>
      </c>
      <c r="BR2311" s="73">
        <v>0</v>
      </c>
      <c r="BS2311" s="73">
        <v>1</v>
      </c>
      <c r="BT2311" s="73">
        <v>0</v>
      </c>
      <c r="BU2311" s="23">
        <v>0</v>
      </c>
      <c r="BV2311" s="23"/>
      <c r="BW2311" s="23"/>
      <c r="BX2311" s="23"/>
      <c r="BY2311" s="23"/>
      <c r="BZ2311" s="23"/>
    </row>
    <row r="2312" spans="1:78" ht="19.5" customHeight="1">
      <c r="C2312" s="74">
        <v>77001704</v>
      </c>
      <c r="D2312" s="71" t="s">
        <v>1271</v>
      </c>
      <c r="E2312" s="71" t="s">
        <v>1272</v>
      </c>
      <c r="F2312" s="72">
        <v>1</v>
      </c>
      <c r="G2312" s="72">
        <v>0</v>
      </c>
      <c r="H2312" s="72">
        <v>0</v>
      </c>
      <c r="I2312" s="75">
        <v>0</v>
      </c>
      <c r="J2312" s="74">
        <v>1</v>
      </c>
      <c r="K2312" s="74">
        <v>0</v>
      </c>
      <c r="L2312" s="74">
        <v>0</v>
      </c>
      <c r="M2312" s="72">
        <v>0</v>
      </c>
      <c r="N2312" s="72">
        <v>0</v>
      </c>
      <c r="O2312" s="72">
        <v>2</v>
      </c>
      <c r="P2312" s="72">
        <v>3</v>
      </c>
      <c r="Q2312" s="72">
        <v>0.2</v>
      </c>
      <c r="R2312" s="72">
        <v>0</v>
      </c>
      <c r="S2312" s="73">
        <v>0</v>
      </c>
      <c r="T2312" s="72">
        <v>0</v>
      </c>
      <c r="U2312" s="72">
        <v>1</v>
      </c>
      <c r="V2312" s="72">
        <v>1</v>
      </c>
      <c r="W2312" s="72">
        <v>0</v>
      </c>
      <c r="X2312" s="72">
        <v>0</v>
      </c>
      <c r="Y2312" s="19">
        <v>0</v>
      </c>
      <c r="Z2312" s="72">
        <v>0</v>
      </c>
      <c r="AA2312" s="72">
        <v>1</v>
      </c>
      <c r="AB2312" s="72">
        <v>0</v>
      </c>
      <c r="AC2312" s="72">
        <v>0</v>
      </c>
      <c r="AD2312" s="72">
        <v>0</v>
      </c>
      <c r="AE2312" s="72">
        <v>1</v>
      </c>
      <c r="AF2312" s="72">
        <v>8</v>
      </c>
      <c r="AG2312" s="72">
        <v>2</v>
      </c>
      <c r="AH2312" s="72" t="s">
        <v>219</v>
      </c>
      <c r="AI2312" s="73">
        <v>0</v>
      </c>
      <c r="AJ2312" s="73">
        <v>2</v>
      </c>
      <c r="AK2312" s="73">
        <v>0</v>
      </c>
      <c r="AL2312" s="73">
        <v>1.5</v>
      </c>
      <c r="AM2312" s="72">
        <v>0</v>
      </c>
      <c r="AN2312" s="72">
        <v>0</v>
      </c>
      <c r="AO2312" s="72">
        <v>0</v>
      </c>
      <c r="AP2312" s="72">
        <v>0.3</v>
      </c>
      <c r="AQ2312" s="72">
        <v>300</v>
      </c>
      <c r="AR2312" s="72">
        <v>0</v>
      </c>
      <c r="AS2312" s="72">
        <v>15</v>
      </c>
      <c r="AT2312" s="73">
        <v>0</v>
      </c>
      <c r="AU2312" s="93">
        <v>0</v>
      </c>
      <c r="AV2312" s="93"/>
      <c r="AW2312" s="71" t="s">
        <v>204</v>
      </c>
      <c r="AX2312" s="72" t="s">
        <v>221</v>
      </c>
      <c r="AY2312" s="74">
        <v>0</v>
      </c>
      <c r="AZ2312" s="74">
        <v>0</v>
      </c>
      <c r="BA2312" s="306" t="s">
        <v>222</v>
      </c>
      <c r="BB2312" s="72">
        <v>1</v>
      </c>
      <c r="BC2312" s="75">
        <v>0</v>
      </c>
      <c r="BD2312" s="75">
        <v>0</v>
      </c>
      <c r="BE2312" s="76" t="s">
        <v>5367</v>
      </c>
      <c r="BF2312" s="76" t="s">
        <v>5368</v>
      </c>
      <c r="BG2312" s="72">
        <v>0</v>
      </c>
      <c r="BH2312" s="72">
        <v>0</v>
      </c>
      <c r="BI2312" s="72">
        <v>0</v>
      </c>
      <c r="BJ2312" s="72">
        <v>0</v>
      </c>
      <c r="BK2312" s="72">
        <v>0</v>
      </c>
      <c r="BL2312" s="72">
        <v>0</v>
      </c>
      <c r="BM2312" s="90">
        <v>0</v>
      </c>
      <c r="BN2312" s="73">
        <v>0</v>
      </c>
      <c r="BO2312" s="73">
        <v>0</v>
      </c>
      <c r="BP2312" s="73">
        <v>0</v>
      </c>
      <c r="BQ2312" s="73">
        <v>0</v>
      </c>
      <c r="BR2312" s="73">
        <v>0</v>
      </c>
      <c r="BS2312" s="73">
        <v>1</v>
      </c>
      <c r="BT2312" s="73">
        <v>77001705</v>
      </c>
      <c r="BU2312" s="23">
        <v>0</v>
      </c>
      <c r="BV2312" s="23"/>
      <c r="BW2312" s="23"/>
      <c r="BX2312" s="23"/>
      <c r="BY2312" s="23"/>
      <c r="BZ2312" s="23"/>
    </row>
    <row r="2313" spans="1:78" ht="19.5" customHeight="1">
      <c r="C2313" s="74">
        <v>77001705</v>
      </c>
      <c r="D2313" s="88" t="s">
        <v>1271</v>
      </c>
      <c r="E2313" s="88" t="s">
        <v>1272</v>
      </c>
      <c r="F2313" s="72">
        <v>1</v>
      </c>
      <c r="G2313" s="72">
        <v>0</v>
      </c>
      <c r="H2313" s="74">
        <v>0</v>
      </c>
      <c r="I2313" s="75">
        <v>0</v>
      </c>
      <c r="J2313" s="72">
        <v>1</v>
      </c>
      <c r="K2313" s="72">
        <v>0</v>
      </c>
      <c r="L2313" s="72">
        <v>0</v>
      </c>
      <c r="M2313" s="74">
        <v>0</v>
      </c>
      <c r="N2313" s="74">
        <v>0</v>
      </c>
      <c r="O2313" s="74">
        <v>2</v>
      </c>
      <c r="P2313" s="74">
        <v>1</v>
      </c>
      <c r="Q2313" s="74">
        <v>1</v>
      </c>
      <c r="R2313" s="74">
        <v>0</v>
      </c>
      <c r="S2313" s="73">
        <v>0</v>
      </c>
      <c r="T2313" s="75">
        <v>0</v>
      </c>
      <c r="U2313" s="72">
        <v>1</v>
      </c>
      <c r="V2313" s="74">
        <v>1</v>
      </c>
      <c r="W2313" s="74">
        <v>0</v>
      </c>
      <c r="X2313" s="74">
        <v>1.5</v>
      </c>
      <c r="Y2313" s="19">
        <v>0</v>
      </c>
      <c r="Z2313" s="74">
        <v>0</v>
      </c>
      <c r="AA2313" s="74">
        <v>1</v>
      </c>
      <c r="AB2313" s="74">
        <v>0</v>
      </c>
      <c r="AC2313" s="74">
        <v>0</v>
      </c>
      <c r="AD2313" s="74">
        <v>0</v>
      </c>
      <c r="AE2313" s="74">
        <v>0</v>
      </c>
      <c r="AF2313" s="74">
        <v>0</v>
      </c>
      <c r="AG2313" s="74">
        <v>1</v>
      </c>
      <c r="AH2313" s="91">
        <v>4</v>
      </c>
      <c r="AI2313" s="73">
        <v>0</v>
      </c>
      <c r="AJ2313" s="73">
        <v>1</v>
      </c>
      <c r="AK2313" s="73">
        <v>0</v>
      </c>
      <c r="AL2313" s="73">
        <v>5</v>
      </c>
      <c r="AM2313" s="74">
        <v>0</v>
      </c>
      <c r="AN2313" s="74">
        <v>1</v>
      </c>
      <c r="AO2313" s="74">
        <v>0</v>
      </c>
      <c r="AP2313" s="74">
        <v>0.6</v>
      </c>
      <c r="AQ2313" s="74">
        <v>2000</v>
      </c>
      <c r="AR2313" s="74">
        <v>0.6</v>
      </c>
      <c r="AS2313" s="74">
        <v>0</v>
      </c>
      <c r="AT2313" s="73">
        <v>0</v>
      </c>
      <c r="AU2313" s="320" t="s">
        <v>5359</v>
      </c>
      <c r="AV2313" s="74"/>
      <c r="AW2313" s="88" t="s">
        <v>293</v>
      </c>
      <c r="AX2313" s="74" t="s">
        <v>551</v>
      </c>
      <c r="AY2313" s="74">
        <v>10001005</v>
      </c>
      <c r="AZ2313" s="74">
        <v>77001701</v>
      </c>
      <c r="BA2313" s="88" t="s">
        <v>206</v>
      </c>
      <c r="BB2313" s="88">
        <v>0</v>
      </c>
      <c r="BC2313" s="75">
        <v>0</v>
      </c>
      <c r="BD2313" s="75">
        <v>0</v>
      </c>
      <c r="BE2313" s="208" t="s">
        <v>1275</v>
      </c>
      <c r="BF2313" s="208" t="s">
        <v>1276</v>
      </c>
      <c r="BG2313" s="74">
        <v>0</v>
      </c>
      <c r="BH2313" s="72">
        <v>0</v>
      </c>
      <c r="BI2313" s="74">
        <v>0</v>
      </c>
      <c r="BJ2313" s="74">
        <v>0</v>
      </c>
      <c r="BK2313" s="74">
        <v>0</v>
      </c>
      <c r="BL2313" s="74">
        <v>0</v>
      </c>
      <c r="BM2313" s="90">
        <v>0</v>
      </c>
      <c r="BN2313" s="73">
        <v>0</v>
      </c>
      <c r="BO2313" s="73">
        <v>0</v>
      </c>
      <c r="BP2313" s="73">
        <v>0</v>
      </c>
      <c r="BQ2313" s="73">
        <v>0</v>
      </c>
      <c r="BR2313" s="73">
        <v>0</v>
      </c>
      <c r="BS2313" s="73">
        <v>0</v>
      </c>
      <c r="BT2313" s="73">
        <v>0</v>
      </c>
      <c r="BU2313" s="23">
        <v>0</v>
      </c>
      <c r="BV2313" s="23"/>
      <c r="BW2313" s="23"/>
      <c r="BX2313" s="23"/>
      <c r="BY2313" s="23"/>
      <c r="BZ2313" s="23"/>
    </row>
    <row r="2314" spans="1:78" ht="20.100000000000001" customHeight="1">
      <c r="C2314" s="74">
        <v>77001706</v>
      </c>
      <c r="D2314" s="88" t="s">
        <v>1271</v>
      </c>
      <c r="E2314" s="88" t="s">
        <v>1272</v>
      </c>
      <c r="F2314" s="72">
        <v>1</v>
      </c>
      <c r="G2314" s="72">
        <v>0</v>
      </c>
      <c r="H2314" s="74">
        <v>0</v>
      </c>
      <c r="I2314" s="75">
        <v>0</v>
      </c>
      <c r="J2314" s="72">
        <v>1</v>
      </c>
      <c r="K2314" s="72">
        <v>0</v>
      </c>
      <c r="L2314" s="72">
        <v>0</v>
      </c>
      <c r="M2314" s="74">
        <v>0</v>
      </c>
      <c r="N2314" s="74">
        <v>0</v>
      </c>
      <c r="O2314" s="74">
        <v>2</v>
      </c>
      <c r="P2314" s="74">
        <v>16</v>
      </c>
      <c r="Q2314" s="74">
        <v>10</v>
      </c>
      <c r="R2314" s="74">
        <v>0</v>
      </c>
      <c r="S2314" s="73">
        <v>0</v>
      </c>
      <c r="T2314" s="75">
        <v>0</v>
      </c>
      <c r="U2314" s="72">
        <v>1</v>
      </c>
      <c r="V2314" s="74">
        <v>2</v>
      </c>
      <c r="W2314" s="74">
        <v>0</v>
      </c>
      <c r="X2314" s="74">
        <v>2.6</v>
      </c>
      <c r="Y2314" s="19">
        <v>0</v>
      </c>
      <c r="Z2314" s="74">
        <v>0</v>
      </c>
      <c r="AA2314" s="74">
        <v>1</v>
      </c>
      <c r="AB2314" s="74">
        <v>0</v>
      </c>
      <c r="AC2314" s="74">
        <v>0</v>
      </c>
      <c r="AD2314" s="74">
        <v>0</v>
      </c>
      <c r="AE2314" s="74">
        <v>0</v>
      </c>
      <c r="AF2314" s="74">
        <v>0</v>
      </c>
      <c r="AG2314" s="74">
        <v>2</v>
      </c>
      <c r="AH2314" s="74" t="s">
        <v>219</v>
      </c>
      <c r="AI2314" s="73">
        <v>0</v>
      </c>
      <c r="AJ2314" s="73">
        <v>2</v>
      </c>
      <c r="AK2314" s="73">
        <v>0</v>
      </c>
      <c r="AL2314" s="73">
        <v>3</v>
      </c>
      <c r="AM2314" s="74">
        <v>0</v>
      </c>
      <c r="AN2314" s="74">
        <v>0</v>
      </c>
      <c r="AO2314" s="74">
        <v>0</v>
      </c>
      <c r="AP2314" s="74">
        <v>1</v>
      </c>
      <c r="AQ2314" s="74">
        <v>2000</v>
      </c>
      <c r="AR2314" s="74">
        <v>1</v>
      </c>
      <c r="AS2314" s="74">
        <v>0</v>
      </c>
      <c r="AT2314" s="73">
        <v>0</v>
      </c>
      <c r="AU2314" s="74">
        <v>97007001</v>
      </c>
      <c r="AV2314" s="74"/>
      <c r="AW2314" s="88" t="s">
        <v>293</v>
      </c>
      <c r="AX2314" s="74" t="s">
        <v>540</v>
      </c>
      <c r="AY2314" s="74">
        <v>10000015</v>
      </c>
      <c r="AZ2314" s="74">
        <v>77001702</v>
      </c>
      <c r="BA2314" s="71" t="s">
        <v>206</v>
      </c>
      <c r="BB2314" s="88">
        <v>0</v>
      </c>
      <c r="BC2314" s="75">
        <v>0</v>
      </c>
      <c r="BD2314" s="75">
        <v>0</v>
      </c>
      <c r="BE2314" s="208" t="s">
        <v>2479</v>
      </c>
      <c r="BF2314" s="208" t="s">
        <v>2480</v>
      </c>
      <c r="BG2314" s="74">
        <v>0</v>
      </c>
      <c r="BH2314" s="72">
        <v>0</v>
      </c>
      <c r="BI2314" s="74">
        <v>0</v>
      </c>
      <c r="BJ2314" s="74">
        <v>0</v>
      </c>
      <c r="BK2314" s="74">
        <v>0</v>
      </c>
      <c r="BL2314" s="74">
        <v>0</v>
      </c>
      <c r="BM2314" s="90">
        <v>0</v>
      </c>
      <c r="BN2314" s="73">
        <v>1</v>
      </c>
      <c r="BO2314" s="73">
        <v>0</v>
      </c>
      <c r="BP2314" s="73">
        <v>0</v>
      </c>
      <c r="BQ2314" s="73">
        <v>0</v>
      </c>
      <c r="BR2314" s="73">
        <v>0</v>
      </c>
      <c r="BS2314" s="73">
        <v>0</v>
      </c>
      <c r="BT2314" s="73">
        <v>0</v>
      </c>
      <c r="BU2314" s="23">
        <v>0</v>
      </c>
      <c r="BV2314" s="23"/>
      <c r="BW2314" s="23"/>
      <c r="BX2314" s="23"/>
      <c r="BY2314" s="23"/>
      <c r="BZ2314" s="23"/>
    </row>
    <row r="2315" spans="1:78" ht="20.100000000000001" customHeight="1">
      <c r="C2315" s="74">
        <v>77001707</v>
      </c>
      <c r="D2315" s="71" t="s">
        <v>5369</v>
      </c>
      <c r="E2315" s="160" t="s">
        <v>5370</v>
      </c>
      <c r="F2315" s="90">
        <v>1</v>
      </c>
      <c r="G2315" s="72">
        <v>0</v>
      </c>
      <c r="H2315" s="72">
        <v>0</v>
      </c>
      <c r="I2315" s="75">
        <v>0</v>
      </c>
      <c r="J2315" s="74">
        <v>1</v>
      </c>
      <c r="K2315" s="74">
        <v>0</v>
      </c>
      <c r="L2315" s="74">
        <v>0</v>
      </c>
      <c r="M2315" s="72">
        <v>0</v>
      </c>
      <c r="N2315" s="72">
        <v>0</v>
      </c>
      <c r="O2315" s="72">
        <v>2</v>
      </c>
      <c r="P2315" s="72">
        <v>2</v>
      </c>
      <c r="Q2315" s="72">
        <v>0.5</v>
      </c>
      <c r="R2315" s="72">
        <v>0</v>
      </c>
      <c r="S2315" s="73">
        <v>0</v>
      </c>
      <c r="T2315" s="72">
        <v>0</v>
      </c>
      <c r="U2315" s="72">
        <v>1</v>
      </c>
      <c r="V2315" s="90">
        <v>1</v>
      </c>
      <c r="W2315" s="72">
        <v>0</v>
      </c>
      <c r="X2315" s="72">
        <v>3</v>
      </c>
      <c r="Y2315" s="19">
        <v>0</v>
      </c>
      <c r="Z2315" s="72">
        <v>0</v>
      </c>
      <c r="AA2315" s="72">
        <v>1</v>
      </c>
      <c r="AB2315" s="72">
        <v>0</v>
      </c>
      <c r="AC2315" s="72">
        <v>0</v>
      </c>
      <c r="AD2315" s="72">
        <v>0</v>
      </c>
      <c r="AE2315" s="72">
        <v>1</v>
      </c>
      <c r="AF2315" s="72">
        <v>30</v>
      </c>
      <c r="AG2315" s="72">
        <v>1</v>
      </c>
      <c r="AH2315" s="72">
        <v>6</v>
      </c>
      <c r="AI2315" s="73">
        <v>0</v>
      </c>
      <c r="AJ2315" s="73">
        <v>1</v>
      </c>
      <c r="AK2315" s="73">
        <v>0</v>
      </c>
      <c r="AL2315" s="73">
        <v>3</v>
      </c>
      <c r="AM2315" s="72">
        <v>0</v>
      </c>
      <c r="AN2315" s="72">
        <v>1</v>
      </c>
      <c r="AO2315" s="72">
        <v>0</v>
      </c>
      <c r="AP2315" s="72">
        <v>1</v>
      </c>
      <c r="AQ2315" s="72">
        <v>3000</v>
      </c>
      <c r="AR2315" s="72">
        <v>1</v>
      </c>
      <c r="AS2315" s="72">
        <v>0</v>
      </c>
      <c r="AT2315" s="330" t="s">
        <v>5371</v>
      </c>
      <c r="AU2315" s="322" t="s">
        <v>5359</v>
      </c>
      <c r="AV2315" s="93"/>
      <c r="AW2315" s="71" t="s">
        <v>623</v>
      </c>
      <c r="AX2315" s="72" t="s">
        <v>221</v>
      </c>
      <c r="AY2315" s="74">
        <v>10000011</v>
      </c>
      <c r="AZ2315" s="74">
        <v>77001703</v>
      </c>
      <c r="BA2315" s="88" t="s">
        <v>206</v>
      </c>
      <c r="BB2315" s="72">
        <v>0</v>
      </c>
      <c r="BC2315" s="75">
        <v>0</v>
      </c>
      <c r="BD2315" s="75">
        <v>0</v>
      </c>
      <c r="BE2315" s="76" t="s">
        <v>5372</v>
      </c>
      <c r="BF2315" s="76" t="s">
        <v>5373</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spans="1:78" ht="19.5" customHeight="1">
      <c r="C2316" s="74">
        <v>77001708</v>
      </c>
      <c r="D2316" s="71" t="s">
        <v>5374</v>
      </c>
      <c r="E2316" s="71" t="s">
        <v>5375</v>
      </c>
      <c r="F2316" s="74">
        <v>1</v>
      </c>
      <c r="G2316" s="72">
        <v>0</v>
      </c>
      <c r="H2316" s="74">
        <v>0</v>
      </c>
      <c r="I2316" s="75">
        <v>0</v>
      </c>
      <c r="J2316" s="74">
        <v>1</v>
      </c>
      <c r="K2316" s="74">
        <v>0</v>
      </c>
      <c r="L2316" s="74">
        <v>0</v>
      </c>
      <c r="M2316" s="72">
        <v>0</v>
      </c>
      <c r="N2316" s="72">
        <v>0</v>
      </c>
      <c r="O2316" s="72">
        <v>2</v>
      </c>
      <c r="P2316" s="72">
        <v>3</v>
      </c>
      <c r="Q2316" s="72">
        <v>0.4</v>
      </c>
      <c r="R2316" s="72">
        <v>0</v>
      </c>
      <c r="S2316" s="73">
        <v>0</v>
      </c>
      <c r="T2316" s="72">
        <v>0</v>
      </c>
      <c r="U2316" s="72">
        <v>1</v>
      </c>
      <c r="V2316" s="72">
        <v>1</v>
      </c>
      <c r="W2316" s="72">
        <v>0</v>
      </c>
      <c r="X2316" s="72">
        <v>0</v>
      </c>
      <c r="Y2316" s="19">
        <v>0</v>
      </c>
      <c r="Z2316" s="72">
        <v>0</v>
      </c>
      <c r="AA2316" s="72">
        <v>0</v>
      </c>
      <c r="AB2316" s="72">
        <v>0</v>
      </c>
      <c r="AC2316" s="72">
        <v>0</v>
      </c>
      <c r="AD2316" s="72">
        <v>0</v>
      </c>
      <c r="AE2316" s="72">
        <v>1</v>
      </c>
      <c r="AF2316" s="72">
        <v>0</v>
      </c>
      <c r="AG2316" s="72">
        <v>1</v>
      </c>
      <c r="AH2316" s="72">
        <v>2</v>
      </c>
      <c r="AI2316" s="73">
        <v>0</v>
      </c>
      <c r="AJ2316" s="73">
        <v>1</v>
      </c>
      <c r="AK2316" s="73">
        <v>0</v>
      </c>
      <c r="AL2316" s="73">
        <v>3</v>
      </c>
      <c r="AM2316" s="72">
        <v>0</v>
      </c>
      <c r="AN2316" s="72">
        <v>0</v>
      </c>
      <c r="AO2316" s="72">
        <v>0</v>
      </c>
      <c r="AP2316" s="72">
        <v>0.3</v>
      </c>
      <c r="AQ2316" s="72">
        <v>300</v>
      </c>
      <c r="AR2316" s="72">
        <v>0</v>
      </c>
      <c r="AS2316" s="72">
        <v>0</v>
      </c>
      <c r="AT2316" s="73">
        <v>0</v>
      </c>
      <c r="AU2316" s="93">
        <v>0</v>
      </c>
      <c r="AV2316" s="93"/>
      <c r="AW2316" s="71" t="s">
        <v>204</v>
      </c>
      <c r="AX2316" s="72">
        <v>0</v>
      </c>
      <c r="AY2316" s="74">
        <v>0</v>
      </c>
      <c r="AZ2316" s="74">
        <v>0</v>
      </c>
      <c r="BA2316" s="71" t="s">
        <v>534</v>
      </c>
      <c r="BB2316" s="344" t="s">
        <v>5376</v>
      </c>
      <c r="BC2316" s="75">
        <v>0</v>
      </c>
      <c r="BD2316" s="75">
        <v>0</v>
      </c>
      <c r="BE2316" s="76" t="s">
        <v>5377</v>
      </c>
      <c r="BF2316" s="76" t="s">
        <v>5378</v>
      </c>
      <c r="BG2316" s="72">
        <v>0</v>
      </c>
      <c r="BH2316" s="72">
        <v>0</v>
      </c>
      <c r="BI2316" s="72">
        <v>0</v>
      </c>
      <c r="BJ2316" s="72">
        <v>0</v>
      </c>
      <c r="BK2316" s="72">
        <v>0</v>
      </c>
      <c r="BL2316" s="72">
        <v>0</v>
      </c>
      <c r="BM2316" s="90">
        <v>0</v>
      </c>
      <c r="BN2316" s="73">
        <v>0</v>
      </c>
      <c r="BO2316" s="73">
        <v>0</v>
      </c>
      <c r="BP2316" s="73">
        <v>0</v>
      </c>
      <c r="BQ2316" s="73">
        <v>0</v>
      </c>
      <c r="BR2316" s="73">
        <v>0</v>
      </c>
      <c r="BS2316" s="73">
        <v>1</v>
      </c>
      <c r="BT2316" s="73">
        <v>0</v>
      </c>
      <c r="BU2316" s="23">
        <v>0</v>
      </c>
      <c r="BV2316" s="23"/>
      <c r="BW2316" s="23"/>
      <c r="BX2316" s="23"/>
      <c r="BY2316" s="23"/>
      <c r="BZ2316" s="23"/>
    </row>
    <row r="2317" spans="1:78" ht="19.5" customHeight="1">
      <c r="C2317" s="74">
        <v>77001709</v>
      </c>
      <c r="D2317" s="71" t="s">
        <v>5379</v>
      </c>
      <c r="E2317" s="71" t="s">
        <v>5380</v>
      </c>
      <c r="F2317" s="74">
        <v>1</v>
      </c>
      <c r="G2317" s="74">
        <v>0</v>
      </c>
      <c r="H2317" s="74">
        <v>0</v>
      </c>
      <c r="I2317" s="75">
        <v>0</v>
      </c>
      <c r="J2317" s="74">
        <v>1</v>
      </c>
      <c r="K2317" s="74">
        <v>0</v>
      </c>
      <c r="L2317" s="74">
        <v>0</v>
      </c>
      <c r="M2317" s="72">
        <v>0</v>
      </c>
      <c r="N2317" s="72">
        <v>0</v>
      </c>
      <c r="O2317" s="72">
        <v>2</v>
      </c>
      <c r="P2317" s="72">
        <v>2</v>
      </c>
      <c r="Q2317" s="72">
        <v>0.7</v>
      </c>
      <c r="R2317" s="72">
        <v>0</v>
      </c>
      <c r="S2317" s="73">
        <v>0</v>
      </c>
      <c r="T2317" s="72">
        <v>0</v>
      </c>
      <c r="U2317" s="72">
        <v>1</v>
      </c>
      <c r="V2317" s="72">
        <v>2</v>
      </c>
      <c r="W2317" s="72">
        <v>0</v>
      </c>
      <c r="X2317" s="72">
        <v>1.5</v>
      </c>
      <c r="Y2317" s="19">
        <v>0</v>
      </c>
      <c r="Z2317" s="72">
        <v>0</v>
      </c>
      <c r="AA2317" s="72">
        <v>1</v>
      </c>
      <c r="AB2317" s="72">
        <v>0</v>
      </c>
      <c r="AC2317" s="72">
        <v>0</v>
      </c>
      <c r="AD2317" s="72">
        <v>1</v>
      </c>
      <c r="AE2317" s="72">
        <v>0</v>
      </c>
      <c r="AF2317" s="72">
        <v>9</v>
      </c>
      <c r="AG2317" s="72">
        <v>1</v>
      </c>
      <c r="AH2317" s="72">
        <v>3</v>
      </c>
      <c r="AI2317" s="73">
        <v>4</v>
      </c>
      <c r="AJ2317" s="73">
        <v>1</v>
      </c>
      <c r="AK2317" s="73">
        <v>0</v>
      </c>
      <c r="AL2317" s="73">
        <v>1.5</v>
      </c>
      <c r="AM2317" s="72">
        <v>0</v>
      </c>
      <c r="AN2317" s="72">
        <v>0</v>
      </c>
      <c r="AO2317" s="72">
        <v>0</v>
      </c>
      <c r="AP2317" s="72">
        <v>0</v>
      </c>
      <c r="AQ2317" s="72">
        <v>6000</v>
      </c>
      <c r="AR2317" s="72">
        <v>1</v>
      </c>
      <c r="AS2317" s="72">
        <v>0</v>
      </c>
      <c r="AT2317" s="73">
        <v>0</v>
      </c>
      <c r="AU2317" s="322" t="s">
        <v>5381</v>
      </c>
      <c r="AV2317" s="93"/>
      <c r="AW2317" s="88" t="s">
        <v>205</v>
      </c>
      <c r="AX2317" s="72" t="s">
        <v>540</v>
      </c>
      <c r="AY2317" s="74">
        <v>0</v>
      </c>
      <c r="AZ2317" s="320" t="s">
        <v>5382</v>
      </c>
      <c r="BA2317" s="71" t="s">
        <v>206</v>
      </c>
      <c r="BB2317" s="72" t="s">
        <v>5383</v>
      </c>
      <c r="BC2317" s="75">
        <v>0</v>
      </c>
      <c r="BD2317" s="75">
        <v>0</v>
      </c>
      <c r="BE2317" s="76" t="s">
        <v>5384</v>
      </c>
      <c r="BF2317" s="76" t="s">
        <v>5385</v>
      </c>
      <c r="BG2317" s="72">
        <v>0</v>
      </c>
      <c r="BH2317" s="72">
        <v>0</v>
      </c>
      <c r="BI2317" s="72">
        <v>0</v>
      </c>
      <c r="BJ2317" s="72">
        <v>0</v>
      </c>
      <c r="BK2317" s="72">
        <v>0</v>
      </c>
      <c r="BL2317" s="72">
        <v>0</v>
      </c>
      <c r="BM2317" s="90">
        <v>0</v>
      </c>
      <c r="BN2317" s="73">
        <v>0</v>
      </c>
      <c r="BO2317" s="73">
        <v>0</v>
      </c>
      <c r="BP2317" s="73">
        <v>0</v>
      </c>
      <c r="BQ2317" s="73">
        <v>0</v>
      </c>
      <c r="BR2317" s="73">
        <v>0</v>
      </c>
      <c r="BS2317" s="73">
        <v>0</v>
      </c>
      <c r="BT2317" s="73">
        <v>0</v>
      </c>
      <c r="BU2317" s="23">
        <v>0</v>
      </c>
      <c r="BV2317" s="23"/>
      <c r="BW2317" s="23"/>
      <c r="BX2317" s="23"/>
      <c r="BY2317" s="23"/>
      <c r="BZ2317" s="23"/>
    </row>
    <row r="2318" spans="1:78" ht="20.100000000000001" customHeight="1">
      <c r="C2318" s="74">
        <v>77001710</v>
      </c>
      <c r="D2318" s="71" t="s">
        <v>1271</v>
      </c>
      <c r="E2318" s="71" t="s">
        <v>1272</v>
      </c>
      <c r="F2318" s="72">
        <v>1</v>
      </c>
      <c r="G2318" s="72">
        <v>0</v>
      </c>
      <c r="H2318" s="72">
        <v>0</v>
      </c>
      <c r="I2318" s="75">
        <v>0</v>
      </c>
      <c r="J2318" s="74">
        <v>1</v>
      </c>
      <c r="K2318" s="72">
        <v>0</v>
      </c>
      <c r="L2318" s="72">
        <v>0</v>
      </c>
      <c r="M2318" s="72">
        <v>0</v>
      </c>
      <c r="N2318" s="72">
        <v>0</v>
      </c>
      <c r="O2318" s="72">
        <v>2</v>
      </c>
      <c r="P2318" s="72">
        <v>3</v>
      </c>
      <c r="Q2318" s="72">
        <v>0.2</v>
      </c>
      <c r="R2318" s="72">
        <v>0</v>
      </c>
      <c r="S2318" s="73">
        <v>0</v>
      </c>
      <c r="T2318" s="72">
        <v>0</v>
      </c>
      <c r="U2318" s="72">
        <v>1</v>
      </c>
      <c r="V2318" s="72">
        <v>1</v>
      </c>
      <c r="W2318" s="72">
        <v>0</v>
      </c>
      <c r="X2318" s="72">
        <v>2</v>
      </c>
      <c r="Y2318" s="19">
        <v>0</v>
      </c>
      <c r="Z2318" s="72">
        <v>0</v>
      </c>
      <c r="AA2318" s="72">
        <v>1</v>
      </c>
      <c r="AB2318" s="72">
        <v>0</v>
      </c>
      <c r="AC2318" s="72">
        <v>0</v>
      </c>
      <c r="AD2318" s="72">
        <v>0</v>
      </c>
      <c r="AE2318" s="72">
        <v>1</v>
      </c>
      <c r="AF2318" s="72">
        <v>6</v>
      </c>
      <c r="AG2318" s="72">
        <v>1</v>
      </c>
      <c r="AH2318" s="72">
        <v>4</v>
      </c>
      <c r="AI2318" s="73">
        <v>0</v>
      </c>
      <c r="AJ2318" s="73">
        <v>1</v>
      </c>
      <c r="AK2318" s="73">
        <v>0</v>
      </c>
      <c r="AL2318" s="73">
        <v>2</v>
      </c>
      <c r="AM2318" s="72">
        <v>0</v>
      </c>
      <c r="AN2318" s="72">
        <v>0</v>
      </c>
      <c r="AO2318" s="72">
        <v>0</v>
      </c>
      <c r="AP2318" s="72">
        <v>0.6</v>
      </c>
      <c r="AQ2318" s="72">
        <v>600</v>
      </c>
      <c r="AR2318" s="72">
        <v>0.6</v>
      </c>
      <c r="AS2318" s="72">
        <v>0</v>
      </c>
      <c r="AT2318" s="73">
        <v>97007009</v>
      </c>
      <c r="AU2318" s="72">
        <v>97007001</v>
      </c>
      <c r="AV2318" s="72"/>
      <c r="AW2318" s="71" t="s">
        <v>204</v>
      </c>
      <c r="AX2318" s="72" t="s">
        <v>540</v>
      </c>
      <c r="AY2318" s="74">
        <v>10000001</v>
      </c>
      <c r="AZ2318" s="74">
        <v>77001701</v>
      </c>
      <c r="BA2318" s="71" t="s">
        <v>777</v>
      </c>
      <c r="BB2318" s="72">
        <v>0</v>
      </c>
      <c r="BC2318" s="75">
        <v>0</v>
      </c>
      <c r="BD2318" s="75">
        <v>0</v>
      </c>
      <c r="BE2318" s="114" t="s">
        <v>5386</v>
      </c>
      <c r="BF2318" s="114" t="s">
        <v>5387</v>
      </c>
      <c r="BG2318" s="72">
        <v>0</v>
      </c>
      <c r="BH2318" s="72">
        <v>0</v>
      </c>
      <c r="BI2318" s="72">
        <v>0</v>
      </c>
      <c r="BJ2318" s="72">
        <v>0</v>
      </c>
      <c r="BK2318" s="72">
        <v>0</v>
      </c>
      <c r="BL2318" s="72">
        <v>0</v>
      </c>
      <c r="BM2318" s="90">
        <v>0</v>
      </c>
      <c r="BN2318" s="73">
        <v>0</v>
      </c>
      <c r="BO2318" s="73">
        <v>0</v>
      </c>
      <c r="BP2318" s="73">
        <v>0</v>
      </c>
      <c r="BQ2318" s="73">
        <v>0</v>
      </c>
      <c r="BR2318" s="73">
        <v>0</v>
      </c>
      <c r="BS2318" s="73">
        <v>0</v>
      </c>
      <c r="BT2318" s="73">
        <v>77001709</v>
      </c>
      <c r="BU2318" s="23">
        <v>0</v>
      </c>
      <c r="BV2318" s="23"/>
      <c r="BW2318" s="23"/>
      <c r="BX2318" s="23"/>
      <c r="BY2318" s="23"/>
      <c r="BZ2318" s="23"/>
    </row>
    <row r="2319" spans="1:78" ht="19.5" customHeight="1">
      <c r="C2319" s="74">
        <v>77001711</v>
      </c>
      <c r="D2319" s="71" t="s">
        <v>5379</v>
      </c>
      <c r="E2319" s="71" t="s">
        <v>5380</v>
      </c>
      <c r="F2319" s="74">
        <v>1</v>
      </c>
      <c r="G2319" s="74">
        <v>0</v>
      </c>
      <c r="H2319" s="74">
        <v>0</v>
      </c>
      <c r="I2319" s="75">
        <v>0</v>
      </c>
      <c r="J2319" s="74">
        <v>1</v>
      </c>
      <c r="K2319" s="74">
        <v>0</v>
      </c>
      <c r="L2319" s="74">
        <v>0</v>
      </c>
      <c r="M2319" s="72">
        <v>0</v>
      </c>
      <c r="N2319" s="72">
        <v>0</v>
      </c>
      <c r="O2319" s="72">
        <v>2</v>
      </c>
      <c r="P2319" s="72">
        <v>2</v>
      </c>
      <c r="Q2319" s="72">
        <v>0.7</v>
      </c>
      <c r="R2319" s="72">
        <v>0</v>
      </c>
      <c r="S2319" s="73">
        <v>0</v>
      </c>
      <c r="T2319" s="72">
        <v>0</v>
      </c>
      <c r="U2319" s="72">
        <v>1</v>
      </c>
      <c r="V2319" s="72">
        <v>2</v>
      </c>
      <c r="W2319" s="72">
        <v>0</v>
      </c>
      <c r="X2319" s="72">
        <v>1.5</v>
      </c>
      <c r="Y2319" s="19">
        <v>0</v>
      </c>
      <c r="Z2319" s="72">
        <v>0</v>
      </c>
      <c r="AA2319" s="72">
        <v>1</v>
      </c>
      <c r="AB2319" s="72">
        <v>0</v>
      </c>
      <c r="AC2319" s="72">
        <v>0</v>
      </c>
      <c r="AD2319" s="72">
        <v>1</v>
      </c>
      <c r="AE2319" s="72">
        <v>0</v>
      </c>
      <c r="AF2319" s="72">
        <v>9</v>
      </c>
      <c r="AG2319" s="72">
        <v>1</v>
      </c>
      <c r="AH2319" s="72">
        <v>3</v>
      </c>
      <c r="AI2319" s="73">
        <v>4</v>
      </c>
      <c r="AJ2319" s="73">
        <v>1</v>
      </c>
      <c r="AK2319" s="73">
        <v>0</v>
      </c>
      <c r="AL2319" s="73">
        <v>1.5</v>
      </c>
      <c r="AM2319" s="72">
        <v>0</v>
      </c>
      <c r="AN2319" s="72">
        <v>0</v>
      </c>
      <c r="AO2319" s="72">
        <v>0</v>
      </c>
      <c r="AP2319" s="72">
        <v>0</v>
      </c>
      <c r="AQ2319" s="72">
        <v>6000</v>
      </c>
      <c r="AR2319" s="72">
        <v>1</v>
      </c>
      <c r="AS2319" s="72">
        <v>0</v>
      </c>
      <c r="AT2319" s="73">
        <v>0</v>
      </c>
      <c r="AU2319" s="322" t="s">
        <v>5381</v>
      </c>
      <c r="AV2319" s="93"/>
      <c r="AW2319" s="88" t="s">
        <v>205</v>
      </c>
      <c r="AX2319" s="72" t="s">
        <v>540</v>
      </c>
      <c r="AY2319" s="74">
        <v>0</v>
      </c>
      <c r="AZ2319" s="320" t="s">
        <v>5382</v>
      </c>
      <c r="BA2319" s="71" t="s">
        <v>206</v>
      </c>
      <c r="BB2319" s="72" t="s">
        <v>5388</v>
      </c>
      <c r="BC2319" s="75">
        <v>0</v>
      </c>
      <c r="BD2319" s="75">
        <v>0</v>
      </c>
      <c r="BE2319" s="76" t="s">
        <v>5389</v>
      </c>
      <c r="BF2319" s="76" t="s">
        <v>5390</v>
      </c>
      <c r="BG2319" s="72">
        <v>0</v>
      </c>
      <c r="BH2319" s="72">
        <v>0</v>
      </c>
      <c r="BI2319" s="72">
        <v>0</v>
      </c>
      <c r="BJ2319" s="72">
        <v>0</v>
      </c>
      <c r="BK2319" s="72">
        <v>0</v>
      </c>
      <c r="BL2319" s="72">
        <v>0</v>
      </c>
      <c r="BM2319" s="90">
        <v>0</v>
      </c>
      <c r="BN2319" s="73">
        <v>0</v>
      </c>
      <c r="BO2319" s="73">
        <v>0</v>
      </c>
      <c r="BP2319" s="73">
        <v>0</v>
      </c>
      <c r="BQ2319" s="73">
        <v>0</v>
      </c>
      <c r="BR2319" s="73">
        <v>0</v>
      </c>
      <c r="BS2319" s="73">
        <v>0</v>
      </c>
      <c r="BT2319" s="73">
        <v>0</v>
      </c>
      <c r="BU2319" s="23">
        <v>0</v>
      </c>
      <c r="BV2319" s="23"/>
      <c r="BW2319" s="23"/>
      <c r="BX2319" s="23"/>
      <c r="BY2319" s="23"/>
      <c r="BZ2319" s="23"/>
    </row>
    <row r="2320" spans="1:78" ht="18.75" customHeight="1">
      <c r="C2320" s="294">
        <v>77001801</v>
      </c>
      <c r="D2320" s="295" t="s">
        <v>5391</v>
      </c>
      <c r="E2320" s="295" t="s">
        <v>5392</v>
      </c>
      <c r="F2320" s="294">
        <v>1</v>
      </c>
      <c r="G2320" s="296">
        <v>0</v>
      </c>
      <c r="H2320" s="294">
        <v>0</v>
      </c>
      <c r="I2320" s="297">
        <v>0</v>
      </c>
      <c r="J2320" s="294">
        <v>1</v>
      </c>
      <c r="K2320" s="294">
        <v>0</v>
      </c>
      <c r="L2320" s="294">
        <v>0</v>
      </c>
      <c r="M2320" s="296">
        <v>0</v>
      </c>
      <c r="N2320" s="296">
        <v>0</v>
      </c>
      <c r="O2320" s="296">
        <v>2</v>
      </c>
      <c r="P2320" s="296">
        <v>2</v>
      </c>
      <c r="Q2320" s="296">
        <v>0.99</v>
      </c>
      <c r="R2320" s="296">
        <v>0</v>
      </c>
      <c r="S2320" s="23">
        <v>0</v>
      </c>
      <c r="T2320" s="296">
        <v>0</v>
      </c>
      <c r="U2320" s="296">
        <v>1</v>
      </c>
      <c r="V2320" s="296">
        <v>2</v>
      </c>
      <c r="W2320" s="296">
        <v>0</v>
      </c>
      <c r="X2320" s="296">
        <v>1.5</v>
      </c>
      <c r="Y2320" s="19">
        <v>0</v>
      </c>
      <c r="Z2320" s="296">
        <v>0</v>
      </c>
      <c r="AA2320" s="296">
        <v>1</v>
      </c>
      <c r="AB2320" s="296">
        <v>0</v>
      </c>
      <c r="AC2320" s="296">
        <v>0</v>
      </c>
      <c r="AD2320" s="296">
        <v>1</v>
      </c>
      <c r="AE2320" s="296">
        <v>0</v>
      </c>
      <c r="AF2320" s="296">
        <v>8</v>
      </c>
      <c r="AG2320" s="296">
        <v>1</v>
      </c>
      <c r="AH2320" s="296">
        <v>3</v>
      </c>
      <c r="AI2320" s="23">
        <v>3</v>
      </c>
      <c r="AJ2320" s="23">
        <v>1</v>
      </c>
      <c r="AK2320" s="23">
        <v>0</v>
      </c>
      <c r="AL2320" s="23">
        <v>1.5</v>
      </c>
      <c r="AM2320" s="296">
        <v>0</v>
      </c>
      <c r="AN2320" s="296">
        <v>0</v>
      </c>
      <c r="AO2320" s="296">
        <v>0</v>
      </c>
      <c r="AP2320" s="296">
        <v>0.8</v>
      </c>
      <c r="AQ2320" s="296">
        <v>6000</v>
      </c>
      <c r="AR2320" s="296">
        <v>0.8</v>
      </c>
      <c r="AS2320" s="296">
        <v>0</v>
      </c>
      <c r="AT2320" s="23">
        <v>0</v>
      </c>
      <c r="AU2320" s="359" t="s">
        <v>5393</v>
      </c>
      <c r="AV2320" s="301"/>
      <c r="AW2320" s="298" t="s">
        <v>205</v>
      </c>
      <c r="AX2320" s="296" t="s">
        <v>540</v>
      </c>
      <c r="AY2320" s="294">
        <v>0</v>
      </c>
      <c r="AZ2320" s="294">
        <v>77001801</v>
      </c>
      <c r="BA2320" s="295" t="s">
        <v>206</v>
      </c>
      <c r="BB2320" s="296" t="s">
        <v>5394</v>
      </c>
      <c r="BC2320" s="297">
        <v>0</v>
      </c>
      <c r="BD2320" s="297">
        <v>0</v>
      </c>
      <c r="BE2320" s="299" t="s">
        <v>5395</v>
      </c>
      <c r="BF2320" s="299" t="s">
        <v>5396</v>
      </c>
      <c r="BG2320" s="296">
        <v>0</v>
      </c>
      <c r="BH2320" s="296">
        <v>0</v>
      </c>
      <c r="BI2320" s="296">
        <v>0</v>
      </c>
      <c r="BJ2320" s="296">
        <v>0</v>
      </c>
      <c r="BK2320" s="296">
        <v>0</v>
      </c>
      <c r="BL2320" s="296">
        <v>0</v>
      </c>
      <c r="BM2320" s="300">
        <v>0</v>
      </c>
      <c r="BN2320" s="23">
        <v>0</v>
      </c>
      <c r="BO2320" s="23">
        <v>0</v>
      </c>
      <c r="BP2320" s="23">
        <v>0</v>
      </c>
      <c r="BQ2320" s="23">
        <v>0</v>
      </c>
      <c r="BR2320" s="23">
        <v>0</v>
      </c>
      <c r="BS2320" s="23">
        <v>0</v>
      </c>
      <c r="BT2320" s="23">
        <v>0</v>
      </c>
      <c r="BU2320" s="23">
        <v>0</v>
      </c>
      <c r="BV2320" s="23"/>
      <c r="BW2320" s="23"/>
      <c r="BX2320" s="23"/>
      <c r="BY2320" s="23"/>
      <c r="BZ2320" s="23"/>
    </row>
    <row r="2321" spans="3:78" ht="19.5" customHeight="1">
      <c r="C2321" s="294">
        <v>77001802</v>
      </c>
      <c r="D2321" s="295" t="s">
        <v>5397</v>
      </c>
      <c r="E2321" s="295" t="s">
        <v>5398</v>
      </c>
      <c r="F2321" s="294">
        <v>1</v>
      </c>
      <c r="G2321" s="296">
        <v>0</v>
      </c>
      <c r="H2321" s="294">
        <v>0</v>
      </c>
      <c r="I2321" s="297">
        <v>0</v>
      </c>
      <c r="J2321" s="294">
        <v>1</v>
      </c>
      <c r="K2321" s="294">
        <v>0</v>
      </c>
      <c r="L2321" s="294">
        <v>0</v>
      </c>
      <c r="M2321" s="296">
        <v>0</v>
      </c>
      <c r="N2321" s="296">
        <v>0</v>
      </c>
      <c r="O2321" s="300">
        <v>2</v>
      </c>
      <c r="P2321" s="296">
        <v>2</v>
      </c>
      <c r="Q2321" s="296">
        <v>0.7</v>
      </c>
      <c r="R2321" s="296">
        <v>0</v>
      </c>
      <c r="S2321" s="23">
        <v>0</v>
      </c>
      <c r="T2321" s="296">
        <v>0</v>
      </c>
      <c r="U2321" s="296">
        <v>1</v>
      </c>
      <c r="V2321" s="296">
        <v>1</v>
      </c>
      <c r="W2321" s="296">
        <v>0</v>
      </c>
      <c r="X2321" s="296">
        <v>0</v>
      </c>
      <c r="Y2321" s="19">
        <v>0</v>
      </c>
      <c r="Z2321" s="296">
        <v>0</v>
      </c>
      <c r="AA2321" s="296">
        <v>0</v>
      </c>
      <c r="AB2321" s="296">
        <v>0</v>
      </c>
      <c r="AC2321" s="296">
        <v>0</v>
      </c>
      <c r="AD2321" s="300">
        <v>0</v>
      </c>
      <c r="AE2321" s="296">
        <v>1</v>
      </c>
      <c r="AF2321" s="296">
        <v>20</v>
      </c>
      <c r="AG2321" s="296">
        <v>1</v>
      </c>
      <c r="AH2321" s="296">
        <v>2</v>
      </c>
      <c r="AI2321" s="23">
        <v>0</v>
      </c>
      <c r="AJ2321" s="23">
        <v>1</v>
      </c>
      <c r="AK2321" s="23">
        <v>0</v>
      </c>
      <c r="AL2321" s="23">
        <v>0</v>
      </c>
      <c r="AM2321" s="296">
        <v>0</v>
      </c>
      <c r="AN2321" s="296">
        <v>0</v>
      </c>
      <c r="AO2321" s="296">
        <v>0</v>
      </c>
      <c r="AP2321" s="296">
        <v>0</v>
      </c>
      <c r="AQ2321" s="296">
        <v>1000</v>
      </c>
      <c r="AR2321" s="296">
        <v>0</v>
      </c>
      <c r="AS2321" s="296">
        <v>0</v>
      </c>
      <c r="AT2321" s="23">
        <v>0</v>
      </c>
      <c r="AU2321" s="296">
        <v>0</v>
      </c>
      <c r="AV2321" s="296"/>
      <c r="AW2321" s="298" t="s">
        <v>293</v>
      </c>
      <c r="AX2321" s="296" t="s">
        <v>551</v>
      </c>
      <c r="AY2321" s="294">
        <v>0</v>
      </c>
      <c r="AZ2321" s="294">
        <v>0</v>
      </c>
      <c r="BA2321" s="295" t="s">
        <v>534</v>
      </c>
      <c r="BB2321" s="296" t="s">
        <v>5399</v>
      </c>
      <c r="BC2321" s="297">
        <v>0</v>
      </c>
      <c r="BD2321" s="297">
        <v>0</v>
      </c>
      <c r="BE2321" s="299" t="s">
        <v>5400</v>
      </c>
      <c r="BF2321" s="299" t="s">
        <v>5401</v>
      </c>
      <c r="BG2321" s="296">
        <v>0</v>
      </c>
      <c r="BH2321" s="296">
        <v>0</v>
      </c>
      <c r="BI2321" s="296">
        <v>0</v>
      </c>
      <c r="BJ2321" s="296">
        <v>0</v>
      </c>
      <c r="BK2321" s="296">
        <v>0</v>
      </c>
      <c r="BL2321" s="296">
        <v>0</v>
      </c>
      <c r="BM2321" s="300">
        <v>0</v>
      </c>
      <c r="BN2321" s="23">
        <v>0</v>
      </c>
      <c r="BO2321" s="23">
        <v>0</v>
      </c>
      <c r="BP2321" s="23">
        <v>0</v>
      </c>
      <c r="BQ2321" s="23">
        <v>0</v>
      </c>
      <c r="BR2321" s="23">
        <v>0</v>
      </c>
      <c r="BS2321" s="23">
        <v>0</v>
      </c>
      <c r="BT2321" s="23">
        <v>0</v>
      </c>
      <c r="BU2321" s="23">
        <v>0</v>
      </c>
      <c r="BV2321" s="23"/>
      <c r="BW2321" s="23"/>
      <c r="BX2321" s="23"/>
      <c r="BY2321" s="23"/>
      <c r="BZ2321" s="23"/>
    </row>
    <row r="2322" spans="3:78" ht="19.5" customHeight="1">
      <c r="C2322" s="294">
        <v>77001803</v>
      </c>
      <c r="D2322" s="295" t="s">
        <v>5402</v>
      </c>
      <c r="E2322" s="295" t="s">
        <v>5403</v>
      </c>
      <c r="F2322" s="294">
        <v>1</v>
      </c>
      <c r="G2322" s="296">
        <v>0</v>
      </c>
      <c r="H2322" s="294">
        <v>0</v>
      </c>
      <c r="I2322" s="297">
        <v>0</v>
      </c>
      <c r="J2322" s="294">
        <v>1</v>
      </c>
      <c r="K2322" s="294">
        <v>0</v>
      </c>
      <c r="L2322" s="294">
        <v>0</v>
      </c>
      <c r="M2322" s="296">
        <v>0</v>
      </c>
      <c r="N2322" s="296">
        <v>0</v>
      </c>
      <c r="O2322" s="296">
        <v>2</v>
      </c>
      <c r="P2322" s="296" t="s">
        <v>5239</v>
      </c>
      <c r="Q2322" s="296" t="s">
        <v>5240</v>
      </c>
      <c r="R2322" s="296">
        <v>0</v>
      </c>
      <c r="S2322" s="23">
        <v>0</v>
      </c>
      <c r="T2322" s="296">
        <v>0</v>
      </c>
      <c r="U2322" s="296">
        <v>1</v>
      </c>
      <c r="V2322" s="296">
        <v>2</v>
      </c>
      <c r="W2322" s="296">
        <v>0</v>
      </c>
      <c r="X2322" s="296">
        <v>2</v>
      </c>
      <c r="Y2322" s="19">
        <v>0</v>
      </c>
      <c r="Z2322" s="296">
        <v>0</v>
      </c>
      <c r="AA2322" s="296">
        <v>0</v>
      </c>
      <c r="AB2322" s="296">
        <v>0</v>
      </c>
      <c r="AC2322" s="296">
        <v>0</v>
      </c>
      <c r="AD2322" s="296">
        <v>0</v>
      </c>
      <c r="AE2322" s="296">
        <v>1</v>
      </c>
      <c r="AF2322" s="296">
        <v>24</v>
      </c>
      <c r="AG2322" s="296">
        <v>1</v>
      </c>
      <c r="AH2322" s="296">
        <v>2</v>
      </c>
      <c r="AI2322" s="23">
        <v>0</v>
      </c>
      <c r="AJ2322" s="23">
        <v>2</v>
      </c>
      <c r="AK2322" s="23">
        <v>0</v>
      </c>
      <c r="AL2322" s="23">
        <v>2</v>
      </c>
      <c r="AM2322" s="296">
        <v>0</v>
      </c>
      <c r="AN2322" s="296">
        <v>0</v>
      </c>
      <c r="AO2322" s="296">
        <v>0</v>
      </c>
      <c r="AP2322" s="296">
        <v>3</v>
      </c>
      <c r="AQ2322" s="296">
        <v>12000</v>
      </c>
      <c r="AR2322" s="296">
        <v>1</v>
      </c>
      <c r="AS2322" s="296">
        <v>2</v>
      </c>
      <c r="AT2322" s="361" t="s">
        <v>5404</v>
      </c>
      <c r="AU2322" s="359" t="s">
        <v>5405</v>
      </c>
      <c r="AV2322" s="301"/>
      <c r="AW2322" s="295" t="s">
        <v>205</v>
      </c>
      <c r="AX2322" s="296" t="s">
        <v>540</v>
      </c>
      <c r="AY2322" s="294">
        <v>10000007</v>
      </c>
      <c r="AZ2322" s="360" t="s">
        <v>5406</v>
      </c>
      <c r="BA2322" s="295" t="s">
        <v>592</v>
      </c>
      <c r="BB2322" s="296" t="s">
        <v>5407</v>
      </c>
      <c r="BC2322" s="297">
        <v>0</v>
      </c>
      <c r="BD2322" s="297">
        <v>0</v>
      </c>
      <c r="BE2322" s="299" t="s">
        <v>5408</v>
      </c>
      <c r="BF2322" s="299" t="s">
        <v>5409</v>
      </c>
      <c r="BG2322" s="296">
        <v>0</v>
      </c>
      <c r="BH2322" s="296">
        <v>0</v>
      </c>
      <c r="BI2322" s="296">
        <v>0</v>
      </c>
      <c r="BJ2322" s="296">
        <v>0</v>
      </c>
      <c r="BK2322" s="296">
        <v>0</v>
      </c>
      <c r="BL2322" s="296">
        <v>0</v>
      </c>
      <c r="BM2322" s="300">
        <v>0</v>
      </c>
      <c r="BN2322" s="23">
        <v>0</v>
      </c>
      <c r="BO2322" s="23">
        <v>0</v>
      </c>
      <c r="BP2322" s="23">
        <v>0</v>
      </c>
      <c r="BQ2322" s="23">
        <v>0</v>
      </c>
      <c r="BR2322" s="23">
        <v>0</v>
      </c>
      <c r="BS2322" s="23">
        <v>0</v>
      </c>
      <c r="BT2322" s="23">
        <v>0</v>
      </c>
      <c r="BU2322" s="23">
        <v>0</v>
      </c>
      <c r="BV2322" s="23"/>
      <c r="BW2322" s="23"/>
      <c r="BX2322" s="23"/>
      <c r="BY2322" s="23"/>
      <c r="BZ2322" s="23"/>
    </row>
    <row r="2323" spans="3:78" ht="19.5" customHeight="1">
      <c r="C2323" s="294">
        <v>77001804</v>
      </c>
      <c r="D2323" s="295" t="s">
        <v>5410</v>
      </c>
      <c r="E2323" s="295" t="s">
        <v>5411</v>
      </c>
      <c r="F2323" s="294">
        <v>1</v>
      </c>
      <c r="G2323" s="296">
        <v>0</v>
      </c>
      <c r="H2323" s="294">
        <v>0</v>
      </c>
      <c r="I2323" s="297">
        <v>0</v>
      </c>
      <c r="J2323" s="294">
        <v>1</v>
      </c>
      <c r="K2323" s="294">
        <v>0</v>
      </c>
      <c r="L2323" s="294">
        <v>0</v>
      </c>
      <c r="M2323" s="296">
        <v>0</v>
      </c>
      <c r="N2323" s="296">
        <v>0</v>
      </c>
      <c r="O2323" s="296">
        <v>2</v>
      </c>
      <c r="P2323" s="296">
        <v>2</v>
      </c>
      <c r="Q2323" s="296">
        <v>0.5</v>
      </c>
      <c r="R2323" s="296">
        <v>1</v>
      </c>
      <c r="S2323" s="23">
        <v>1</v>
      </c>
      <c r="T2323" s="296">
        <v>0</v>
      </c>
      <c r="U2323" s="296">
        <v>1</v>
      </c>
      <c r="V2323" s="296">
        <v>2</v>
      </c>
      <c r="W2323" s="296">
        <v>0</v>
      </c>
      <c r="X2323" s="296">
        <v>2.5</v>
      </c>
      <c r="Y2323" s="19">
        <v>0</v>
      </c>
      <c r="Z2323" s="296">
        <v>0</v>
      </c>
      <c r="AA2323" s="296">
        <v>1</v>
      </c>
      <c r="AB2323" s="296">
        <v>0</v>
      </c>
      <c r="AC2323" s="296">
        <v>0</v>
      </c>
      <c r="AD2323" s="296">
        <v>0</v>
      </c>
      <c r="AE2323" s="296">
        <v>1</v>
      </c>
      <c r="AF2323" s="296">
        <v>0</v>
      </c>
      <c r="AG2323" s="296">
        <v>1</v>
      </c>
      <c r="AH2323" s="296">
        <v>4</v>
      </c>
      <c r="AI2323" s="23">
        <v>1</v>
      </c>
      <c r="AJ2323" s="23">
        <v>1</v>
      </c>
      <c r="AK2323" s="23">
        <v>0</v>
      </c>
      <c r="AL2323" s="23">
        <v>3</v>
      </c>
      <c r="AM2323" s="296">
        <v>0</v>
      </c>
      <c r="AN2323" s="296">
        <v>0</v>
      </c>
      <c r="AO2323" s="296">
        <v>0</v>
      </c>
      <c r="AP2323" s="296">
        <v>0</v>
      </c>
      <c r="AQ2323" s="296">
        <v>3000</v>
      </c>
      <c r="AR2323" s="296">
        <v>1</v>
      </c>
      <c r="AS2323" s="296">
        <v>0</v>
      </c>
      <c r="AT2323" s="23">
        <v>0</v>
      </c>
      <c r="AU2323" s="359" t="s">
        <v>5412</v>
      </c>
      <c r="AV2323" s="301"/>
      <c r="AW2323" s="298" t="s">
        <v>293</v>
      </c>
      <c r="AX2323" s="296" t="s">
        <v>540</v>
      </c>
      <c r="AY2323" s="294">
        <v>0</v>
      </c>
      <c r="AZ2323" s="294">
        <v>77001803</v>
      </c>
      <c r="BA2323" s="295" t="s">
        <v>206</v>
      </c>
      <c r="BB2323" s="296">
        <v>0</v>
      </c>
      <c r="BC2323" s="297">
        <v>0</v>
      </c>
      <c r="BD2323" s="297">
        <v>0</v>
      </c>
      <c r="BE2323" s="299" t="s">
        <v>5413</v>
      </c>
      <c r="BF2323" s="299" t="s">
        <v>5414</v>
      </c>
      <c r="BG2323" s="296">
        <v>0</v>
      </c>
      <c r="BH2323" s="296">
        <v>0</v>
      </c>
      <c r="BI2323" s="296">
        <v>0</v>
      </c>
      <c r="BJ2323" s="296">
        <v>0</v>
      </c>
      <c r="BK2323" s="296">
        <v>0</v>
      </c>
      <c r="BL2323" s="296">
        <v>0</v>
      </c>
      <c r="BM2323" s="300">
        <v>0</v>
      </c>
      <c r="BN2323" s="23">
        <v>0</v>
      </c>
      <c r="BO2323" s="23">
        <v>0</v>
      </c>
      <c r="BP2323" s="23">
        <v>0</v>
      </c>
      <c r="BQ2323" s="23">
        <v>0</v>
      </c>
      <c r="BR2323" s="23">
        <v>0</v>
      </c>
      <c r="BS2323" s="23">
        <v>0</v>
      </c>
      <c r="BT2323" s="23">
        <v>77001806</v>
      </c>
      <c r="BU2323" s="23">
        <v>0</v>
      </c>
      <c r="BV2323" s="23"/>
      <c r="BW2323" s="23"/>
      <c r="BX2323" s="23"/>
      <c r="BY2323" s="23"/>
      <c r="BZ2323" s="23"/>
    </row>
    <row r="2324" spans="3:78" ht="19.5" customHeight="1">
      <c r="C2324" s="294">
        <v>77001805</v>
      </c>
      <c r="D2324" s="295" t="s">
        <v>5402</v>
      </c>
      <c r="E2324" s="295" t="s">
        <v>5403</v>
      </c>
      <c r="F2324" s="294">
        <v>1</v>
      </c>
      <c r="G2324" s="296">
        <v>0</v>
      </c>
      <c r="H2324" s="294">
        <v>0</v>
      </c>
      <c r="I2324" s="297">
        <v>0</v>
      </c>
      <c r="J2324" s="294">
        <v>1</v>
      </c>
      <c r="K2324" s="294">
        <v>0</v>
      </c>
      <c r="L2324" s="294">
        <v>0</v>
      </c>
      <c r="M2324" s="296">
        <v>0</v>
      </c>
      <c r="N2324" s="296">
        <v>0</v>
      </c>
      <c r="O2324" s="296">
        <v>2</v>
      </c>
      <c r="P2324" s="296">
        <v>1</v>
      </c>
      <c r="Q2324" s="296">
        <v>1</v>
      </c>
      <c r="R2324" s="296">
        <v>1</v>
      </c>
      <c r="S2324" s="23">
        <v>0</v>
      </c>
      <c r="T2324" s="296">
        <v>0</v>
      </c>
      <c r="U2324" s="296">
        <v>1</v>
      </c>
      <c r="V2324" s="296">
        <v>2</v>
      </c>
      <c r="W2324" s="296">
        <v>0</v>
      </c>
      <c r="X2324" s="296">
        <v>1.5</v>
      </c>
      <c r="Y2324" s="19">
        <v>0</v>
      </c>
      <c r="Z2324" s="296">
        <v>0</v>
      </c>
      <c r="AA2324" s="296">
        <v>0</v>
      </c>
      <c r="AB2324" s="296">
        <v>0</v>
      </c>
      <c r="AC2324" s="296">
        <v>0</v>
      </c>
      <c r="AD2324" s="296">
        <v>0</v>
      </c>
      <c r="AE2324" s="296">
        <v>1</v>
      </c>
      <c r="AF2324" s="296">
        <v>35</v>
      </c>
      <c r="AG2324" s="296">
        <v>1</v>
      </c>
      <c r="AH2324" s="296">
        <v>2</v>
      </c>
      <c r="AI2324" s="23">
        <v>0</v>
      </c>
      <c r="AJ2324" s="23">
        <v>2</v>
      </c>
      <c r="AK2324" s="23">
        <v>0</v>
      </c>
      <c r="AL2324" s="23">
        <v>2</v>
      </c>
      <c r="AM2324" s="296">
        <v>0</v>
      </c>
      <c r="AN2324" s="296">
        <v>0</v>
      </c>
      <c r="AO2324" s="296">
        <v>0</v>
      </c>
      <c r="AP2324" s="296">
        <v>0</v>
      </c>
      <c r="AQ2324" s="296">
        <v>12000</v>
      </c>
      <c r="AR2324" s="296">
        <v>1</v>
      </c>
      <c r="AS2324" s="296">
        <v>2</v>
      </c>
      <c r="AT2324" s="302">
        <v>0</v>
      </c>
      <c r="AU2324" s="359" t="s">
        <v>5415</v>
      </c>
      <c r="AV2324" s="301"/>
      <c r="AW2324" s="295" t="s">
        <v>205</v>
      </c>
      <c r="AX2324" s="296" t="s">
        <v>540</v>
      </c>
      <c r="AY2324" s="294">
        <v>10000007</v>
      </c>
      <c r="AZ2324" s="360" t="s">
        <v>5406</v>
      </c>
      <c r="BA2324" s="295" t="s">
        <v>592</v>
      </c>
      <c r="BB2324" s="296" t="s">
        <v>5416</v>
      </c>
      <c r="BC2324" s="297">
        <v>0</v>
      </c>
      <c r="BD2324" s="297">
        <v>0</v>
      </c>
      <c r="BE2324" s="299" t="s">
        <v>5417</v>
      </c>
      <c r="BF2324" s="299" t="s">
        <v>5418</v>
      </c>
      <c r="BG2324" s="296">
        <v>0</v>
      </c>
      <c r="BH2324" s="296">
        <v>0</v>
      </c>
      <c r="BI2324" s="296">
        <v>0</v>
      </c>
      <c r="BJ2324" s="296">
        <v>0</v>
      </c>
      <c r="BK2324" s="296">
        <v>0</v>
      </c>
      <c r="BL2324" s="296">
        <v>0</v>
      </c>
      <c r="BM2324" s="300">
        <v>0</v>
      </c>
      <c r="BN2324" s="23">
        <v>0</v>
      </c>
      <c r="BO2324" s="23">
        <v>0</v>
      </c>
      <c r="BP2324" s="23">
        <v>0</v>
      </c>
      <c r="BQ2324" s="23">
        <v>0</v>
      </c>
      <c r="BR2324" s="23">
        <v>0</v>
      </c>
      <c r="BS2324" s="23">
        <v>0</v>
      </c>
      <c r="BT2324" s="23">
        <v>0</v>
      </c>
      <c r="BU2324" s="23">
        <v>0</v>
      </c>
      <c r="BV2324" s="23"/>
      <c r="BW2324" s="23"/>
      <c r="BX2324" s="23"/>
      <c r="BY2324" s="23"/>
      <c r="BZ2324" s="23"/>
    </row>
    <row r="2325" spans="3:78" ht="19.5" customHeight="1">
      <c r="C2325" s="294">
        <v>77001806</v>
      </c>
      <c r="D2325" s="295" t="s">
        <v>5419</v>
      </c>
      <c r="E2325" s="295" t="s">
        <v>5420</v>
      </c>
      <c r="F2325" s="294">
        <v>1</v>
      </c>
      <c r="G2325" s="296">
        <v>0</v>
      </c>
      <c r="H2325" s="294">
        <v>0</v>
      </c>
      <c r="I2325" s="297">
        <v>0</v>
      </c>
      <c r="J2325" s="294">
        <v>1</v>
      </c>
      <c r="K2325" s="294">
        <v>0</v>
      </c>
      <c r="L2325" s="294">
        <v>0</v>
      </c>
      <c r="M2325" s="296">
        <v>0</v>
      </c>
      <c r="N2325" s="296">
        <v>0</v>
      </c>
      <c r="O2325" s="300">
        <v>2</v>
      </c>
      <c r="P2325" s="296">
        <v>2</v>
      </c>
      <c r="Q2325" s="296">
        <v>0.7</v>
      </c>
      <c r="R2325" s="296">
        <v>0</v>
      </c>
      <c r="S2325" s="23">
        <v>0</v>
      </c>
      <c r="T2325" s="296">
        <v>0</v>
      </c>
      <c r="U2325" s="296">
        <v>1</v>
      </c>
      <c r="V2325" s="296">
        <v>1</v>
      </c>
      <c r="W2325" s="296">
        <v>0</v>
      </c>
      <c r="X2325" s="296">
        <v>0</v>
      </c>
      <c r="Y2325" s="19">
        <v>0</v>
      </c>
      <c r="Z2325" s="296">
        <v>0</v>
      </c>
      <c r="AA2325" s="296">
        <v>0</v>
      </c>
      <c r="AB2325" s="296">
        <v>0</v>
      </c>
      <c r="AC2325" s="296">
        <v>0</v>
      </c>
      <c r="AD2325" s="300">
        <v>0</v>
      </c>
      <c r="AE2325" s="296">
        <v>1</v>
      </c>
      <c r="AF2325" s="296">
        <v>40</v>
      </c>
      <c r="AG2325" s="296">
        <v>1</v>
      </c>
      <c r="AH2325" s="296">
        <v>2</v>
      </c>
      <c r="AI2325" s="23">
        <v>0</v>
      </c>
      <c r="AJ2325" s="23">
        <v>1</v>
      </c>
      <c r="AK2325" s="23">
        <v>0</v>
      </c>
      <c r="AL2325" s="23">
        <v>0</v>
      </c>
      <c r="AM2325" s="296">
        <v>0</v>
      </c>
      <c r="AN2325" s="296">
        <v>0</v>
      </c>
      <c r="AO2325" s="296">
        <v>0</v>
      </c>
      <c r="AP2325" s="296">
        <v>0</v>
      </c>
      <c r="AQ2325" s="296">
        <v>1000</v>
      </c>
      <c r="AR2325" s="296">
        <v>0</v>
      </c>
      <c r="AS2325" s="296">
        <v>0</v>
      </c>
      <c r="AT2325" s="23">
        <v>0</v>
      </c>
      <c r="AU2325" s="296" t="s">
        <v>204</v>
      </c>
      <c r="AV2325" s="296"/>
      <c r="AW2325" s="298" t="s">
        <v>293</v>
      </c>
      <c r="AX2325" s="296" t="s">
        <v>551</v>
      </c>
      <c r="AY2325" s="294">
        <v>0</v>
      </c>
      <c r="AZ2325" s="294">
        <v>0</v>
      </c>
      <c r="BA2325" s="295" t="s">
        <v>534</v>
      </c>
      <c r="BB2325" s="296" t="s">
        <v>5421</v>
      </c>
      <c r="BC2325" s="297">
        <v>0</v>
      </c>
      <c r="BD2325" s="297">
        <v>0</v>
      </c>
      <c r="BE2325" s="299" t="s">
        <v>5422</v>
      </c>
      <c r="BF2325" s="299" t="s">
        <v>5423</v>
      </c>
      <c r="BG2325" s="296">
        <v>0</v>
      </c>
      <c r="BH2325" s="296">
        <v>0</v>
      </c>
      <c r="BI2325" s="296">
        <v>0</v>
      </c>
      <c r="BJ2325" s="296">
        <v>0</v>
      </c>
      <c r="BK2325" s="296">
        <v>0</v>
      </c>
      <c r="BL2325" s="296">
        <v>0</v>
      </c>
      <c r="BM2325" s="300">
        <v>0</v>
      </c>
      <c r="BN2325" s="23">
        <v>0</v>
      </c>
      <c r="BO2325" s="23">
        <v>0</v>
      </c>
      <c r="BP2325" s="23">
        <v>0</v>
      </c>
      <c r="BQ2325" s="23">
        <v>0</v>
      </c>
      <c r="BR2325" s="23">
        <v>0</v>
      </c>
      <c r="BS2325" s="23">
        <v>0</v>
      </c>
      <c r="BT2325" s="23">
        <v>0</v>
      </c>
      <c r="BU2325" s="23">
        <v>0</v>
      </c>
      <c r="BV2325" s="23"/>
      <c r="BW2325" s="23"/>
      <c r="BX2325" s="23"/>
      <c r="BY2325" s="23"/>
      <c r="BZ2325" s="23"/>
    </row>
    <row r="2326" spans="3:78" ht="19.5" customHeight="1">
      <c r="C2326" s="294">
        <v>77001807</v>
      </c>
      <c r="D2326" s="295" t="s">
        <v>5424</v>
      </c>
      <c r="E2326" s="295" t="s">
        <v>5425</v>
      </c>
      <c r="F2326" s="296">
        <v>1</v>
      </c>
      <c r="G2326" s="296">
        <v>0</v>
      </c>
      <c r="H2326" s="296">
        <v>0</v>
      </c>
      <c r="I2326" s="297">
        <v>0</v>
      </c>
      <c r="J2326" s="294">
        <v>1</v>
      </c>
      <c r="K2326" s="294">
        <v>0</v>
      </c>
      <c r="L2326" s="294">
        <v>0</v>
      </c>
      <c r="M2326" s="296">
        <v>0</v>
      </c>
      <c r="N2326" s="296">
        <v>0</v>
      </c>
      <c r="O2326" s="296">
        <v>2</v>
      </c>
      <c r="P2326" s="296" t="s">
        <v>5426</v>
      </c>
      <c r="Q2326" s="296" t="s">
        <v>5427</v>
      </c>
      <c r="R2326" s="296">
        <v>0</v>
      </c>
      <c r="S2326" s="23">
        <v>0</v>
      </c>
      <c r="T2326" s="296">
        <v>0</v>
      </c>
      <c r="U2326" s="296">
        <v>1</v>
      </c>
      <c r="V2326" s="296">
        <v>1</v>
      </c>
      <c r="W2326" s="296">
        <v>0</v>
      </c>
      <c r="X2326" s="296">
        <v>0</v>
      </c>
      <c r="Y2326" s="19">
        <v>0</v>
      </c>
      <c r="Z2326" s="296">
        <v>0</v>
      </c>
      <c r="AA2326" s="296">
        <v>0</v>
      </c>
      <c r="AB2326" s="296">
        <v>0</v>
      </c>
      <c r="AC2326" s="296">
        <v>0</v>
      </c>
      <c r="AD2326" s="296">
        <v>0</v>
      </c>
      <c r="AE2326" s="296">
        <v>1</v>
      </c>
      <c r="AF2326" s="296">
        <v>0</v>
      </c>
      <c r="AG2326" s="296">
        <v>2</v>
      </c>
      <c r="AH2326" s="296" t="s">
        <v>219</v>
      </c>
      <c r="AI2326" s="23">
        <v>0</v>
      </c>
      <c r="AJ2326" s="23">
        <v>2</v>
      </c>
      <c r="AK2326" s="23">
        <v>0</v>
      </c>
      <c r="AL2326" s="23">
        <v>1.5</v>
      </c>
      <c r="AM2326" s="296">
        <v>0</v>
      </c>
      <c r="AN2326" s="296">
        <v>0</v>
      </c>
      <c r="AO2326" s="296">
        <v>0</v>
      </c>
      <c r="AP2326" s="296">
        <v>0.3</v>
      </c>
      <c r="AQ2326" s="296">
        <v>300</v>
      </c>
      <c r="AR2326" s="296">
        <v>0</v>
      </c>
      <c r="AS2326" s="296">
        <v>15</v>
      </c>
      <c r="AT2326" s="23">
        <v>0</v>
      </c>
      <c r="AU2326" s="301">
        <v>0</v>
      </c>
      <c r="AV2326" s="301"/>
      <c r="AW2326" s="295" t="s">
        <v>205</v>
      </c>
      <c r="AX2326" s="296" t="s">
        <v>221</v>
      </c>
      <c r="AY2326" s="294">
        <v>0</v>
      </c>
      <c r="AZ2326" s="294">
        <v>0</v>
      </c>
      <c r="BA2326" s="307" t="s">
        <v>222</v>
      </c>
      <c r="BB2326" s="296">
        <v>1</v>
      </c>
      <c r="BC2326" s="297">
        <v>0</v>
      </c>
      <c r="BD2326" s="297">
        <v>0</v>
      </c>
      <c r="BE2326" s="299" t="s">
        <v>5428</v>
      </c>
      <c r="BF2326" s="299" t="s">
        <v>5429</v>
      </c>
      <c r="BG2326" s="296">
        <v>0</v>
      </c>
      <c r="BH2326" s="296">
        <v>0</v>
      </c>
      <c r="BI2326" s="296">
        <v>0</v>
      </c>
      <c r="BJ2326" s="296">
        <v>0</v>
      </c>
      <c r="BK2326" s="296">
        <v>0</v>
      </c>
      <c r="BL2326" s="296">
        <v>0</v>
      </c>
      <c r="BM2326" s="300">
        <v>0</v>
      </c>
      <c r="BN2326" s="23">
        <v>0</v>
      </c>
      <c r="BO2326" s="23">
        <v>0</v>
      </c>
      <c r="BP2326" s="23">
        <v>0</v>
      </c>
      <c r="BQ2326" s="23">
        <v>0</v>
      </c>
      <c r="BR2326" s="23">
        <v>0</v>
      </c>
      <c r="BS2326" s="23">
        <v>1</v>
      </c>
      <c r="BT2326" s="23">
        <v>77001808</v>
      </c>
      <c r="BU2326" s="23">
        <v>0</v>
      </c>
      <c r="BV2326" s="23"/>
      <c r="BW2326" s="23"/>
      <c r="BX2326" s="23"/>
      <c r="BY2326" s="23"/>
      <c r="BZ2326" s="23"/>
    </row>
    <row r="2327" spans="3:78" ht="20.100000000000001" customHeight="1">
      <c r="C2327" s="294">
        <v>77001808</v>
      </c>
      <c r="D2327" s="295" t="s">
        <v>5424</v>
      </c>
      <c r="E2327" s="295" t="s">
        <v>5425</v>
      </c>
      <c r="F2327" s="296">
        <v>1</v>
      </c>
      <c r="G2327" s="296">
        <v>0</v>
      </c>
      <c r="H2327" s="296">
        <v>0</v>
      </c>
      <c r="I2327" s="297">
        <v>0</v>
      </c>
      <c r="J2327" s="294">
        <v>1</v>
      </c>
      <c r="K2327" s="294">
        <v>0</v>
      </c>
      <c r="L2327" s="294">
        <v>0</v>
      </c>
      <c r="M2327" s="296">
        <v>0</v>
      </c>
      <c r="N2327" s="296">
        <v>0</v>
      </c>
      <c r="O2327" s="296">
        <v>2</v>
      </c>
      <c r="P2327" s="296">
        <v>3</v>
      </c>
      <c r="Q2327" s="296">
        <v>0.2</v>
      </c>
      <c r="R2327" s="296">
        <v>0</v>
      </c>
      <c r="S2327" s="23">
        <v>0</v>
      </c>
      <c r="T2327" s="296">
        <v>0</v>
      </c>
      <c r="U2327" s="296">
        <v>1</v>
      </c>
      <c r="V2327" s="296">
        <v>2</v>
      </c>
      <c r="W2327" s="296">
        <v>0</v>
      </c>
      <c r="X2327" s="296">
        <v>1.5</v>
      </c>
      <c r="Y2327" s="19">
        <v>0</v>
      </c>
      <c r="Z2327" s="296">
        <v>0</v>
      </c>
      <c r="AA2327" s="296">
        <v>1</v>
      </c>
      <c r="AB2327" s="296">
        <v>0</v>
      </c>
      <c r="AC2327" s="296">
        <v>0</v>
      </c>
      <c r="AD2327" s="296">
        <v>0</v>
      </c>
      <c r="AE2327" s="296">
        <v>1</v>
      </c>
      <c r="AF2327" s="296">
        <v>0</v>
      </c>
      <c r="AG2327" s="296">
        <v>1</v>
      </c>
      <c r="AH2327" s="296">
        <v>3</v>
      </c>
      <c r="AI2327" s="23">
        <v>0</v>
      </c>
      <c r="AJ2327" s="23">
        <v>1</v>
      </c>
      <c r="AK2327" s="23">
        <v>0</v>
      </c>
      <c r="AL2327" s="23">
        <v>3</v>
      </c>
      <c r="AM2327" s="296">
        <v>0</v>
      </c>
      <c r="AN2327" s="296">
        <v>0</v>
      </c>
      <c r="AO2327" s="296">
        <v>0</v>
      </c>
      <c r="AP2327" s="296">
        <v>0.8</v>
      </c>
      <c r="AQ2327" s="296">
        <v>2000</v>
      </c>
      <c r="AR2327" s="296">
        <v>0.8</v>
      </c>
      <c r="AS2327" s="296">
        <v>0</v>
      </c>
      <c r="AT2327" s="23">
        <v>0</v>
      </c>
      <c r="AU2327" s="359" t="s">
        <v>5430</v>
      </c>
      <c r="AV2327" s="301"/>
      <c r="AW2327" s="295" t="s">
        <v>204</v>
      </c>
      <c r="AX2327" s="296" t="s">
        <v>221</v>
      </c>
      <c r="AY2327" s="294">
        <v>10000011</v>
      </c>
      <c r="AZ2327" s="294">
        <v>77001801</v>
      </c>
      <c r="BA2327" s="298" t="s">
        <v>206</v>
      </c>
      <c r="BB2327" s="296">
        <v>0</v>
      </c>
      <c r="BC2327" s="297">
        <v>0</v>
      </c>
      <c r="BD2327" s="297">
        <v>0</v>
      </c>
      <c r="BE2327" s="299" t="s">
        <v>5431</v>
      </c>
      <c r="BF2327" s="299" t="s">
        <v>5432</v>
      </c>
      <c r="BG2327" s="296">
        <v>0</v>
      </c>
      <c r="BH2327" s="296">
        <v>0</v>
      </c>
      <c r="BI2327" s="296">
        <v>0</v>
      </c>
      <c r="BJ2327" s="296">
        <v>0</v>
      </c>
      <c r="BK2327" s="296">
        <v>0</v>
      </c>
      <c r="BL2327" s="296">
        <v>0</v>
      </c>
      <c r="BM2327" s="300">
        <v>0</v>
      </c>
      <c r="BN2327" s="23">
        <v>0</v>
      </c>
      <c r="BO2327" s="23">
        <v>0</v>
      </c>
      <c r="BP2327" s="23">
        <v>0</v>
      </c>
      <c r="BQ2327" s="23">
        <v>0</v>
      </c>
      <c r="BR2327" s="23">
        <v>0</v>
      </c>
      <c r="BS2327" s="23">
        <v>0</v>
      </c>
      <c r="BT2327" s="23">
        <v>0</v>
      </c>
      <c r="BU2327" s="23">
        <v>0</v>
      </c>
      <c r="BV2327" s="23"/>
      <c r="BW2327" s="23"/>
      <c r="BX2327" s="23"/>
      <c r="BY2327" s="23"/>
      <c r="BZ2327" s="23"/>
    </row>
    <row r="2328" spans="3:78" ht="19.5" customHeight="1">
      <c r="C2328" s="294">
        <v>77001809</v>
      </c>
      <c r="D2328" s="295" t="s">
        <v>5433</v>
      </c>
      <c r="E2328" s="295" t="s">
        <v>5434</v>
      </c>
      <c r="F2328" s="294">
        <v>1</v>
      </c>
      <c r="G2328" s="294">
        <v>80004009</v>
      </c>
      <c r="H2328" s="294">
        <v>0</v>
      </c>
      <c r="I2328" s="297">
        <v>0</v>
      </c>
      <c r="J2328" s="294">
        <v>1</v>
      </c>
      <c r="K2328" s="294">
        <v>0</v>
      </c>
      <c r="L2328" s="294">
        <v>0</v>
      </c>
      <c r="M2328" s="296">
        <v>0</v>
      </c>
      <c r="N2328" s="296">
        <v>0</v>
      </c>
      <c r="O2328" s="296">
        <v>2</v>
      </c>
      <c r="P2328" s="296">
        <v>16</v>
      </c>
      <c r="Q2328" s="296">
        <v>5</v>
      </c>
      <c r="R2328" s="296">
        <v>0</v>
      </c>
      <c r="S2328" s="23">
        <v>0</v>
      </c>
      <c r="T2328" s="296">
        <v>0</v>
      </c>
      <c r="U2328" s="296">
        <v>1</v>
      </c>
      <c r="V2328" s="296">
        <v>2</v>
      </c>
      <c r="W2328" s="296">
        <v>0</v>
      </c>
      <c r="X2328" s="296">
        <v>1</v>
      </c>
      <c r="Y2328" s="19">
        <v>0</v>
      </c>
      <c r="Z2328" s="296">
        <v>0</v>
      </c>
      <c r="AA2328" s="296">
        <v>0</v>
      </c>
      <c r="AB2328" s="296">
        <v>0</v>
      </c>
      <c r="AC2328" s="296">
        <v>0</v>
      </c>
      <c r="AD2328" s="296">
        <v>0</v>
      </c>
      <c r="AE2328" s="296">
        <v>1</v>
      </c>
      <c r="AF2328" s="296">
        <v>0</v>
      </c>
      <c r="AG2328" s="296">
        <v>1</v>
      </c>
      <c r="AH2328" s="296">
        <v>2</v>
      </c>
      <c r="AI2328" s="23">
        <v>0</v>
      </c>
      <c r="AJ2328" s="23">
        <v>2</v>
      </c>
      <c r="AK2328" s="23">
        <v>0</v>
      </c>
      <c r="AL2328" s="23">
        <v>2</v>
      </c>
      <c r="AM2328" s="296">
        <v>0</v>
      </c>
      <c r="AN2328" s="296">
        <v>0</v>
      </c>
      <c r="AO2328" s="296">
        <v>0</v>
      </c>
      <c r="AP2328" s="296">
        <v>3</v>
      </c>
      <c r="AQ2328" s="296">
        <v>5000</v>
      </c>
      <c r="AR2328" s="296">
        <v>1</v>
      </c>
      <c r="AS2328" s="296">
        <v>10</v>
      </c>
      <c r="AT2328" s="302">
        <v>0</v>
      </c>
      <c r="AU2328" s="359" t="s">
        <v>5435</v>
      </c>
      <c r="AV2328" s="301"/>
      <c r="AW2328" s="295" t="s">
        <v>205</v>
      </c>
      <c r="AX2328" s="296" t="s">
        <v>540</v>
      </c>
      <c r="AY2328" s="294">
        <v>10000007</v>
      </c>
      <c r="AZ2328" s="360" t="s">
        <v>5406</v>
      </c>
      <c r="BA2328" s="295" t="s">
        <v>592</v>
      </c>
      <c r="BB2328" s="296" t="s">
        <v>5436</v>
      </c>
      <c r="BC2328" s="297">
        <v>0</v>
      </c>
      <c r="BD2328" s="297">
        <v>1</v>
      </c>
      <c r="BE2328" s="299" t="s">
        <v>5437</v>
      </c>
      <c r="BF2328" s="299" t="s">
        <v>5438</v>
      </c>
      <c r="BG2328" s="296">
        <v>0</v>
      </c>
      <c r="BH2328" s="296">
        <v>0</v>
      </c>
      <c r="BI2328" s="296">
        <v>0</v>
      </c>
      <c r="BJ2328" s="296">
        <v>0</v>
      </c>
      <c r="BK2328" s="296">
        <v>0</v>
      </c>
      <c r="BL2328" s="296">
        <v>0</v>
      </c>
      <c r="BM2328" s="300">
        <v>0</v>
      </c>
      <c r="BN2328" s="23">
        <v>0</v>
      </c>
      <c r="BO2328" s="23">
        <v>0</v>
      </c>
      <c r="BP2328" s="23">
        <v>0</v>
      </c>
      <c r="BQ2328" s="23">
        <v>0</v>
      </c>
      <c r="BR2328" s="23">
        <v>0</v>
      </c>
      <c r="BS2328" s="23">
        <v>0</v>
      </c>
      <c r="BT2328" s="23">
        <v>0</v>
      </c>
      <c r="BU2328" s="23">
        <v>0</v>
      </c>
      <c r="BV2328" s="23"/>
      <c r="BW2328" s="23"/>
      <c r="BX2328" s="23"/>
      <c r="BY2328" s="23"/>
      <c r="BZ2328" s="23"/>
    </row>
    <row r="2329" spans="3:78" ht="19.5" customHeight="1">
      <c r="C2329" s="74">
        <v>77001901</v>
      </c>
      <c r="D2329" s="71" t="s">
        <v>5439</v>
      </c>
      <c r="E2329" s="71" t="s">
        <v>5440</v>
      </c>
      <c r="F2329" s="72">
        <v>1</v>
      </c>
      <c r="G2329" s="72">
        <v>0</v>
      </c>
      <c r="H2329" s="72">
        <v>0</v>
      </c>
      <c r="I2329" s="75">
        <v>0</v>
      </c>
      <c r="J2329" s="74">
        <v>1</v>
      </c>
      <c r="K2329" s="72">
        <v>0</v>
      </c>
      <c r="L2329" s="72">
        <v>0</v>
      </c>
      <c r="M2329" s="72">
        <v>0</v>
      </c>
      <c r="N2329" s="72">
        <v>0</v>
      </c>
      <c r="O2329" s="72">
        <v>2</v>
      </c>
      <c r="P2329" s="72">
        <v>3</v>
      </c>
      <c r="Q2329" s="72">
        <v>0.4</v>
      </c>
      <c r="R2329" s="72">
        <v>0</v>
      </c>
      <c r="S2329" s="73">
        <v>0</v>
      </c>
      <c r="T2329" s="72">
        <v>0</v>
      </c>
      <c r="U2329" s="72">
        <v>1</v>
      </c>
      <c r="V2329" s="72">
        <v>1</v>
      </c>
      <c r="W2329" s="72">
        <v>0</v>
      </c>
      <c r="X2329" s="72">
        <v>0</v>
      </c>
      <c r="Y2329" s="19">
        <v>0</v>
      </c>
      <c r="Z2329" s="72">
        <v>0</v>
      </c>
      <c r="AA2329" s="72">
        <v>1</v>
      </c>
      <c r="AB2329" s="72">
        <v>0</v>
      </c>
      <c r="AC2329" s="72">
        <v>0</v>
      </c>
      <c r="AD2329" s="72">
        <v>0</v>
      </c>
      <c r="AE2329" s="72">
        <v>0</v>
      </c>
      <c r="AF2329" s="72">
        <v>14</v>
      </c>
      <c r="AG2329" s="72">
        <v>1</v>
      </c>
      <c r="AH2329" s="72">
        <v>3</v>
      </c>
      <c r="AI2329" s="73">
        <v>0</v>
      </c>
      <c r="AJ2329" s="73">
        <v>1</v>
      </c>
      <c r="AK2329" s="73">
        <v>0</v>
      </c>
      <c r="AL2329" s="73">
        <v>1.5</v>
      </c>
      <c r="AM2329" s="72">
        <v>0</v>
      </c>
      <c r="AN2329" s="72">
        <v>0</v>
      </c>
      <c r="AO2329" s="72">
        <v>0</v>
      </c>
      <c r="AP2329" s="72">
        <v>0.2</v>
      </c>
      <c r="AQ2329" s="72">
        <v>300</v>
      </c>
      <c r="AR2329" s="72">
        <v>0</v>
      </c>
      <c r="AS2329" s="72">
        <v>0</v>
      </c>
      <c r="AT2329" s="330" t="s">
        <v>5441</v>
      </c>
      <c r="AU2329" s="72">
        <v>0</v>
      </c>
      <c r="AV2329" s="72"/>
      <c r="AW2329" s="71" t="s">
        <v>204</v>
      </c>
      <c r="AX2329" s="72" t="s">
        <v>540</v>
      </c>
      <c r="AY2329" s="74">
        <v>0</v>
      </c>
      <c r="AZ2329" s="74">
        <v>77001901</v>
      </c>
      <c r="BA2329" s="71" t="s">
        <v>777</v>
      </c>
      <c r="BB2329" s="72">
        <v>0</v>
      </c>
      <c r="BC2329" s="75">
        <v>0</v>
      </c>
      <c r="BD2329" s="75">
        <v>0</v>
      </c>
      <c r="BE2329" s="114" t="s">
        <v>5442</v>
      </c>
      <c r="BF2329" s="114" t="s">
        <v>5443</v>
      </c>
      <c r="BG2329" s="72">
        <v>0</v>
      </c>
      <c r="BH2329" s="72">
        <v>0</v>
      </c>
      <c r="BI2329" s="72">
        <v>0</v>
      </c>
      <c r="BJ2329" s="72">
        <v>0</v>
      </c>
      <c r="BK2329" s="72">
        <v>0</v>
      </c>
      <c r="BL2329" s="72">
        <v>0</v>
      </c>
      <c r="BM2329" s="90">
        <v>0</v>
      </c>
      <c r="BN2329" s="73">
        <v>0</v>
      </c>
      <c r="BO2329" s="73">
        <v>0</v>
      </c>
      <c r="BP2329" s="73">
        <v>0</v>
      </c>
      <c r="BQ2329" s="73">
        <v>0</v>
      </c>
      <c r="BR2329" s="73">
        <v>0</v>
      </c>
      <c r="BS2329" s="73">
        <v>1</v>
      </c>
      <c r="BT2329" s="73">
        <v>77001902</v>
      </c>
      <c r="BU2329" s="23">
        <v>0</v>
      </c>
      <c r="BV2329" s="23"/>
      <c r="BW2329" s="23"/>
      <c r="BX2329" s="23"/>
      <c r="BY2329" s="23"/>
      <c r="BZ2329" s="23"/>
    </row>
    <row r="2330" spans="3:78" ht="19.5" customHeight="1">
      <c r="C2330" s="74">
        <v>77001902</v>
      </c>
      <c r="D2330" s="71" t="s">
        <v>606</v>
      </c>
      <c r="E2330" s="71" t="s">
        <v>607</v>
      </c>
      <c r="F2330" s="74">
        <v>1</v>
      </c>
      <c r="G2330" s="72">
        <v>0</v>
      </c>
      <c r="H2330" s="74">
        <v>0</v>
      </c>
      <c r="I2330" s="75">
        <v>0</v>
      </c>
      <c r="J2330" s="74">
        <v>1</v>
      </c>
      <c r="K2330" s="74">
        <v>0</v>
      </c>
      <c r="L2330" s="74">
        <v>0</v>
      </c>
      <c r="M2330" s="72">
        <v>0</v>
      </c>
      <c r="N2330" s="72">
        <v>0</v>
      </c>
      <c r="O2330" s="72">
        <v>2</v>
      </c>
      <c r="P2330" s="72">
        <v>3</v>
      </c>
      <c r="Q2330" s="72">
        <v>0.2</v>
      </c>
      <c r="R2330" s="72">
        <v>0</v>
      </c>
      <c r="S2330" s="73">
        <v>0</v>
      </c>
      <c r="T2330" s="72">
        <v>0</v>
      </c>
      <c r="U2330" s="72">
        <v>1</v>
      </c>
      <c r="V2330" s="72">
        <v>1</v>
      </c>
      <c r="W2330" s="72">
        <v>0</v>
      </c>
      <c r="X2330" s="72">
        <v>0</v>
      </c>
      <c r="Y2330" s="19">
        <v>0</v>
      </c>
      <c r="Z2330" s="72">
        <v>0</v>
      </c>
      <c r="AA2330" s="72">
        <v>0</v>
      </c>
      <c r="AB2330" s="72">
        <v>0</v>
      </c>
      <c r="AC2330" s="72">
        <v>0</v>
      </c>
      <c r="AD2330" s="72">
        <v>0</v>
      </c>
      <c r="AE2330" s="72">
        <v>1</v>
      </c>
      <c r="AF2330" s="72">
        <v>0</v>
      </c>
      <c r="AG2330" s="72">
        <v>1</v>
      </c>
      <c r="AH2330" s="72">
        <v>2</v>
      </c>
      <c r="AI2330" s="73">
        <v>0</v>
      </c>
      <c r="AJ2330" s="73">
        <v>1</v>
      </c>
      <c r="AK2330" s="73">
        <v>0</v>
      </c>
      <c r="AL2330" s="73">
        <v>3</v>
      </c>
      <c r="AM2330" s="72">
        <v>0</v>
      </c>
      <c r="AN2330" s="72">
        <v>0</v>
      </c>
      <c r="AO2330" s="72">
        <v>0</v>
      </c>
      <c r="AP2330" s="72">
        <v>0.3</v>
      </c>
      <c r="AQ2330" s="72">
        <v>300</v>
      </c>
      <c r="AR2330" s="72">
        <v>0</v>
      </c>
      <c r="AS2330" s="72">
        <v>0</v>
      </c>
      <c r="AT2330" s="73">
        <v>0</v>
      </c>
      <c r="AU2330" s="93">
        <v>0</v>
      </c>
      <c r="AV2330" s="93"/>
      <c r="AW2330" s="71" t="s">
        <v>204</v>
      </c>
      <c r="AX2330" s="72">
        <v>0</v>
      </c>
      <c r="AY2330" s="74">
        <v>0</v>
      </c>
      <c r="AZ2330" s="74">
        <v>0</v>
      </c>
      <c r="BA2330" s="71" t="s">
        <v>534</v>
      </c>
      <c r="BB2330" s="344" t="s">
        <v>5444</v>
      </c>
      <c r="BC2330" s="75">
        <v>0</v>
      </c>
      <c r="BD2330" s="75">
        <v>0</v>
      </c>
      <c r="BE2330" s="76" t="s">
        <v>5445</v>
      </c>
      <c r="BF2330" s="76" t="s">
        <v>5446</v>
      </c>
      <c r="BG2330" s="72">
        <v>0</v>
      </c>
      <c r="BH2330" s="72">
        <v>0</v>
      </c>
      <c r="BI2330" s="72">
        <v>0</v>
      </c>
      <c r="BJ2330" s="72">
        <v>0</v>
      </c>
      <c r="BK2330" s="72">
        <v>0</v>
      </c>
      <c r="BL2330" s="72">
        <v>0</v>
      </c>
      <c r="BM2330" s="90">
        <v>0</v>
      </c>
      <c r="BN2330" s="73">
        <v>0</v>
      </c>
      <c r="BO2330" s="73">
        <v>0</v>
      </c>
      <c r="BP2330" s="73">
        <v>0</v>
      </c>
      <c r="BQ2330" s="73">
        <v>0</v>
      </c>
      <c r="BR2330" s="73">
        <v>0</v>
      </c>
      <c r="BS2330" s="73">
        <v>1</v>
      </c>
      <c r="BT2330" s="73">
        <v>77001904</v>
      </c>
      <c r="BU2330" s="23">
        <v>0</v>
      </c>
      <c r="BV2330" s="23"/>
      <c r="BW2330" s="23"/>
      <c r="BX2330" s="23"/>
      <c r="BY2330" s="23"/>
      <c r="BZ2330" s="23"/>
    </row>
    <row r="2331" spans="3:78" ht="19.5" customHeight="1">
      <c r="C2331" s="74">
        <v>77001903</v>
      </c>
      <c r="D2331" s="71" t="s">
        <v>766</v>
      </c>
      <c r="E2331" s="71" t="s">
        <v>767</v>
      </c>
      <c r="F2331" s="72">
        <v>1</v>
      </c>
      <c r="G2331" s="72">
        <v>0</v>
      </c>
      <c r="H2331" s="72">
        <v>0</v>
      </c>
      <c r="I2331" s="75">
        <v>0</v>
      </c>
      <c r="J2331" s="74">
        <v>1</v>
      </c>
      <c r="K2331" s="74">
        <v>0</v>
      </c>
      <c r="L2331" s="74">
        <v>0</v>
      </c>
      <c r="M2331" s="72">
        <v>0</v>
      </c>
      <c r="N2331" s="72">
        <v>0</v>
      </c>
      <c r="O2331" s="72">
        <v>2</v>
      </c>
      <c r="P2331" s="72">
        <v>1</v>
      </c>
      <c r="Q2331" s="72">
        <v>1</v>
      </c>
      <c r="R2331" s="72">
        <v>1</v>
      </c>
      <c r="S2331" s="73">
        <v>1</v>
      </c>
      <c r="T2331" s="72">
        <v>0</v>
      </c>
      <c r="U2331" s="72">
        <v>1</v>
      </c>
      <c r="V2331" s="72">
        <v>1</v>
      </c>
      <c r="W2331" s="72">
        <v>0</v>
      </c>
      <c r="X2331" s="72">
        <v>0.8</v>
      </c>
      <c r="Y2331" s="19">
        <v>0</v>
      </c>
      <c r="Z2331" s="72">
        <v>0</v>
      </c>
      <c r="AA2331" s="72">
        <v>0</v>
      </c>
      <c r="AB2331" s="72">
        <v>0</v>
      </c>
      <c r="AC2331" s="72">
        <v>0</v>
      </c>
      <c r="AD2331" s="72">
        <v>0</v>
      </c>
      <c r="AE2331" s="72">
        <v>1</v>
      </c>
      <c r="AF2331" s="72">
        <v>10</v>
      </c>
      <c r="AG2331" s="72">
        <v>2</v>
      </c>
      <c r="AH2331" s="72" t="s">
        <v>1042</v>
      </c>
      <c r="AI2331" s="73">
        <v>0</v>
      </c>
      <c r="AJ2331" s="73">
        <v>2</v>
      </c>
      <c r="AK2331" s="73">
        <v>0</v>
      </c>
      <c r="AL2331" s="73">
        <v>1.5</v>
      </c>
      <c r="AM2331" s="72">
        <v>0</v>
      </c>
      <c r="AN2331" s="72">
        <v>0.5</v>
      </c>
      <c r="AO2331" s="72">
        <v>0</v>
      </c>
      <c r="AP2331" s="72">
        <v>0.5</v>
      </c>
      <c r="AQ2331" s="72">
        <v>500</v>
      </c>
      <c r="AR2331" s="72">
        <v>0</v>
      </c>
      <c r="AS2331" s="72">
        <v>15</v>
      </c>
      <c r="AT2331" s="73">
        <v>0</v>
      </c>
      <c r="AU2331" s="322" t="s">
        <v>5447</v>
      </c>
      <c r="AV2331" s="93"/>
      <c r="AW2331" s="71" t="s">
        <v>205</v>
      </c>
      <c r="AX2331" s="72" t="s">
        <v>221</v>
      </c>
      <c r="AY2331" s="74">
        <v>0</v>
      </c>
      <c r="AZ2331" s="74">
        <v>0</v>
      </c>
      <c r="BA2331" s="306" t="s">
        <v>222</v>
      </c>
      <c r="BB2331" s="72">
        <v>0</v>
      </c>
      <c r="BC2331" s="75">
        <v>0</v>
      </c>
      <c r="BD2331" s="75">
        <v>0</v>
      </c>
      <c r="BE2331" s="76" t="s">
        <v>2379</v>
      </c>
      <c r="BF2331" s="76" t="s">
        <v>2380</v>
      </c>
      <c r="BG2331" s="72">
        <v>0</v>
      </c>
      <c r="BH2331" s="72">
        <v>0</v>
      </c>
      <c r="BI2331" s="72">
        <v>0</v>
      </c>
      <c r="BJ2331" s="72">
        <v>0</v>
      </c>
      <c r="BK2331" s="72">
        <v>0</v>
      </c>
      <c r="BL2331" s="72">
        <v>0</v>
      </c>
      <c r="BM2331" s="90">
        <v>0</v>
      </c>
      <c r="BN2331" s="73">
        <v>0</v>
      </c>
      <c r="BO2331" s="73">
        <v>0</v>
      </c>
      <c r="BP2331" s="73">
        <v>0</v>
      </c>
      <c r="BQ2331" s="73">
        <v>0</v>
      </c>
      <c r="BR2331" s="73">
        <v>0</v>
      </c>
      <c r="BS2331" s="73">
        <v>0</v>
      </c>
      <c r="BT2331" s="73">
        <v>0</v>
      </c>
      <c r="BU2331" s="23">
        <v>0</v>
      </c>
      <c r="BV2331" s="23"/>
      <c r="BW2331" s="23"/>
      <c r="BX2331" s="23"/>
      <c r="BY2331" s="23"/>
      <c r="BZ2331" s="23"/>
    </row>
    <row r="2332" spans="3:78" ht="20.100000000000001" customHeight="1">
      <c r="C2332" s="74">
        <v>77001904</v>
      </c>
      <c r="D2332" s="71" t="s">
        <v>2892</v>
      </c>
      <c r="E2332" s="71" t="s">
        <v>5269</v>
      </c>
      <c r="F2332" s="72">
        <v>1</v>
      </c>
      <c r="G2332" s="72">
        <v>0</v>
      </c>
      <c r="H2332" s="72">
        <v>0</v>
      </c>
      <c r="I2332" s="75">
        <v>0</v>
      </c>
      <c r="J2332" s="74">
        <v>1</v>
      </c>
      <c r="K2332" s="74">
        <v>0</v>
      </c>
      <c r="L2332" s="74">
        <v>0</v>
      </c>
      <c r="M2332" s="72">
        <v>0</v>
      </c>
      <c r="N2332" s="72">
        <v>0</v>
      </c>
      <c r="O2332" s="72">
        <v>2</v>
      </c>
      <c r="P2332" s="72">
        <v>3</v>
      </c>
      <c r="Q2332" s="72">
        <v>0.2</v>
      </c>
      <c r="R2332" s="72">
        <v>0</v>
      </c>
      <c r="S2332" s="73">
        <v>0</v>
      </c>
      <c r="T2332" s="72">
        <v>0</v>
      </c>
      <c r="U2332" s="72">
        <v>1</v>
      </c>
      <c r="V2332" s="72">
        <v>1</v>
      </c>
      <c r="W2332" s="72">
        <v>0</v>
      </c>
      <c r="X2332" s="72">
        <v>2</v>
      </c>
      <c r="Y2332" s="19">
        <v>0</v>
      </c>
      <c r="Z2332" s="72">
        <v>0</v>
      </c>
      <c r="AA2332" s="72">
        <v>1</v>
      </c>
      <c r="AB2332" s="72">
        <v>0</v>
      </c>
      <c r="AC2332" s="72">
        <v>0</v>
      </c>
      <c r="AD2332" s="72">
        <v>0</v>
      </c>
      <c r="AE2332" s="72">
        <v>1</v>
      </c>
      <c r="AF2332" s="72">
        <v>0</v>
      </c>
      <c r="AG2332" s="72">
        <v>1</v>
      </c>
      <c r="AH2332" s="72">
        <v>5</v>
      </c>
      <c r="AI2332" s="73">
        <v>0</v>
      </c>
      <c r="AJ2332" s="73">
        <v>1</v>
      </c>
      <c r="AK2332" s="73">
        <v>0</v>
      </c>
      <c r="AL2332" s="73">
        <v>3</v>
      </c>
      <c r="AM2332" s="72">
        <v>0</v>
      </c>
      <c r="AN2332" s="72">
        <v>2.1</v>
      </c>
      <c r="AO2332" s="72">
        <v>0</v>
      </c>
      <c r="AP2332" s="72">
        <v>0.9</v>
      </c>
      <c r="AQ2332" s="72">
        <v>3000</v>
      </c>
      <c r="AR2332" s="72">
        <v>1</v>
      </c>
      <c r="AS2332" s="72">
        <v>0</v>
      </c>
      <c r="AT2332" s="73">
        <v>0</v>
      </c>
      <c r="AU2332" s="322" t="s">
        <v>5448</v>
      </c>
      <c r="AV2332" s="93"/>
      <c r="AW2332" s="71" t="s">
        <v>293</v>
      </c>
      <c r="AX2332" s="72" t="s">
        <v>221</v>
      </c>
      <c r="AY2332" s="74">
        <v>0</v>
      </c>
      <c r="AZ2332" s="74">
        <v>77001902</v>
      </c>
      <c r="BA2332" s="88" t="s">
        <v>206</v>
      </c>
      <c r="BB2332" s="72">
        <v>0</v>
      </c>
      <c r="BC2332" s="75">
        <v>0</v>
      </c>
      <c r="BD2332" s="75">
        <v>0</v>
      </c>
      <c r="BE2332" s="76" t="s">
        <v>5449</v>
      </c>
      <c r="BF2332" s="76" t="s">
        <v>5450</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19.5" customHeight="1">
      <c r="C2333" s="74">
        <v>77001905</v>
      </c>
      <c r="D2333" s="71" t="s">
        <v>5451</v>
      </c>
      <c r="E2333" s="71" t="s">
        <v>5452</v>
      </c>
      <c r="F2333" s="74">
        <v>1</v>
      </c>
      <c r="G2333" s="72">
        <v>0</v>
      </c>
      <c r="H2333" s="74">
        <v>0</v>
      </c>
      <c r="I2333" s="75">
        <v>0</v>
      </c>
      <c r="J2333" s="74">
        <v>1</v>
      </c>
      <c r="K2333" s="74">
        <v>0</v>
      </c>
      <c r="L2333" s="74">
        <v>0</v>
      </c>
      <c r="M2333" s="72">
        <v>0</v>
      </c>
      <c r="N2333" s="72">
        <v>0</v>
      </c>
      <c r="O2333" s="90">
        <v>2</v>
      </c>
      <c r="P2333" s="72">
        <v>2</v>
      </c>
      <c r="Q2333" s="72">
        <v>0.6</v>
      </c>
      <c r="R2333" s="72">
        <v>0</v>
      </c>
      <c r="S2333" s="73">
        <v>0</v>
      </c>
      <c r="T2333" s="72">
        <v>0</v>
      </c>
      <c r="U2333" s="72">
        <v>1</v>
      </c>
      <c r="V2333" s="72">
        <v>1</v>
      </c>
      <c r="W2333" s="72">
        <v>0</v>
      </c>
      <c r="X2333" s="72">
        <v>0</v>
      </c>
      <c r="Y2333" s="19">
        <v>0</v>
      </c>
      <c r="Z2333" s="72">
        <v>0</v>
      </c>
      <c r="AA2333" s="72">
        <v>0</v>
      </c>
      <c r="AB2333" s="72">
        <v>0</v>
      </c>
      <c r="AC2333" s="72">
        <v>0</v>
      </c>
      <c r="AD2333" s="90">
        <v>0</v>
      </c>
      <c r="AE2333" s="72">
        <v>1</v>
      </c>
      <c r="AF2333" s="72">
        <v>60</v>
      </c>
      <c r="AG2333" s="72">
        <v>1</v>
      </c>
      <c r="AH2333" s="72">
        <v>2</v>
      </c>
      <c r="AI2333" s="73">
        <v>1</v>
      </c>
      <c r="AJ2333" s="73">
        <v>1</v>
      </c>
      <c r="AK2333" s="73">
        <v>0</v>
      </c>
      <c r="AL2333" s="73">
        <v>0</v>
      </c>
      <c r="AM2333" s="72">
        <v>0</v>
      </c>
      <c r="AN2333" s="72">
        <v>0</v>
      </c>
      <c r="AO2333" s="72">
        <v>0</v>
      </c>
      <c r="AP2333" s="72">
        <v>0</v>
      </c>
      <c r="AQ2333" s="72">
        <v>1000</v>
      </c>
      <c r="AR2333" s="72">
        <v>0</v>
      </c>
      <c r="AS2333" s="72">
        <v>0</v>
      </c>
      <c r="AT2333" s="73">
        <v>0</v>
      </c>
      <c r="AU2333" s="322" t="s">
        <v>5453</v>
      </c>
      <c r="AV2333" s="93"/>
      <c r="AW2333" s="88" t="s">
        <v>293</v>
      </c>
      <c r="AX2333" s="72" t="s">
        <v>551</v>
      </c>
      <c r="AY2333" s="74">
        <v>0</v>
      </c>
      <c r="AZ2333" s="74">
        <v>0</v>
      </c>
      <c r="BA2333" s="71" t="s">
        <v>534</v>
      </c>
      <c r="BB2333" s="72" t="s">
        <v>5454</v>
      </c>
      <c r="BC2333" s="75">
        <v>0</v>
      </c>
      <c r="BD2333" s="75">
        <v>0</v>
      </c>
      <c r="BE2333" s="76" t="s">
        <v>5455</v>
      </c>
      <c r="BF2333" s="76" t="s">
        <v>5456</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20.100000000000001" customHeight="1">
      <c r="C2334" s="74">
        <v>77001906</v>
      </c>
      <c r="D2334" s="71" t="s">
        <v>5457</v>
      </c>
      <c r="E2334" s="71" t="s">
        <v>5458</v>
      </c>
      <c r="F2334" s="72">
        <v>1</v>
      </c>
      <c r="G2334" s="72">
        <v>0</v>
      </c>
      <c r="H2334" s="72">
        <v>0</v>
      </c>
      <c r="I2334" s="75">
        <v>0</v>
      </c>
      <c r="J2334" s="74">
        <v>1</v>
      </c>
      <c r="K2334" s="74">
        <v>0</v>
      </c>
      <c r="L2334" s="74">
        <v>0</v>
      </c>
      <c r="M2334" s="72">
        <v>0</v>
      </c>
      <c r="N2334" s="72">
        <v>0</v>
      </c>
      <c r="O2334" s="72">
        <v>2</v>
      </c>
      <c r="P2334" s="72">
        <v>1</v>
      </c>
      <c r="Q2334" s="72">
        <v>0.2</v>
      </c>
      <c r="R2334" s="72">
        <v>0</v>
      </c>
      <c r="S2334" s="73">
        <v>0</v>
      </c>
      <c r="T2334" s="72">
        <v>0</v>
      </c>
      <c r="U2334" s="72">
        <v>1</v>
      </c>
      <c r="V2334" s="72">
        <v>1</v>
      </c>
      <c r="W2334" s="72">
        <v>0</v>
      </c>
      <c r="X2334" s="72">
        <v>0</v>
      </c>
      <c r="Y2334" s="19">
        <v>0</v>
      </c>
      <c r="Z2334" s="72">
        <v>0</v>
      </c>
      <c r="AA2334" s="72">
        <v>1</v>
      </c>
      <c r="AB2334" s="72">
        <v>0</v>
      </c>
      <c r="AC2334" s="72">
        <v>0</v>
      </c>
      <c r="AD2334" s="72">
        <v>0</v>
      </c>
      <c r="AE2334" s="72">
        <v>1</v>
      </c>
      <c r="AF2334" s="72">
        <v>24</v>
      </c>
      <c r="AG2334" s="72">
        <v>1</v>
      </c>
      <c r="AH2334" s="72">
        <v>3</v>
      </c>
      <c r="AI2334" s="73">
        <v>0</v>
      </c>
      <c r="AJ2334" s="73">
        <v>1</v>
      </c>
      <c r="AK2334" s="73">
        <v>0</v>
      </c>
      <c r="AL2334" s="73">
        <v>3</v>
      </c>
      <c r="AM2334" s="72">
        <v>0</v>
      </c>
      <c r="AN2334" s="72">
        <v>0</v>
      </c>
      <c r="AO2334" s="72">
        <v>0</v>
      </c>
      <c r="AP2334" s="72">
        <v>0</v>
      </c>
      <c r="AQ2334" s="72">
        <v>0</v>
      </c>
      <c r="AR2334" s="72">
        <v>0</v>
      </c>
      <c r="AS2334" s="72">
        <v>0</v>
      </c>
      <c r="AT2334" s="321" t="s">
        <v>5459</v>
      </c>
      <c r="AU2334" s="93">
        <v>0</v>
      </c>
      <c r="AV2334" s="93"/>
      <c r="AW2334" s="71" t="s">
        <v>204</v>
      </c>
      <c r="AX2334" s="72" t="s">
        <v>221</v>
      </c>
      <c r="AY2334" s="74">
        <v>0</v>
      </c>
      <c r="AZ2334" s="74">
        <v>77001901</v>
      </c>
      <c r="BA2334" s="88" t="s">
        <v>206</v>
      </c>
      <c r="BB2334" s="72">
        <v>0</v>
      </c>
      <c r="BC2334" s="75">
        <v>0</v>
      </c>
      <c r="BD2334" s="75">
        <v>0</v>
      </c>
      <c r="BE2334" s="76" t="s">
        <v>5460</v>
      </c>
      <c r="BF2334" s="76" t="s">
        <v>5461</v>
      </c>
      <c r="BG2334" s="72">
        <v>0</v>
      </c>
      <c r="BH2334" s="72">
        <v>0</v>
      </c>
      <c r="BI2334" s="72">
        <v>0</v>
      </c>
      <c r="BJ2334" s="72">
        <v>0</v>
      </c>
      <c r="BK2334" s="72">
        <v>0</v>
      </c>
      <c r="BL2334" s="72">
        <v>0</v>
      </c>
      <c r="BM2334" s="90">
        <v>0</v>
      </c>
      <c r="BN2334" s="73">
        <v>0</v>
      </c>
      <c r="BO2334" s="73">
        <v>0</v>
      </c>
      <c r="BP2334" s="73">
        <v>0</v>
      </c>
      <c r="BQ2334" s="73">
        <v>0</v>
      </c>
      <c r="BR2334" s="73">
        <v>0</v>
      </c>
      <c r="BS2334" s="73">
        <v>0</v>
      </c>
      <c r="BT2334" s="73">
        <v>0</v>
      </c>
      <c r="BU2334" s="23">
        <v>0</v>
      </c>
      <c r="BV2334" s="23"/>
      <c r="BW2334" s="23"/>
      <c r="BX2334" s="23"/>
      <c r="BY2334" s="23"/>
      <c r="BZ2334" s="23"/>
    </row>
    <row r="2335" spans="3:78" ht="19.5" customHeight="1">
      <c r="C2335" s="74">
        <v>77001907</v>
      </c>
      <c r="D2335" s="71" t="s">
        <v>5462</v>
      </c>
      <c r="E2335" s="71" t="s">
        <v>5463</v>
      </c>
      <c r="F2335" s="72">
        <v>1</v>
      </c>
      <c r="G2335" s="72">
        <v>0</v>
      </c>
      <c r="H2335" s="72">
        <v>0</v>
      </c>
      <c r="I2335" s="75">
        <v>0</v>
      </c>
      <c r="J2335" s="74">
        <v>1</v>
      </c>
      <c r="K2335" s="74">
        <v>0</v>
      </c>
      <c r="L2335" s="74">
        <v>0</v>
      </c>
      <c r="M2335" s="72">
        <v>0</v>
      </c>
      <c r="N2335" s="72">
        <v>0</v>
      </c>
      <c r="O2335" s="72">
        <v>2</v>
      </c>
      <c r="P2335" s="72">
        <v>16</v>
      </c>
      <c r="Q2335" s="72">
        <v>6</v>
      </c>
      <c r="R2335" s="72">
        <v>0</v>
      </c>
      <c r="S2335" s="73">
        <v>0</v>
      </c>
      <c r="T2335" s="72">
        <v>0</v>
      </c>
      <c r="U2335" s="72">
        <v>1</v>
      </c>
      <c r="V2335" s="72">
        <v>1</v>
      </c>
      <c r="W2335" s="72">
        <v>0</v>
      </c>
      <c r="X2335" s="72">
        <v>0</v>
      </c>
      <c r="Y2335" s="19">
        <v>0</v>
      </c>
      <c r="Z2335" s="72">
        <v>0</v>
      </c>
      <c r="AA2335" s="72">
        <v>0</v>
      </c>
      <c r="AB2335" s="72">
        <v>0</v>
      </c>
      <c r="AC2335" s="72">
        <v>0</v>
      </c>
      <c r="AD2335" s="72">
        <v>0</v>
      </c>
      <c r="AE2335" s="72">
        <v>1</v>
      </c>
      <c r="AF2335" s="72">
        <v>0</v>
      </c>
      <c r="AG2335" s="72">
        <v>2</v>
      </c>
      <c r="AH2335" s="72" t="s">
        <v>1042</v>
      </c>
      <c r="AI2335" s="73">
        <v>0</v>
      </c>
      <c r="AJ2335" s="73">
        <v>2</v>
      </c>
      <c r="AK2335" s="73">
        <v>0</v>
      </c>
      <c r="AL2335" s="73">
        <v>1.5</v>
      </c>
      <c r="AM2335" s="72">
        <v>0</v>
      </c>
      <c r="AN2335" s="72">
        <v>0</v>
      </c>
      <c r="AO2335" s="72">
        <v>0</v>
      </c>
      <c r="AP2335" s="72">
        <v>0.3</v>
      </c>
      <c r="AQ2335" s="72">
        <v>300</v>
      </c>
      <c r="AR2335" s="72">
        <v>0</v>
      </c>
      <c r="AS2335" s="72">
        <v>15</v>
      </c>
      <c r="AT2335" s="73">
        <v>97009010</v>
      </c>
      <c r="AU2335" s="93">
        <v>0</v>
      </c>
      <c r="AV2335" s="93"/>
      <c r="AW2335" s="71" t="s">
        <v>205</v>
      </c>
      <c r="AX2335" s="72" t="s">
        <v>221</v>
      </c>
      <c r="AY2335" s="74">
        <v>0</v>
      </c>
      <c r="AZ2335" s="74">
        <v>0</v>
      </c>
      <c r="BA2335" s="306" t="s">
        <v>222</v>
      </c>
      <c r="BB2335" s="72">
        <v>1</v>
      </c>
      <c r="BC2335" s="75">
        <v>0</v>
      </c>
      <c r="BD2335" s="75">
        <v>0</v>
      </c>
      <c r="BE2335" s="76" t="s">
        <v>5464</v>
      </c>
      <c r="BF2335" s="76" t="s">
        <v>5465</v>
      </c>
      <c r="BG2335" s="72">
        <v>0</v>
      </c>
      <c r="BH2335" s="72">
        <v>0</v>
      </c>
      <c r="BI2335" s="72">
        <v>0</v>
      </c>
      <c r="BJ2335" s="72">
        <v>0</v>
      </c>
      <c r="BK2335" s="72">
        <v>0</v>
      </c>
      <c r="BL2335" s="72">
        <v>0</v>
      </c>
      <c r="BM2335" s="90">
        <v>0</v>
      </c>
      <c r="BN2335" s="73">
        <v>0</v>
      </c>
      <c r="BO2335" s="73">
        <v>0</v>
      </c>
      <c r="BP2335" s="73">
        <v>0</v>
      </c>
      <c r="BQ2335" s="73">
        <v>0</v>
      </c>
      <c r="BR2335" s="73">
        <v>0</v>
      </c>
      <c r="BS2335" s="73">
        <v>1</v>
      </c>
      <c r="BT2335" s="73">
        <v>77001908</v>
      </c>
      <c r="BU2335" s="23">
        <v>0</v>
      </c>
      <c r="BV2335" s="23"/>
      <c r="BW2335" s="23"/>
      <c r="BX2335" s="23"/>
      <c r="BY2335" s="23"/>
      <c r="BZ2335" s="23"/>
    </row>
    <row r="2336" spans="3:78" ht="20.100000000000001" customHeight="1">
      <c r="C2336" s="74">
        <v>77001908</v>
      </c>
      <c r="D2336" s="71" t="s">
        <v>5466</v>
      </c>
      <c r="E2336" s="71" t="s">
        <v>5467</v>
      </c>
      <c r="F2336" s="72">
        <v>1</v>
      </c>
      <c r="G2336" s="72">
        <v>0</v>
      </c>
      <c r="H2336" s="72">
        <v>0</v>
      </c>
      <c r="I2336" s="75">
        <v>0</v>
      </c>
      <c r="J2336" s="74">
        <v>1</v>
      </c>
      <c r="K2336" s="74">
        <v>0</v>
      </c>
      <c r="L2336" s="74">
        <v>0</v>
      </c>
      <c r="M2336" s="72">
        <v>0</v>
      </c>
      <c r="N2336" s="72">
        <v>0</v>
      </c>
      <c r="O2336" s="72">
        <v>2</v>
      </c>
      <c r="P2336" s="72">
        <v>1</v>
      </c>
      <c r="Q2336" s="72">
        <v>0.2</v>
      </c>
      <c r="R2336" s="72">
        <v>0</v>
      </c>
      <c r="S2336" s="73">
        <v>0</v>
      </c>
      <c r="T2336" s="72">
        <v>0</v>
      </c>
      <c r="U2336" s="72">
        <v>1</v>
      </c>
      <c r="V2336" s="72">
        <v>1</v>
      </c>
      <c r="W2336" s="72">
        <v>0</v>
      </c>
      <c r="X2336" s="72">
        <v>0.5</v>
      </c>
      <c r="Y2336" s="19">
        <v>0</v>
      </c>
      <c r="Z2336" s="72">
        <v>0</v>
      </c>
      <c r="AA2336" s="72">
        <v>1</v>
      </c>
      <c r="AB2336" s="72">
        <v>0</v>
      </c>
      <c r="AC2336" s="72">
        <v>0</v>
      </c>
      <c r="AD2336" s="72">
        <v>0</v>
      </c>
      <c r="AE2336" s="72">
        <v>1</v>
      </c>
      <c r="AF2336" s="72">
        <v>0</v>
      </c>
      <c r="AG2336" s="72">
        <v>1</v>
      </c>
      <c r="AH2336" s="72">
        <v>3</v>
      </c>
      <c r="AI2336" s="73">
        <v>0</v>
      </c>
      <c r="AJ2336" s="73">
        <v>1</v>
      </c>
      <c r="AK2336" s="73">
        <v>0</v>
      </c>
      <c r="AL2336" s="73">
        <v>3</v>
      </c>
      <c r="AM2336" s="72">
        <v>0</v>
      </c>
      <c r="AN2336" s="72">
        <v>0</v>
      </c>
      <c r="AO2336" s="72">
        <v>0</v>
      </c>
      <c r="AP2336" s="72">
        <v>0.5</v>
      </c>
      <c r="AQ2336" s="72">
        <v>3000</v>
      </c>
      <c r="AR2336" s="72">
        <v>0.5</v>
      </c>
      <c r="AS2336" s="72">
        <v>0</v>
      </c>
      <c r="AT2336" s="73">
        <v>0</v>
      </c>
      <c r="AU2336" s="322" t="s">
        <v>5447</v>
      </c>
      <c r="AV2336" s="93"/>
      <c r="AW2336" s="71" t="s">
        <v>204</v>
      </c>
      <c r="AX2336" s="72" t="s">
        <v>221</v>
      </c>
      <c r="AY2336" s="74">
        <v>0</v>
      </c>
      <c r="AZ2336" s="74">
        <v>77001907</v>
      </c>
      <c r="BA2336" s="88" t="s">
        <v>206</v>
      </c>
      <c r="BB2336" s="72">
        <v>0</v>
      </c>
      <c r="BC2336" s="75">
        <v>0</v>
      </c>
      <c r="BD2336" s="75">
        <v>0</v>
      </c>
      <c r="BE2336" s="76" t="s">
        <v>2892</v>
      </c>
      <c r="BF2336" s="76" t="s">
        <v>5269</v>
      </c>
      <c r="BG2336" s="72">
        <v>0</v>
      </c>
      <c r="BH2336" s="72">
        <v>0</v>
      </c>
      <c r="BI2336" s="72">
        <v>0</v>
      </c>
      <c r="BJ2336" s="72">
        <v>0</v>
      </c>
      <c r="BK2336" s="72">
        <v>0</v>
      </c>
      <c r="BL2336" s="72">
        <v>0</v>
      </c>
      <c r="BM2336" s="90">
        <v>0</v>
      </c>
      <c r="BN2336" s="73">
        <v>0</v>
      </c>
      <c r="BO2336" s="73">
        <v>0</v>
      </c>
      <c r="BP2336" s="73">
        <v>0</v>
      </c>
      <c r="BQ2336" s="73">
        <v>0</v>
      </c>
      <c r="BR2336" s="73">
        <v>0</v>
      </c>
      <c r="BS2336" s="73">
        <v>0</v>
      </c>
      <c r="BT2336" s="73">
        <v>0</v>
      </c>
      <c r="BU2336" s="23">
        <v>0</v>
      </c>
      <c r="BV2336" s="23"/>
      <c r="BW2336" s="23"/>
      <c r="BX2336" s="23"/>
      <c r="BY2336" s="23"/>
      <c r="BZ2336" s="23"/>
    </row>
    <row r="2337" spans="3:78" ht="19.5" customHeight="1">
      <c r="C2337" s="74">
        <v>77001909</v>
      </c>
      <c r="D2337" s="71" t="s">
        <v>5468</v>
      </c>
      <c r="E2337" s="71" t="s">
        <v>5469</v>
      </c>
      <c r="F2337" s="74">
        <v>1</v>
      </c>
      <c r="G2337" s="74">
        <v>0</v>
      </c>
      <c r="H2337" s="74">
        <v>0</v>
      </c>
      <c r="I2337" s="75">
        <v>0</v>
      </c>
      <c r="J2337" s="74">
        <v>1</v>
      </c>
      <c r="K2337" s="74">
        <v>0</v>
      </c>
      <c r="L2337" s="74">
        <v>0</v>
      </c>
      <c r="M2337" s="72">
        <v>0</v>
      </c>
      <c r="N2337" s="72">
        <v>0</v>
      </c>
      <c r="O2337" s="72">
        <v>2</v>
      </c>
      <c r="P2337" s="72">
        <v>16</v>
      </c>
      <c r="Q2337" s="72">
        <v>5</v>
      </c>
      <c r="R2337" s="72">
        <v>0</v>
      </c>
      <c r="S2337" s="73">
        <v>0</v>
      </c>
      <c r="T2337" s="72">
        <v>0</v>
      </c>
      <c r="U2337" s="72">
        <v>1</v>
      </c>
      <c r="V2337" s="72">
        <v>2</v>
      </c>
      <c r="W2337" s="72">
        <v>0</v>
      </c>
      <c r="X2337" s="72">
        <v>1</v>
      </c>
      <c r="Y2337" s="19">
        <v>0</v>
      </c>
      <c r="Z2337" s="72">
        <v>0</v>
      </c>
      <c r="AA2337" s="72">
        <v>1</v>
      </c>
      <c r="AB2337" s="72">
        <v>0</v>
      </c>
      <c r="AC2337" s="72">
        <v>0</v>
      </c>
      <c r="AD2337" s="72">
        <v>0</v>
      </c>
      <c r="AE2337" s="72">
        <v>1</v>
      </c>
      <c r="AF2337" s="72">
        <v>0</v>
      </c>
      <c r="AG2337" s="72">
        <v>2</v>
      </c>
      <c r="AH2337" s="72" t="s">
        <v>5470</v>
      </c>
      <c r="AI2337" s="73">
        <v>0</v>
      </c>
      <c r="AJ2337" s="73">
        <v>2</v>
      </c>
      <c r="AK2337" s="73">
        <v>0</v>
      </c>
      <c r="AL2337" s="73">
        <v>4</v>
      </c>
      <c r="AM2337" s="72">
        <v>0</v>
      </c>
      <c r="AN2337" s="72">
        <v>1</v>
      </c>
      <c r="AO2337" s="72">
        <v>0</v>
      </c>
      <c r="AP2337" s="72">
        <v>1</v>
      </c>
      <c r="AQ2337" s="72">
        <v>9000</v>
      </c>
      <c r="AR2337" s="72">
        <v>0</v>
      </c>
      <c r="AS2337" s="72">
        <v>10</v>
      </c>
      <c r="AT2337" s="92">
        <v>0</v>
      </c>
      <c r="AU2337" s="322" t="s">
        <v>5447</v>
      </c>
      <c r="AV2337" s="93"/>
      <c r="AW2337" s="71" t="s">
        <v>262</v>
      </c>
      <c r="AX2337" s="72" t="s">
        <v>540</v>
      </c>
      <c r="AY2337" s="74">
        <v>10000007</v>
      </c>
      <c r="AZ2337" s="74">
        <v>77001908</v>
      </c>
      <c r="BA2337" s="71" t="s">
        <v>592</v>
      </c>
      <c r="BB2337" s="72" t="s">
        <v>5471</v>
      </c>
      <c r="BC2337" s="75">
        <v>0</v>
      </c>
      <c r="BD2337" s="75">
        <v>1</v>
      </c>
      <c r="BE2337" s="76" t="s">
        <v>5472</v>
      </c>
      <c r="BF2337" s="76" t="s">
        <v>5473</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spans="3:78" ht="19.5" customHeight="1">
      <c r="C2338" s="74">
        <v>77001910</v>
      </c>
      <c r="D2338" s="71" t="s">
        <v>5474</v>
      </c>
      <c r="E2338" s="71" t="s">
        <v>5475</v>
      </c>
      <c r="F2338" s="72">
        <v>1</v>
      </c>
      <c r="G2338" s="72">
        <v>0</v>
      </c>
      <c r="H2338" s="72">
        <v>0</v>
      </c>
      <c r="I2338" s="75">
        <v>0</v>
      </c>
      <c r="J2338" s="74">
        <v>1</v>
      </c>
      <c r="K2338" s="74">
        <v>0</v>
      </c>
      <c r="L2338" s="74">
        <v>0</v>
      </c>
      <c r="M2338" s="72">
        <v>0</v>
      </c>
      <c r="N2338" s="72">
        <v>0</v>
      </c>
      <c r="O2338" s="72">
        <v>2</v>
      </c>
      <c r="P2338" s="72">
        <v>2</v>
      </c>
      <c r="Q2338" s="72">
        <v>0.8</v>
      </c>
      <c r="R2338" s="72">
        <v>0</v>
      </c>
      <c r="S2338" s="73">
        <v>3</v>
      </c>
      <c r="T2338" s="72">
        <v>0</v>
      </c>
      <c r="U2338" s="72">
        <v>1</v>
      </c>
      <c r="V2338" s="72">
        <v>1</v>
      </c>
      <c r="W2338" s="72">
        <v>0</v>
      </c>
      <c r="X2338" s="72">
        <v>0</v>
      </c>
      <c r="Y2338" s="19">
        <v>0</v>
      </c>
      <c r="Z2338" s="72">
        <v>0</v>
      </c>
      <c r="AA2338" s="72">
        <v>0</v>
      </c>
      <c r="AB2338" s="72">
        <v>0</v>
      </c>
      <c r="AC2338" s="72">
        <v>0</v>
      </c>
      <c r="AD2338" s="72">
        <v>0</v>
      </c>
      <c r="AE2338" s="72">
        <v>1</v>
      </c>
      <c r="AF2338" s="72">
        <v>12</v>
      </c>
      <c r="AG2338" s="72">
        <v>2</v>
      </c>
      <c r="AH2338" s="72" t="s">
        <v>219</v>
      </c>
      <c r="AI2338" s="73">
        <v>0</v>
      </c>
      <c r="AJ2338" s="73">
        <v>2</v>
      </c>
      <c r="AK2338" s="73">
        <v>0</v>
      </c>
      <c r="AL2338" s="73">
        <v>1.5</v>
      </c>
      <c r="AM2338" s="72">
        <v>0</v>
      </c>
      <c r="AN2338" s="72">
        <v>0</v>
      </c>
      <c r="AO2338" s="72">
        <v>0</v>
      </c>
      <c r="AP2338" s="72">
        <v>0.3</v>
      </c>
      <c r="AQ2338" s="72">
        <v>300</v>
      </c>
      <c r="AR2338" s="72">
        <v>0</v>
      </c>
      <c r="AS2338" s="72">
        <v>20</v>
      </c>
      <c r="AT2338" s="73">
        <v>0</v>
      </c>
      <c r="AU2338" s="322" t="s">
        <v>5447</v>
      </c>
      <c r="AV2338" s="93"/>
      <c r="AW2338" s="71" t="s">
        <v>205</v>
      </c>
      <c r="AX2338" s="72" t="s">
        <v>221</v>
      </c>
      <c r="AY2338" s="74">
        <v>0</v>
      </c>
      <c r="AZ2338" s="74">
        <v>0</v>
      </c>
      <c r="BA2338" s="306" t="s">
        <v>222</v>
      </c>
      <c r="BB2338" s="72">
        <v>0</v>
      </c>
      <c r="BC2338" s="75">
        <v>0</v>
      </c>
      <c r="BD2338" s="75">
        <v>0</v>
      </c>
      <c r="BE2338" s="76" t="s">
        <v>5476</v>
      </c>
      <c r="BF2338" s="76" t="s">
        <v>5477</v>
      </c>
      <c r="BG2338" s="72">
        <v>0</v>
      </c>
      <c r="BH2338" s="72">
        <v>0</v>
      </c>
      <c r="BI2338" s="72">
        <v>0</v>
      </c>
      <c r="BJ2338" s="72">
        <v>0</v>
      </c>
      <c r="BK2338" s="72">
        <v>0</v>
      </c>
      <c r="BL2338" s="72">
        <v>0</v>
      </c>
      <c r="BM2338" s="90">
        <v>0</v>
      </c>
      <c r="BN2338" s="73">
        <v>0</v>
      </c>
      <c r="BO2338" s="73">
        <v>0</v>
      </c>
      <c r="BP2338" s="73">
        <v>0</v>
      </c>
      <c r="BQ2338" s="73">
        <v>0</v>
      </c>
      <c r="BR2338" s="73">
        <v>0</v>
      </c>
      <c r="BS2338" s="73">
        <v>0</v>
      </c>
      <c r="BT2338" s="73">
        <v>77001911</v>
      </c>
      <c r="BU2338" s="23">
        <v>0</v>
      </c>
      <c r="BV2338" s="23"/>
      <c r="BW2338" s="23"/>
      <c r="BX2338" s="23"/>
      <c r="BY2338" s="23"/>
      <c r="BZ2338" s="23"/>
    </row>
    <row r="2339" spans="3:78" ht="20.100000000000001" customHeight="1">
      <c r="C2339" s="74">
        <v>77001911</v>
      </c>
      <c r="D2339" s="71" t="s">
        <v>2892</v>
      </c>
      <c r="E2339" s="71" t="s">
        <v>5269</v>
      </c>
      <c r="F2339" s="72">
        <v>1</v>
      </c>
      <c r="G2339" s="72">
        <v>0</v>
      </c>
      <c r="H2339" s="72">
        <v>0</v>
      </c>
      <c r="I2339" s="75">
        <v>0</v>
      </c>
      <c r="J2339" s="74">
        <v>1</v>
      </c>
      <c r="K2339" s="74">
        <v>0</v>
      </c>
      <c r="L2339" s="74">
        <v>0</v>
      </c>
      <c r="M2339" s="72">
        <v>0</v>
      </c>
      <c r="N2339" s="72">
        <v>0</v>
      </c>
      <c r="O2339" s="72">
        <v>2</v>
      </c>
      <c r="P2339" s="72">
        <v>3</v>
      </c>
      <c r="Q2339" s="72">
        <v>0.2</v>
      </c>
      <c r="R2339" s="72">
        <v>0</v>
      </c>
      <c r="S2339" s="73">
        <v>0</v>
      </c>
      <c r="T2339" s="72">
        <v>0</v>
      </c>
      <c r="U2339" s="72">
        <v>1</v>
      </c>
      <c r="V2339" s="72">
        <v>1</v>
      </c>
      <c r="W2339" s="72">
        <v>0</v>
      </c>
      <c r="X2339" s="72">
        <v>1.5</v>
      </c>
      <c r="Y2339" s="19">
        <v>0</v>
      </c>
      <c r="Z2339" s="72">
        <v>0</v>
      </c>
      <c r="AA2339" s="72">
        <v>1</v>
      </c>
      <c r="AB2339" s="72">
        <v>0</v>
      </c>
      <c r="AC2339" s="72">
        <v>0</v>
      </c>
      <c r="AD2339" s="72">
        <v>0</v>
      </c>
      <c r="AE2339" s="72">
        <v>1</v>
      </c>
      <c r="AF2339" s="72">
        <v>0</v>
      </c>
      <c r="AG2339" s="72">
        <v>1</v>
      </c>
      <c r="AH2339" s="72">
        <v>6</v>
      </c>
      <c r="AI2339" s="73">
        <v>0</v>
      </c>
      <c r="AJ2339" s="73">
        <v>1</v>
      </c>
      <c r="AK2339" s="73">
        <v>0</v>
      </c>
      <c r="AL2339" s="73">
        <v>3</v>
      </c>
      <c r="AM2339" s="72">
        <v>0</v>
      </c>
      <c r="AN2339" s="72">
        <v>0</v>
      </c>
      <c r="AO2339" s="72">
        <v>0</v>
      </c>
      <c r="AP2339" s="72">
        <v>1</v>
      </c>
      <c r="AQ2339" s="72">
        <v>3000</v>
      </c>
      <c r="AR2339" s="72">
        <v>1</v>
      </c>
      <c r="AS2339" s="72">
        <v>0</v>
      </c>
      <c r="AT2339" s="73">
        <v>0</v>
      </c>
      <c r="AU2339" s="322" t="s">
        <v>5478</v>
      </c>
      <c r="AV2339" s="93"/>
      <c r="AW2339" s="71" t="s">
        <v>204</v>
      </c>
      <c r="AX2339" s="72" t="s">
        <v>221</v>
      </c>
      <c r="AY2339" s="74">
        <v>0</v>
      </c>
      <c r="AZ2339" s="74">
        <v>77001903</v>
      </c>
      <c r="BA2339" s="88" t="s">
        <v>206</v>
      </c>
      <c r="BB2339" s="72">
        <v>0</v>
      </c>
      <c r="BC2339" s="75">
        <v>0</v>
      </c>
      <c r="BD2339" s="75">
        <v>0</v>
      </c>
      <c r="BE2339" s="76" t="s">
        <v>2892</v>
      </c>
      <c r="BF2339" s="76" t="s">
        <v>5269</v>
      </c>
      <c r="BG2339" s="72">
        <v>0</v>
      </c>
      <c r="BH2339" s="72">
        <v>0</v>
      </c>
      <c r="BI2339" s="72">
        <v>0</v>
      </c>
      <c r="BJ2339" s="72">
        <v>0</v>
      </c>
      <c r="BK2339" s="72">
        <v>0</v>
      </c>
      <c r="BL2339" s="72">
        <v>0</v>
      </c>
      <c r="BM2339" s="90">
        <v>0</v>
      </c>
      <c r="BN2339" s="73">
        <v>0</v>
      </c>
      <c r="BO2339" s="73">
        <v>0</v>
      </c>
      <c r="BP2339" s="73">
        <v>0</v>
      </c>
      <c r="BQ2339" s="73">
        <v>0</v>
      </c>
      <c r="BR2339" s="73">
        <v>0</v>
      </c>
      <c r="BS2339" s="73">
        <v>0</v>
      </c>
      <c r="BT2339" s="73">
        <v>0</v>
      </c>
      <c r="BU2339" s="23">
        <v>0</v>
      </c>
      <c r="BV2339" s="23"/>
      <c r="BW2339" s="23"/>
      <c r="BX2339" s="23"/>
      <c r="BY2339" s="23"/>
      <c r="BZ2339" s="23"/>
    </row>
    <row r="2340" spans="3:78" ht="20.100000000000001" customHeight="1">
      <c r="C2340" s="74">
        <v>77001912</v>
      </c>
      <c r="D2340" s="71" t="s">
        <v>5479</v>
      </c>
      <c r="E2340" s="71" t="s">
        <v>5480</v>
      </c>
      <c r="F2340" s="72">
        <v>1</v>
      </c>
      <c r="G2340" s="72">
        <v>0</v>
      </c>
      <c r="H2340" s="72">
        <v>0</v>
      </c>
      <c r="I2340" s="75">
        <v>0</v>
      </c>
      <c r="J2340" s="74">
        <v>1</v>
      </c>
      <c r="K2340" s="72">
        <v>0</v>
      </c>
      <c r="L2340" s="72">
        <v>0</v>
      </c>
      <c r="M2340" s="72">
        <v>0</v>
      </c>
      <c r="N2340" s="72">
        <v>0</v>
      </c>
      <c r="O2340" s="72">
        <v>2</v>
      </c>
      <c r="P2340" s="72">
        <v>1</v>
      </c>
      <c r="Q2340" s="72">
        <v>0.1</v>
      </c>
      <c r="R2340" s="72">
        <v>0</v>
      </c>
      <c r="S2340" s="73">
        <v>0</v>
      </c>
      <c r="T2340" s="72">
        <v>0</v>
      </c>
      <c r="U2340" s="72">
        <v>1</v>
      </c>
      <c r="V2340" s="72">
        <v>1</v>
      </c>
      <c r="W2340" s="72">
        <v>0</v>
      </c>
      <c r="X2340" s="72">
        <v>1</v>
      </c>
      <c r="Y2340" s="19">
        <v>0</v>
      </c>
      <c r="Z2340" s="72">
        <v>0</v>
      </c>
      <c r="AA2340" s="72">
        <v>1</v>
      </c>
      <c r="AB2340" s="72">
        <v>0</v>
      </c>
      <c r="AC2340" s="72">
        <v>0</v>
      </c>
      <c r="AD2340" s="72">
        <v>0</v>
      </c>
      <c r="AE2340" s="72">
        <v>1</v>
      </c>
      <c r="AF2340" s="72">
        <v>0</v>
      </c>
      <c r="AG2340" s="72">
        <v>1</v>
      </c>
      <c r="AH2340" s="72">
        <v>3</v>
      </c>
      <c r="AI2340" s="73">
        <v>0</v>
      </c>
      <c r="AJ2340" s="73">
        <v>1</v>
      </c>
      <c r="AK2340" s="73">
        <v>0</v>
      </c>
      <c r="AL2340" s="73">
        <v>2</v>
      </c>
      <c r="AM2340" s="72">
        <v>0</v>
      </c>
      <c r="AN2340" s="72">
        <v>0</v>
      </c>
      <c r="AO2340" s="72">
        <v>0</v>
      </c>
      <c r="AP2340" s="72">
        <v>0.5</v>
      </c>
      <c r="AQ2340" s="72">
        <v>600</v>
      </c>
      <c r="AR2340" s="72">
        <v>0.5</v>
      </c>
      <c r="AS2340" s="72">
        <v>0</v>
      </c>
      <c r="AT2340" s="73">
        <v>0</v>
      </c>
      <c r="AU2340" s="72">
        <v>0</v>
      </c>
      <c r="AV2340" s="72"/>
      <c r="AW2340" s="71" t="s">
        <v>204</v>
      </c>
      <c r="AX2340" s="72" t="s">
        <v>540</v>
      </c>
      <c r="AY2340" s="74">
        <v>10000001</v>
      </c>
      <c r="AZ2340" s="74">
        <v>77001904</v>
      </c>
      <c r="BA2340" s="71" t="s">
        <v>777</v>
      </c>
      <c r="BB2340" s="72">
        <v>0</v>
      </c>
      <c r="BC2340" s="75">
        <v>0</v>
      </c>
      <c r="BD2340" s="75">
        <v>0</v>
      </c>
      <c r="BE2340" s="114" t="s">
        <v>5481</v>
      </c>
      <c r="BF2340" s="114" t="s">
        <v>5482</v>
      </c>
      <c r="BG2340" s="72">
        <v>0</v>
      </c>
      <c r="BH2340" s="72">
        <v>0</v>
      </c>
      <c r="BI2340" s="72">
        <v>0</v>
      </c>
      <c r="BJ2340" s="72">
        <v>0</v>
      </c>
      <c r="BK2340" s="72">
        <v>0</v>
      </c>
      <c r="BL2340" s="72">
        <v>0</v>
      </c>
      <c r="BM2340" s="90">
        <v>0</v>
      </c>
      <c r="BN2340" s="73">
        <v>0</v>
      </c>
      <c r="BO2340" s="73">
        <v>0</v>
      </c>
      <c r="BP2340" s="73">
        <v>0</v>
      </c>
      <c r="BQ2340" s="73">
        <v>0</v>
      </c>
      <c r="BR2340" s="73">
        <v>0</v>
      </c>
      <c r="BS2340" s="73">
        <v>0</v>
      </c>
      <c r="BT2340" s="73">
        <v>77001913</v>
      </c>
      <c r="BU2340" s="23">
        <v>0</v>
      </c>
      <c r="BV2340" s="23"/>
      <c r="BW2340" s="23"/>
      <c r="BX2340" s="23"/>
      <c r="BY2340" s="23"/>
      <c r="BZ2340" s="23"/>
    </row>
    <row r="2341" spans="3:78" ht="20.100000000000001" customHeight="1">
      <c r="C2341" s="74">
        <v>77001913</v>
      </c>
      <c r="D2341" s="71" t="s">
        <v>604</v>
      </c>
      <c r="E2341" s="71" t="s">
        <v>1168</v>
      </c>
      <c r="F2341" s="74">
        <v>1</v>
      </c>
      <c r="G2341" s="72">
        <v>0</v>
      </c>
      <c r="H2341" s="74">
        <v>0</v>
      </c>
      <c r="I2341" s="75">
        <v>0</v>
      </c>
      <c r="J2341" s="74">
        <v>1</v>
      </c>
      <c r="K2341" s="74">
        <v>0</v>
      </c>
      <c r="L2341" s="74">
        <v>0</v>
      </c>
      <c r="M2341" s="72">
        <v>0</v>
      </c>
      <c r="N2341" s="72">
        <v>0</v>
      </c>
      <c r="O2341" s="72">
        <v>2</v>
      </c>
      <c r="P2341" s="72">
        <v>1</v>
      </c>
      <c r="Q2341" s="72">
        <v>0.5</v>
      </c>
      <c r="R2341" s="72">
        <v>0</v>
      </c>
      <c r="S2341" s="73">
        <v>0</v>
      </c>
      <c r="T2341" s="72">
        <v>0</v>
      </c>
      <c r="U2341" s="72">
        <v>1</v>
      </c>
      <c r="V2341" s="72">
        <v>2</v>
      </c>
      <c r="W2341" s="72">
        <v>0</v>
      </c>
      <c r="X2341" s="72">
        <v>0.5</v>
      </c>
      <c r="Y2341" s="19">
        <v>0</v>
      </c>
      <c r="Z2341" s="72">
        <v>0</v>
      </c>
      <c r="AA2341" s="72">
        <v>0</v>
      </c>
      <c r="AB2341" s="72">
        <v>0</v>
      </c>
      <c r="AC2341" s="72">
        <v>0</v>
      </c>
      <c r="AD2341" s="72">
        <v>0</v>
      </c>
      <c r="AE2341" s="72">
        <v>0</v>
      </c>
      <c r="AF2341" s="72">
        <v>8</v>
      </c>
      <c r="AG2341" s="72">
        <v>2</v>
      </c>
      <c r="AH2341" s="72" t="s">
        <v>1042</v>
      </c>
      <c r="AI2341" s="73">
        <v>0</v>
      </c>
      <c r="AJ2341" s="73">
        <v>2</v>
      </c>
      <c r="AK2341" s="73">
        <v>0</v>
      </c>
      <c r="AL2341" s="73">
        <v>1.5</v>
      </c>
      <c r="AM2341" s="72">
        <v>0</v>
      </c>
      <c r="AN2341" s="72">
        <v>0</v>
      </c>
      <c r="AO2341" s="72">
        <v>0</v>
      </c>
      <c r="AP2341" s="72">
        <v>0.3</v>
      </c>
      <c r="AQ2341" s="72">
        <v>400</v>
      </c>
      <c r="AR2341" s="72">
        <v>0.3</v>
      </c>
      <c r="AS2341" s="72">
        <v>0</v>
      </c>
      <c r="AT2341" s="73">
        <v>0</v>
      </c>
      <c r="AU2341" s="72">
        <v>97009003</v>
      </c>
      <c r="AV2341" s="72"/>
      <c r="AW2341" s="88" t="s">
        <v>204</v>
      </c>
      <c r="AX2341" s="72" t="s">
        <v>551</v>
      </c>
      <c r="AY2341" s="74">
        <v>10001007</v>
      </c>
      <c r="AZ2341" s="74">
        <v>77001905</v>
      </c>
      <c r="BA2341" s="71" t="s">
        <v>206</v>
      </c>
      <c r="BB2341" s="72">
        <v>0</v>
      </c>
      <c r="BC2341" s="75">
        <v>0</v>
      </c>
      <c r="BD2341" s="75">
        <v>0</v>
      </c>
      <c r="BE2341" s="76" t="s">
        <v>5483</v>
      </c>
      <c r="BF2341" s="76" t="s">
        <v>5484</v>
      </c>
      <c r="BG2341" s="72">
        <v>0</v>
      </c>
      <c r="BH2341" s="72">
        <v>0</v>
      </c>
      <c r="BI2341" s="72">
        <v>0</v>
      </c>
      <c r="BJ2341" s="72">
        <v>0</v>
      </c>
      <c r="BK2341" s="72">
        <v>0</v>
      </c>
      <c r="BL2341" s="72">
        <v>0</v>
      </c>
      <c r="BM2341" s="90">
        <v>0</v>
      </c>
      <c r="BN2341" s="73">
        <v>0</v>
      </c>
      <c r="BO2341" s="73">
        <v>0</v>
      </c>
      <c r="BP2341" s="73">
        <v>0</v>
      </c>
      <c r="BQ2341" s="73">
        <v>0</v>
      </c>
      <c r="BR2341" s="73">
        <v>0</v>
      </c>
      <c r="BS2341" s="73">
        <v>0</v>
      </c>
      <c r="BT2341" s="73">
        <v>0</v>
      </c>
      <c r="BU2341" s="23">
        <v>0</v>
      </c>
      <c r="BV2341" s="23"/>
      <c r="BW2341" s="23"/>
      <c r="BX2341" s="23"/>
      <c r="BY2341" s="23"/>
      <c r="BZ2341" s="23"/>
    </row>
    <row r="2342" spans="3:78" ht="19.5" customHeight="1">
      <c r="C2342" s="74">
        <v>77001914</v>
      </c>
      <c r="D2342" s="71" t="s">
        <v>2429</v>
      </c>
      <c r="E2342" s="71" t="s">
        <v>2430</v>
      </c>
      <c r="F2342" s="74">
        <v>1</v>
      </c>
      <c r="G2342" s="72">
        <v>0</v>
      </c>
      <c r="H2342" s="74">
        <v>0</v>
      </c>
      <c r="I2342" s="75">
        <v>0</v>
      </c>
      <c r="J2342" s="74">
        <v>1</v>
      </c>
      <c r="K2342" s="74">
        <v>0</v>
      </c>
      <c r="L2342" s="74">
        <v>0</v>
      </c>
      <c r="M2342" s="72">
        <v>0</v>
      </c>
      <c r="N2342" s="72">
        <v>0</v>
      </c>
      <c r="O2342" s="72">
        <v>2</v>
      </c>
      <c r="P2342" s="72">
        <v>16</v>
      </c>
      <c r="Q2342" s="72">
        <v>5</v>
      </c>
      <c r="R2342" s="72">
        <v>0</v>
      </c>
      <c r="S2342" s="73">
        <v>0</v>
      </c>
      <c r="T2342" s="72">
        <v>0</v>
      </c>
      <c r="U2342" s="72">
        <v>1</v>
      </c>
      <c r="V2342" s="72">
        <v>2</v>
      </c>
      <c r="W2342" s="72">
        <v>0</v>
      </c>
      <c r="X2342" s="72">
        <v>1.5</v>
      </c>
      <c r="Y2342" s="19">
        <v>0</v>
      </c>
      <c r="Z2342" s="72">
        <v>0</v>
      </c>
      <c r="AA2342" s="72">
        <v>0</v>
      </c>
      <c r="AB2342" s="72">
        <v>0</v>
      </c>
      <c r="AC2342" s="72">
        <v>0</v>
      </c>
      <c r="AD2342" s="72">
        <v>0</v>
      </c>
      <c r="AE2342" s="72">
        <v>1</v>
      </c>
      <c r="AF2342" s="72">
        <v>0</v>
      </c>
      <c r="AG2342" s="72">
        <v>1</v>
      </c>
      <c r="AH2342" s="72">
        <v>2</v>
      </c>
      <c r="AI2342" s="73">
        <v>0</v>
      </c>
      <c r="AJ2342" s="73">
        <v>2</v>
      </c>
      <c r="AK2342" s="73">
        <v>0</v>
      </c>
      <c r="AL2342" s="73">
        <v>2</v>
      </c>
      <c r="AM2342" s="72">
        <v>0</v>
      </c>
      <c r="AN2342" s="72">
        <v>0</v>
      </c>
      <c r="AO2342" s="72">
        <v>0</v>
      </c>
      <c r="AP2342" s="72">
        <v>2</v>
      </c>
      <c r="AQ2342" s="72">
        <v>5000</v>
      </c>
      <c r="AR2342" s="72">
        <v>0</v>
      </c>
      <c r="AS2342" s="72">
        <v>15</v>
      </c>
      <c r="AT2342" s="92">
        <v>0</v>
      </c>
      <c r="AU2342" s="322" t="s">
        <v>204</v>
      </c>
      <c r="AV2342" s="93"/>
      <c r="AW2342" s="71" t="s">
        <v>262</v>
      </c>
      <c r="AX2342" s="72" t="s">
        <v>540</v>
      </c>
      <c r="AY2342" s="74">
        <v>10000007</v>
      </c>
      <c r="AZ2342" s="320" t="s">
        <v>5485</v>
      </c>
      <c r="BA2342" s="71" t="s">
        <v>592</v>
      </c>
      <c r="BB2342" s="72" t="s">
        <v>1311</v>
      </c>
      <c r="BC2342" s="75">
        <v>0</v>
      </c>
      <c r="BD2342" s="75">
        <v>1</v>
      </c>
      <c r="BE2342" s="76" t="s">
        <v>1312</v>
      </c>
      <c r="BF2342" s="76" t="s">
        <v>1313</v>
      </c>
      <c r="BG2342" s="72">
        <v>0</v>
      </c>
      <c r="BH2342" s="72">
        <v>0</v>
      </c>
      <c r="BI2342" s="72">
        <v>0</v>
      </c>
      <c r="BJ2342" s="72">
        <v>0</v>
      </c>
      <c r="BK2342" s="72">
        <v>0</v>
      </c>
      <c r="BL2342" s="72">
        <v>0</v>
      </c>
      <c r="BM2342" s="90">
        <v>0</v>
      </c>
      <c r="BN2342" s="73">
        <v>0</v>
      </c>
      <c r="BO2342" s="73">
        <v>0</v>
      </c>
      <c r="BP2342" s="73">
        <v>0</v>
      </c>
      <c r="BQ2342" s="73">
        <v>0</v>
      </c>
      <c r="BR2342" s="73">
        <v>0</v>
      </c>
      <c r="BS2342" s="73">
        <v>1</v>
      </c>
      <c r="BT2342" s="73">
        <v>0</v>
      </c>
      <c r="BU2342" s="23">
        <v>0</v>
      </c>
      <c r="BV2342" s="23"/>
      <c r="BW2342" s="23"/>
      <c r="BX2342" s="23"/>
      <c r="BY2342" s="23"/>
      <c r="BZ2342" s="23"/>
    </row>
    <row r="2343" spans="3:78" ht="20.100000000000001" customHeight="1">
      <c r="C2343" s="107">
        <v>77002001</v>
      </c>
      <c r="D2343" s="308" t="s">
        <v>5486</v>
      </c>
      <c r="E2343" s="308" t="s">
        <v>5487</v>
      </c>
      <c r="F2343" s="107">
        <v>1</v>
      </c>
      <c r="G2343" s="100">
        <v>0</v>
      </c>
      <c r="H2343" s="107">
        <v>0</v>
      </c>
      <c r="I2343" s="99">
        <v>0</v>
      </c>
      <c r="J2343" s="107">
        <v>1</v>
      </c>
      <c r="K2343" s="107">
        <v>0</v>
      </c>
      <c r="L2343" s="99">
        <v>0</v>
      </c>
      <c r="M2343" s="99">
        <v>0</v>
      </c>
      <c r="N2343" s="99">
        <v>0</v>
      </c>
      <c r="O2343" s="99">
        <v>2</v>
      </c>
      <c r="P2343" s="99">
        <v>1</v>
      </c>
      <c r="Q2343" s="99">
        <v>0.15</v>
      </c>
      <c r="R2343" s="99">
        <v>0</v>
      </c>
      <c r="S2343" s="99">
        <v>0</v>
      </c>
      <c r="T2343" s="99">
        <v>0</v>
      </c>
      <c r="U2343" s="99">
        <v>1</v>
      </c>
      <c r="V2343" s="99">
        <v>2</v>
      </c>
      <c r="W2343" s="99">
        <v>0</v>
      </c>
      <c r="X2343" s="99">
        <v>0.8</v>
      </c>
      <c r="Y2343" s="19">
        <v>0</v>
      </c>
      <c r="Z2343" s="99">
        <v>1000</v>
      </c>
      <c r="AA2343" s="99">
        <v>1</v>
      </c>
      <c r="AB2343" s="99">
        <v>0</v>
      </c>
      <c r="AC2343" s="99">
        <v>0</v>
      </c>
      <c r="AD2343" s="99">
        <v>0</v>
      </c>
      <c r="AE2343" s="99">
        <v>0</v>
      </c>
      <c r="AF2343" s="99">
        <v>16</v>
      </c>
      <c r="AG2343" s="99">
        <v>1</v>
      </c>
      <c r="AH2343" s="99">
        <v>6</v>
      </c>
      <c r="AI2343" s="99">
        <v>0</v>
      </c>
      <c r="AJ2343" s="99">
        <v>1</v>
      </c>
      <c r="AK2343" s="99">
        <v>0</v>
      </c>
      <c r="AL2343" s="99">
        <v>7</v>
      </c>
      <c r="AM2343" s="99">
        <v>0</v>
      </c>
      <c r="AN2343" s="99">
        <v>0</v>
      </c>
      <c r="AO2343" s="99">
        <v>0</v>
      </c>
      <c r="AP2343" s="99">
        <v>1</v>
      </c>
      <c r="AQ2343" s="99">
        <v>2000</v>
      </c>
      <c r="AR2343" s="99">
        <v>1</v>
      </c>
      <c r="AS2343" s="99">
        <v>0</v>
      </c>
      <c r="AT2343" s="99">
        <v>0</v>
      </c>
      <c r="AU2343" s="99">
        <v>0</v>
      </c>
      <c r="AV2343" s="99"/>
      <c r="AW2343" s="308" t="s">
        <v>205</v>
      </c>
      <c r="AX2343" s="99" t="s">
        <v>1047</v>
      </c>
      <c r="AY2343" s="99">
        <v>10000007</v>
      </c>
      <c r="AZ2343" s="99">
        <v>77002001</v>
      </c>
      <c r="BA2343" s="308" t="s">
        <v>1718</v>
      </c>
      <c r="BB2343" s="99">
        <v>1</v>
      </c>
      <c r="BC2343" s="99">
        <v>0</v>
      </c>
      <c r="BD2343" s="99">
        <v>0</v>
      </c>
      <c r="BE2343" s="309" t="s">
        <v>5488</v>
      </c>
      <c r="BF2343" s="309" t="s">
        <v>5489</v>
      </c>
      <c r="BG2343" s="99">
        <v>0</v>
      </c>
      <c r="BH2343" s="99">
        <v>0</v>
      </c>
      <c r="BI2343" s="99">
        <v>0</v>
      </c>
      <c r="BJ2343" s="99">
        <v>0</v>
      </c>
      <c r="BK2343" s="99">
        <v>0</v>
      </c>
      <c r="BL2343" s="99">
        <v>0</v>
      </c>
      <c r="BM2343" s="310">
        <v>0</v>
      </c>
      <c r="BN2343" s="99">
        <v>0</v>
      </c>
      <c r="BO2343" s="99">
        <v>0</v>
      </c>
      <c r="BP2343" s="99">
        <v>1000</v>
      </c>
      <c r="BQ2343" s="99">
        <v>1</v>
      </c>
      <c r="BR2343" s="99">
        <v>200</v>
      </c>
      <c r="BS2343" s="99">
        <v>0</v>
      </c>
      <c r="BT2343" s="99">
        <v>0</v>
      </c>
      <c r="BU2343" s="23">
        <v>0</v>
      </c>
      <c r="BV2343" s="23"/>
      <c r="BW2343" s="23"/>
      <c r="BX2343" s="23"/>
      <c r="BY2343" s="23"/>
      <c r="BZ2343" s="23"/>
    </row>
    <row r="2344" spans="3:78" ht="19.5" customHeight="1">
      <c r="C2344" s="107">
        <v>77002002</v>
      </c>
      <c r="D2344" s="110" t="s">
        <v>5490</v>
      </c>
      <c r="E2344" s="110" t="s">
        <v>5491</v>
      </c>
      <c r="F2344" s="107">
        <v>1</v>
      </c>
      <c r="G2344" s="100">
        <v>0</v>
      </c>
      <c r="H2344" s="107">
        <v>0</v>
      </c>
      <c r="I2344" s="105">
        <v>0</v>
      </c>
      <c r="J2344" s="107">
        <v>1</v>
      </c>
      <c r="K2344" s="107">
        <v>0</v>
      </c>
      <c r="L2344" s="107">
        <v>0</v>
      </c>
      <c r="M2344" s="100">
        <v>0</v>
      </c>
      <c r="N2344" s="100">
        <v>0</v>
      </c>
      <c r="O2344" s="100">
        <v>2</v>
      </c>
      <c r="P2344" s="100">
        <v>2</v>
      </c>
      <c r="Q2344" s="100">
        <v>0.5</v>
      </c>
      <c r="R2344" s="100">
        <v>1</v>
      </c>
      <c r="S2344" s="99">
        <v>0</v>
      </c>
      <c r="T2344" s="100">
        <v>0</v>
      </c>
      <c r="U2344" s="100">
        <v>1</v>
      </c>
      <c r="V2344" s="100">
        <v>1</v>
      </c>
      <c r="W2344" s="100">
        <v>0</v>
      </c>
      <c r="X2344" s="100">
        <v>0</v>
      </c>
      <c r="Y2344" s="19">
        <v>0</v>
      </c>
      <c r="Z2344" s="100">
        <v>0</v>
      </c>
      <c r="AA2344" s="100">
        <v>0</v>
      </c>
      <c r="AB2344" s="100">
        <v>0</v>
      </c>
      <c r="AC2344" s="100">
        <v>0</v>
      </c>
      <c r="AD2344" s="100">
        <v>0</v>
      </c>
      <c r="AE2344" s="100">
        <v>1</v>
      </c>
      <c r="AF2344" s="100">
        <v>0</v>
      </c>
      <c r="AG2344" s="100">
        <v>1</v>
      </c>
      <c r="AH2344" s="100">
        <v>2</v>
      </c>
      <c r="AI2344" s="99">
        <v>0</v>
      </c>
      <c r="AJ2344" s="99">
        <v>1</v>
      </c>
      <c r="AK2344" s="99">
        <v>0</v>
      </c>
      <c r="AL2344" s="99">
        <v>3</v>
      </c>
      <c r="AM2344" s="100">
        <v>0</v>
      </c>
      <c r="AN2344" s="100">
        <v>0</v>
      </c>
      <c r="AO2344" s="100">
        <v>0</v>
      </c>
      <c r="AP2344" s="100">
        <v>0.3</v>
      </c>
      <c r="AQ2344" s="100">
        <v>300</v>
      </c>
      <c r="AR2344" s="100">
        <v>0</v>
      </c>
      <c r="AS2344" s="100">
        <v>0</v>
      </c>
      <c r="AT2344" s="99">
        <v>0</v>
      </c>
      <c r="AU2344" s="118">
        <v>0</v>
      </c>
      <c r="AV2344" s="118"/>
      <c r="AW2344" s="110" t="s">
        <v>204</v>
      </c>
      <c r="AX2344" s="100">
        <v>0</v>
      </c>
      <c r="AY2344" s="107">
        <v>0</v>
      </c>
      <c r="AZ2344" s="107">
        <v>0</v>
      </c>
      <c r="BA2344" s="110" t="s">
        <v>534</v>
      </c>
      <c r="BB2344" s="328" t="s">
        <v>5492</v>
      </c>
      <c r="BC2344" s="105">
        <v>0</v>
      </c>
      <c r="BD2344" s="105">
        <v>0</v>
      </c>
      <c r="BE2344" s="111" t="s">
        <v>5493</v>
      </c>
      <c r="BF2344" s="111" t="s">
        <v>5494</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19.5" customHeight="1">
      <c r="C2345" s="107">
        <v>77002003</v>
      </c>
      <c r="D2345" s="110" t="s">
        <v>5495</v>
      </c>
      <c r="E2345" s="110" t="s">
        <v>5496</v>
      </c>
      <c r="F2345" s="107">
        <v>1</v>
      </c>
      <c r="G2345" s="100">
        <v>0</v>
      </c>
      <c r="H2345" s="107">
        <v>0</v>
      </c>
      <c r="I2345" s="105">
        <v>0</v>
      </c>
      <c r="J2345" s="107">
        <v>1</v>
      </c>
      <c r="K2345" s="107">
        <v>0</v>
      </c>
      <c r="L2345" s="107">
        <v>0</v>
      </c>
      <c r="M2345" s="100">
        <v>0</v>
      </c>
      <c r="N2345" s="100">
        <v>0</v>
      </c>
      <c r="O2345" s="100">
        <v>2</v>
      </c>
      <c r="P2345" s="100">
        <v>3</v>
      </c>
      <c r="Q2345" s="100">
        <v>0.2</v>
      </c>
      <c r="R2345" s="100">
        <v>0</v>
      </c>
      <c r="S2345" s="99">
        <v>0</v>
      </c>
      <c r="T2345" s="100">
        <v>0</v>
      </c>
      <c r="U2345" s="100">
        <v>1</v>
      </c>
      <c r="V2345" s="100">
        <v>1</v>
      </c>
      <c r="W2345" s="100">
        <v>0</v>
      </c>
      <c r="X2345" s="100">
        <v>0</v>
      </c>
      <c r="Y2345" s="19">
        <v>0</v>
      </c>
      <c r="Z2345" s="100">
        <v>0</v>
      </c>
      <c r="AA2345" s="100">
        <v>1</v>
      </c>
      <c r="AB2345" s="100">
        <v>0</v>
      </c>
      <c r="AC2345" s="100">
        <v>0</v>
      </c>
      <c r="AD2345" s="100">
        <v>0</v>
      </c>
      <c r="AE2345" s="100">
        <v>1</v>
      </c>
      <c r="AF2345" s="100">
        <v>0</v>
      </c>
      <c r="AG2345" s="100">
        <v>1</v>
      </c>
      <c r="AH2345" s="100">
        <v>20</v>
      </c>
      <c r="AI2345" s="99">
        <v>0</v>
      </c>
      <c r="AJ2345" s="99">
        <v>1</v>
      </c>
      <c r="AK2345" s="99">
        <v>0</v>
      </c>
      <c r="AL2345" s="99">
        <v>3</v>
      </c>
      <c r="AM2345" s="100">
        <v>0</v>
      </c>
      <c r="AN2345" s="100">
        <v>0</v>
      </c>
      <c r="AO2345" s="100">
        <v>0</v>
      </c>
      <c r="AP2345" s="100">
        <v>0.3</v>
      </c>
      <c r="AQ2345" s="100">
        <v>300</v>
      </c>
      <c r="AR2345" s="100">
        <v>0</v>
      </c>
      <c r="AS2345" s="100">
        <v>0</v>
      </c>
      <c r="AT2345" s="99">
        <v>0</v>
      </c>
      <c r="AU2345" s="327" t="s">
        <v>5497</v>
      </c>
      <c r="AV2345" s="118"/>
      <c r="AW2345" s="110" t="s">
        <v>204</v>
      </c>
      <c r="AX2345" s="100">
        <v>0</v>
      </c>
      <c r="AY2345" s="107">
        <v>0</v>
      </c>
      <c r="AZ2345" s="107">
        <v>0</v>
      </c>
      <c r="BA2345" s="110" t="s">
        <v>534</v>
      </c>
      <c r="BB2345" s="328" t="s">
        <v>5498</v>
      </c>
      <c r="BC2345" s="105">
        <v>0</v>
      </c>
      <c r="BD2345" s="105">
        <v>0</v>
      </c>
      <c r="BE2345" s="111" t="s">
        <v>5499</v>
      </c>
      <c r="BF2345" s="111" t="s">
        <v>5500</v>
      </c>
      <c r="BG2345" s="100">
        <v>0</v>
      </c>
      <c r="BH2345" s="100">
        <v>0</v>
      </c>
      <c r="BI2345" s="100">
        <v>0</v>
      </c>
      <c r="BJ2345" s="100">
        <v>0</v>
      </c>
      <c r="BK2345" s="100">
        <v>0</v>
      </c>
      <c r="BL2345" s="100">
        <v>0</v>
      </c>
      <c r="BM2345" s="97">
        <v>0</v>
      </c>
      <c r="BN2345" s="99">
        <v>0</v>
      </c>
      <c r="BO2345" s="99">
        <v>0</v>
      </c>
      <c r="BP2345" s="99">
        <v>0</v>
      </c>
      <c r="BQ2345" s="99">
        <v>0</v>
      </c>
      <c r="BR2345" s="99">
        <v>0</v>
      </c>
      <c r="BS2345" s="99">
        <v>1</v>
      </c>
      <c r="BT2345" s="99">
        <v>0</v>
      </c>
      <c r="BU2345" s="23">
        <v>0</v>
      </c>
      <c r="BV2345" s="23"/>
      <c r="BW2345" s="23"/>
      <c r="BX2345" s="23"/>
      <c r="BY2345" s="23"/>
      <c r="BZ2345" s="23"/>
    </row>
    <row r="2346" spans="3:78" ht="20.100000000000001" customHeight="1">
      <c r="C2346" s="107">
        <v>77002004</v>
      </c>
      <c r="D2346" s="110" t="s">
        <v>5501</v>
      </c>
      <c r="E2346" s="303" t="s">
        <v>5502</v>
      </c>
      <c r="F2346" s="97">
        <v>1</v>
      </c>
      <c r="G2346" s="97">
        <v>0</v>
      </c>
      <c r="H2346" s="100">
        <v>0</v>
      </c>
      <c r="I2346" s="105">
        <v>0</v>
      </c>
      <c r="J2346" s="107">
        <v>1</v>
      </c>
      <c r="K2346" s="107">
        <v>0</v>
      </c>
      <c r="L2346" s="107">
        <v>0</v>
      </c>
      <c r="M2346" s="100">
        <v>0</v>
      </c>
      <c r="N2346" s="100">
        <v>0</v>
      </c>
      <c r="O2346" s="100">
        <v>2</v>
      </c>
      <c r="P2346" s="100">
        <v>1</v>
      </c>
      <c r="Q2346" s="100">
        <v>0.15</v>
      </c>
      <c r="R2346" s="100">
        <v>0</v>
      </c>
      <c r="S2346" s="99">
        <v>0</v>
      </c>
      <c r="T2346" s="100">
        <v>0</v>
      </c>
      <c r="U2346" s="100">
        <v>1</v>
      </c>
      <c r="V2346" s="97">
        <v>1</v>
      </c>
      <c r="W2346" s="100">
        <v>0</v>
      </c>
      <c r="X2346" s="100">
        <v>0</v>
      </c>
      <c r="Y2346" s="19">
        <v>0</v>
      </c>
      <c r="Z2346" s="100">
        <v>0</v>
      </c>
      <c r="AA2346" s="100">
        <v>1</v>
      </c>
      <c r="AB2346" s="100">
        <v>0</v>
      </c>
      <c r="AC2346" s="100">
        <v>0</v>
      </c>
      <c r="AD2346" s="100">
        <v>0</v>
      </c>
      <c r="AE2346" s="100">
        <v>1</v>
      </c>
      <c r="AF2346" s="100">
        <v>0</v>
      </c>
      <c r="AG2346" s="100">
        <v>2</v>
      </c>
      <c r="AH2346" s="100" t="s">
        <v>219</v>
      </c>
      <c r="AI2346" s="99">
        <v>0</v>
      </c>
      <c r="AJ2346" s="99">
        <v>2</v>
      </c>
      <c r="AK2346" s="99">
        <v>0</v>
      </c>
      <c r="AL2346" s="99">
        <v>1.5</v>
      </c>
      <c r="AM2346" s="100">
        <v>0</v>
      </c>
      <c r="AN2346" s="100">
        <v>0</v>
      </c>
      <c r="AO2346" s="100">
        <v>0</v>
      </c>
      <c r="AP2346" s="100">
        <v>1.5</v>
      </c>
      <c r="AQ2346" s="100">
        <v>1600</v>
      </c>
      <c r="AR2346" s="100">
        <v>1</v>
      </c>
      <c r="AS2346" s="100">
        <v>15</v>
      </c>
      <c r="AT2346" s="99">
        <v>0</v>
      </c>
      <c r="AU2346" s="327" t="s">
        <v>204</v>
      </c>
      <c r="AV2346" s="118"/>
      <c r="AW2346" s="110" t="s">
        <v>204</v>
      </c>
      <c r="AX2346" s="100" t="s">
        <v>221</v>
      </c>
      <c r="AY2346" s="107">
        <v>0</v>
      </c>
      <c r="AZ2346" s="107">
        <v>0</v>
      </c>
      <c r="BA2346" s="110" t="s">
        <v>222</v>
      </c>
      <c r="BB2346" s="100">
        <v>0</v>
      </c>
      <c r="BC2346" s="105">
        <v>0</v>
      </c>
      <c r="BD2346" s="105">
        <v>0</v>
      </c>
      <c r="BE2346" s="111" t="s">
        <v>5503</v>
      </c>
      <c r="BF2346" s="111" t="s">
        <v>5504</v>
      </c>
      <c r="BG2346" s="100">
        <v>0</v>
      </c>
      <c r="BH2346" s="100">
        <v>0</v>
      </c>
      <c r="BI2346" s="100">
        <v>0</v>
      </c>
      <c r="BJ2346" s="100">
        <v>0</v>
      </c>
      <c r="BK2346" s="100">
        <v>0</v>
      </c>
      <c r="BL2346" s="100">
        <v>0</v>
      </c>
      <c r="BM2346" s="97">
        <v>0</v>
      </c>
      <c r="BN2346" s="99">
        <v>0</v>
      </c>
      <c r="BO2346" s="99">
        <v>0</v>
      </c>
      <c r="BP2346" s="99">
        <v>0</v>
      </c>
      <c r="BQ2346" s="99">
        <v>0</v>
      </c>
      <c r="BR2346" s="99">
        <v>0</v>
      </c>
      <c r="BS2346" s="99">
        <v>1</v>
      </c>
      <c r="BT2346" s="99">
        <v>0</v>
      </c>
      <c r="BU2346" s="23">
        <v>0</v>
      </c>
      <c r="BV2346" s="23"/>
      <c r="BW2346" s="23"/>
      <c r="BX2346" s="23"/>
      <c r="BY2346" s="23"/>
      <c r="BZ2346" s="23"/>
    </row>
    <row r="2347" spans="3:78" ht="20.100000000000001" customHeight="1">
      <c r="C2347" s="107">
        <v>77002005</v>
      </c>
      <c r="D2347" s="110" t="s">
        <v>5501</v>
      </c>
      <c r="E2347" s="303" t="s">
        <v>5502</v>
      </c>
      <c r="F2347" s="97">
        <v>1</v>
      </c>
      <c r="G2347" s="97">
        <v>0</v>
      </c>
      <c r="H2347" s="100">
        <v>0</v>
      </c>
      <c r="I2347" s="105">
        <v>0</v>
      </c>
      <c r="J2347" s="107">
        <v>1</v>
      </c>
      <c r="K2347" s="107">
        <v>0</v>
      </c>
      <c r="L2347" s="107">
        <v>0</v>
      </c>
      <c r="M2347" s="100">
        <v>0</v>
      </c>
      <c r="N2347" s="100">
        <v>0</v>
      </c>
      <c r="O2347" s="100">
        <v>2</v>
      </c>
      <c r="P2347" s="100">
        <v>2</v>
      </c>
      <c r="Q2347" s="100">
        <v>1</v>
      </c>
      <c r="R2347" s="100">
        <v>0</v>
      </c>
      <c r="S2347" s="99">
        <v>0</v>
      </c>
      <c r="T2347" s="100">
        <v>0</v>
      </c>
      <c r="U2347" s="100">
        <v>1</v>
      </c>
      <c r="V2347" s="97">
        <v>1</v>
      </c>
      <c r="W2347" s="100">
        <v>0</v>
      </c>
      <c r="X2347" s="100">
        <v>0</v>
      </c>
      <c r="Y2347" s="19">
        <v>0</v>
      </c>
      <c r="Z2347" s="100">
        <v>0</v>
      </c>
      <c r="AA2347" s="100">
        <v>1</v>
      </c>
      <c r="AB2347" s="100">
        <v>0</v>
      </c>
      <c r="AC2347" s="100">
        <v>0</v>
      </c>
      <c r="AD2347" s="100">
        <v>0</v>
      </c>
      <c r="AE2347" s="100">
        <v>1</v>
      </c>
      <c r="AF2347" s="100">
        <v>20</v>
      </c>
      <c r="AG2347" s="100">
        <v>2</v>
      </c>
      <c r="AH2347" s="100" t="s">
        <v>219</v>
      </c>
      <c r="AI2347" s="99">
        <v>0</v>
      </c>
      <c r="AJ2347" s="99">
        <v>2</v>
      </c>
      <c r="AK2347" s="99">
        <v>0</v>
      </c>
      <c r="AL2347" s="99">
        <v>1.5</v>
      </c>
      <c r="AM2347" s="100">
        <v>0</v>
      </c>
      <c r="AN2347" s="100">
        <v>0</v>
      </c>
      <c r="AO2347" s="100">
        <v>0</v>
      </c>
      <c r="AP2347" s="100">
        <v>1.5</v>
      </c>
      <c r="AQ2347" s="100">
        <v>1600</v>
      </c>
      <c r="AR2347" s="100">
        <v>1</v>
      </c>
      <c r="AS2347" s="100">
        <v>15</v>
      </c>
      <c r="AT2347" s="99">
        <v>0</v>
      </c>
      <c r="AU2347" s="327" t="s">
        <v>204</v>
      </c>
      <c r="AV2347" s="118"/>
      <c r="AW2347" s="110" t="s">
        <v>204</v>
      </c>
      <c r="AX2347" s="100" t="s">
        <v>221</v>
      </c>
      <c r="AY2347" s="107">
        <v>0</v>
      </c>
      <c r="AZ2347" s="107">
        <v>0</v>
      </c>
      <c r="BA2347" s="110" t="s">
        <v>222</v>
      </c>
      <c r="BB2347" s="100">
        <v>0</v>
      </c>
      <c r="BC2347" s="105">
        <v>0</v>
      </c>
      <c r="BD2347" s="105">
        <v>0</v>
      </c>
      <c r="BE2347" s="111" t="s">
        <v>5503</v>
      </c>
      <c r="BF2347" s="111" t="s">
        <v>5504</v>
      </c>
      <c r="BG2347" s="100">
        <v>0</v>
      </c>
      <c r="BH2347" s="100">
        <v>0</v>
      </c>
      <c r="BI2347" s="100">
        <v>0</v>
      </c>
      <c r="BJ2347" s="100">
        <v>0</v>
      </c>
      <c r="BK2347" s="100">
        <v>0</v>
      </c>
      <c r="BL2347" s="100">
        <v>0</v>
      </c>
      <c r="BM2347" s="97">
        <v>0</v>
      </c>
      <c r="BN2347" s="99">
        <v>0</v>
      </c>
      <c r="BO2347" s="99">
        <v>0</v>
      </c>
      <c r="BP2347" s="99">
        <v>0</v>
      </c>
      <c r="BQ2347" s="99">
        <v>0</v>
      </c>
      <c r="BR2347" s="99">
        <v>0</v>
      </c>
      <c r="BS2347" s="99">
        <v>1</v>
      </c>
      <c r="BT2347" s="99">
        <v>0</v>
      </c>
      <c r="BU2347" s="23">
        <v>0</v>
      </c>
      <c r="BV2347" s="23"/>
      <c r="BW2347" s="23"/>
      <c r="BX2347" s="23"/>
      <c r="BY2347" s="23"/>
      <c r="BZ2347" s="23"/>
    </row>
    <row r="2348" spans="3:78" ht="19.5" customHeight="1">
      <c r="C2348" s="107">
        <v>77002006</v>
      </c>
      <c r="D2348" s="110" t="s">
        <v>1330</v>
      </c>
      <c r="E2348" s="110" t="s">
        <v>1331</v>
      </c>
      <c r="F2348" s="107">
        <v>1</v>
      </c>
      <c r="G2348" s="107">
        <v>80004009</v>
      </c>
      <c r="H2348" s="107">
        <v>0</v>
      </c>
      <c r="I2348" s="105">
        <v>0</v>
      </c>
      <c r="J2348" s="107">
        <v>1</v>
      </c>
      <c r="K2348" s="107">
        <v>0</v>
      </c>
      <c r="L2348" s="107">
        <v>0</v>
      </c>
      <c r="M2348" s="100">
        <v>0</v>
      </c>
      <c r="N2348" s="100">
        <v>0</v>
      </c>
      <c r="O2348" s="100">
        <v>2</v>
      </c>
      <c r="P2348" s="100">
        <v>1</v>
      </c>
      <c r="Q2348" s="100">
        <v>0.2</v>
      </c>
      <c r="R2348" s="100">
        <v>0</v>
      </c>
      <c r="S2348" s="99">
        <v>0</v>
      </c>
      <c r="T2348" s="100">
        <v>0</v>
      </c>
      <c r="U2348" s="100">
        <v>1</v>
      </c>
      <c r="V2348" s="100">
        <v>2</v>
      </c>
      <c r="W2348" s="100">
        <v>0</v>
      </c>
      <c r="X2348" s="100">
        <v>0.8</v>
      </c>
      <c r="Y2348" s="19">
        <v>0</v>
      </c>
      <c r="Z2348" s="100">
        <v>0</v>
      </c>
      <c r="AA2348" s="100">
        <v>1</v>
      </c>
      <c r="AB2348" s="100">
        <v>0</v>
      </c>
      <c r="AC2348" s="100">
        <v>0</v>
      </c>
      <c r="AD2348" s="100">
        <v>0</v>
      </c>
      <c r="AE2348" s="100">
        <v>1</v>
      </c>
      <c r="AF2348" s="100">
        <v>0</v>
      </c>
      <c r="AG2348" s="100">
        <v>1</v>
      </c>
      <c r="AH2348" s="100">
        <v>2</v>
      </c>
      <c r="AI2348" s="99">
        <v>0</v>
      </c>
      <c r="AJ2348" s="99">
        <v>2</v>
      </c>
      <c r="AK2348" s="99">
        <v>0</v>
      </c>
      <c r="AL2348" s="99">
        <v>2</v>
      </c>
      <c r="AM2348" s="100">
        <v>0</v>
      </c>
      <c r="AN2348" s="100">
        <v>0</v>
      </c>
      <c r="AO2348" s="100">
        <v>0</v>
      </c>
      <c r="AP2348" s="100">
        <v>2</v>
      </c>
      <c r="AQ2348" s="100">
        <v>5000</v>
      </c>
      <c r="AR2348" s="100">
        <v>0</v>
      </c>
      <c r="AS2348" s="100">
        <v>10</v>
      </c>
      <c r="AT2348" s="117">
        <v>0</v>
      </c>
      <c r="AU2348" s="327" t="s">
        <v>5505</v>
      </c>
      <c r="AV2348" s="118"/>
      <c r="AW2348" s="110" t="s">
        <v>204</v>
      </c>
      <c r="AX2348" s="100" t="s">
        <v>540</v>
      </c>
      <c r="AY2348" s="107">
        <v>10000007</v>
      </c>
      <c r="AZ2348" s="325" t="s">
        <v>5506</v>
      </c>
      <c r="BA2348" s="110" t="s">
        <v>592</v>
      </c>
      <c r="BB2348" s="100" t="s">
        <v>1324</v>
      </c>
      <c r="BC2348" s="105">
        <v>0</v>
      </c>
      <c r="BD2348" s="105">
        <v>1</v>
      </c>
      <c r="BE2348" s="111" t="s">
        <v>5507</v>
      </c>
      <c r="BF2348" s="111" t="s">
        <v>5508</v>
      </c>
      <c r="BG2348" s="100">
        <v>0</v>
      </c>
      <c r="BH2348" s="100">
        <v>0</v>
      </c>
      <c r="BI2348" s="100">
        <v>0</v>
      </c>
      <c r="BJ2348" s="100">
        <v>0</v>
      </c>
      <c r="BK2348" s="100">
        <v>0</v>
      </c>
      <c r="BL2348" s="100">
        <v>0</v>
      </c>
      <c r="BM2348" s="97">
        <v>0</v>
      </c>
      <c r="BN2348" s="99">
        <v>0</v>
      </c>
      <c r="BO2348" s="99">
        <v>0</v>
      </c>
      <c r="BP2348" s="99">
        <v>0</v>
      </c>
      <c r="BQ2348" s="99">
        <v>0</v>
      </c>
      <c r="BR2348" s="99">
        <v>0</v>
      </c>
      <c r="BS2348" s="99">
        <v>1</v>
      </c>
      <c r="BT2348" s="99">
        <v>0</v>
      </c>
      <c r="BU2348" s="23">
        <v>0</v>
      </c>
      <c r="BV2348" s="23"/>
      <c r="BW2348" s="23"/>
      <c r="BX2348" s="23"/>
      <c r="BY2348" s="23"/>
      <c r="BZ2348" s="23"/>
    </row>
    <row r="2349" spans="3:78" ht="19.5" customHeight="1">
      <c r="C2349" s="107">
        <v>77002007</v>
      </c>
      <c r="D2349" s="110" t="s">
        <v>5509</v>
      </c>
      <c r="E2349" s="110" t="s">
        <v>5510</v>
      </c>
      <c r="F2349" s="107">
        <v>1</v>
      </c>
      <c r="G2349" s="100">
        <v>60010100</v>
      </c>
      <c r="H2349" s="107">
        <v>0</v>
      </c>
      <c r="I2349" s="105">
        <v>0</v>
      </c>
      <c r="J2349" s="107">
        <v>1</v>
      </c>
      <c r="K2349" s="107">
        <v>0</v>
      </c>
      <c r="L2349" s="107">
        <v>0</v>
      </c>
      <c r="M2349" s="100">
        <v>0</v>
      </c>
      <c r="N2349" s="100">
        <v>0</v>
      </c>
      <c r="O2349" s="100">
        <v>2</v>
      </c>
      <c r="P2349" s="100">
        <v>16</v>
      </c>
      <c r="Q2349" s="100">
        <v>4</v>
      </c>
      <c r="R2349" s="100">
        <v>0</v>
      </c>
      <c r="S2349" s="99">
        <v>0</v>
      </c>
      <c r="T2349" s="100">
        <v>0</v>
      </c>
      <c r="U2349" s="100">
        <v>1</v>
      </c>
      <c r="V2349" s="100">
        <v>2</v>
      </c>
      <c r="W2349" s="100">
        <v>0</v>
      </c>
      <c r="X2349" s="100">
        <v>1.5</v>
      </c>
      <c r="Y2349" s="19">
        <v>0</v>
      </c>
      <c r="Z2349" s="100">
        <v>0</v>
      </c>
      <c r="AA2349" s="100">
        <v>1</v>
      </c>
      <c r="AB2349" s="100">
        <v>0</v>
      </c>
      <c r="AC2349" s="100">
        <v>0</v>
      </c>
      <c r="AD2349" s="100">
        <v>0</v>
      </c>
      <c r="AE2349" s="100">
        <v>1</v>
      </c>
      <c r="AF2349" s="100">
        <v>0</v>
      </c>
      <c r="AG2349" s="100">
        <v>1</v>
      </c>
      <c r="AH2349" s="100">
        <v>4</v>
      </c>
      <c r="AI2349" s="99">
        <v>0</v>
      </c>
      <c r="AJ2349" s="99">
        <v>1</v>
      </c>
      <c r="AK2349" s="99">
        <v>0</v>
      </c>
      <c r="AL2349" s="99">
        <v>3</v>
      </c>
      <c r="AM2349" s="100">
        <v>0</v>
      </c>
      <c r="AN2349" s="100">
        <v>1</v>
      </c>
      <c r="AO2349" s="100">
        <v>0</v>
      </c>
      <c r="AP2349" s="100">
        <v>1</v>
      </c>
      <c r="AQ2349" s="100">
        <v>3000</v>
      </c>
      <c r="AR2349" s="100">
        <v>1</v>
      </c>
      <c r="AS2349" s="100">
        <v>0</v>
      </c>
      <c r="AT2349" s="99">
        <v>0</v>
      </c>
      <c r="AU2349" s="327" t="s">
        <v>5511</v>
      </c>
      <c r="AV2349" s="118"/>
      <c r="AW2349" s="104" t="s">
        <v>204</v>
      </c>
      <c r="AX2349" s="100" t="s">
        <v>540</v>
      </c>
      <c r="AY2349" s="107">
        <v>0</v>
      </c>
      <c r="AZ2349" s="325" t="s">
        <v>5512</v>
      </c>
      <c r="BA2349" s="110" t="s">
        <v>206</v>
      </c>
      <c r="BB2349" s="100">
        <v>0</v>
      </c>
      <c r="BC2349" s="105">
        <v>0</v>
      </c>
      <c r="BD2349" s="105">
        <v>0</v>
      </c>
      <c r="BE2349" s="111" t="s">
        <v>5513</v>
      </c>
      <c r="BF2349" s="111" t="s">
        <v>5514</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0</v>
      </c>
      <c r="BU2349" s="23">
        <v>0</v>
      </c>
      <c r="BV2349" s="23"/>
      <c r="BW2349" s="23"/>
      <c r="BX2349" s="23"/>
      <c r="BY2349" s="23"/>
      <c r="BZ2349" s="23"/>
    </row>
    <row r="2350" spans="3:78" ht="20.100000000000001" customHeight="1">
      <c r="C2350" s="107">
        <v>77002008</v>
      </c>
      <c r="D2350" s="110" t="s">
        <v>5515</v>
      </c>
      <c r="E2350" s="303" t="s">
        <v>5516</v>
      </c>
      <c r="F2350" s="97">
        <v>1</v>
      </c>
      <c r="G2350" s="97">
        <v>0</v>
      </c>
      <c r="H2350" s="100">
        <v>0</v>
      </c>
      <c r="I2350" s="105">
        <v>0</v>
      </c>
      <c r="J2350" s="107">
        <v>1</v>
      </c>
      <c r="K2350" s="107">
        <v>0</v>
      </c>
      <c r="L2350" s="107">
        <v>0</v>
      </c>
      <c r="M2350" s="100">
        <v>0</v>
      </c>
      <c r="N2350" s="100">
        <v>0</v>
      </c>
      <c r="O2350" s="100">
        <v>2</v>
      </c>
      <c r="P2350" s="100">
        <v>3</v>
      </c>
      <c r="Q2350" s="100">
        <v>0.2</v>
      </c>
      <c r="R2350" s="100">
        <v>0</v>
      </c>
      <c r="S2350" s="99">
        <v>0</v>
      </c>
      <c r="T2350" s="100">
        <v>0</v>
      </c>
      <c r="U2350" s="100">
        <v>1</v>
      </c>
      <c r="V2350" s="97">
        <v>1</v>
      </c>
      <c r="W2350" s="100">
        <v>0</v>
      </c>
      <c r="X2350" s="100">
        <v>2</v>
      </c>
      <c r="Y2350" s="19">
        <v>0</v>
      </c>
      <c r="Z2350" s="100">
        <v>0</v>
      </c>
      <c r="AA2350" s="100">
        <v>1</v>
      </c>
      <c r="AB2350" s="100">
        <v>0</v>
      </c>
      <c r="AC2350" s="100">
        <v>0</v>
      </c>
      <c r="AD2350" s="100">
        <v>0</v>
      </c>
      <c r="AE2350" s="100">
        <v>1</v>
      </c>
      <c r="AF2350" s="100">
        <v>24</v>
      </c>
      <c r="AG2350" s="100">
        <v>1</v>
      </c>
      <c r="AH2350" s="100">
        <v>6</v>
      </c>
      <c r="AI2350" s="99">
        <v>0</v>
      </c>
      <c r="AJ2350" s="99">
        <v>1</v>
      </c>
      <c r="AK2350" s="99">
        <v>0</v>
      </c>
      <c r="AL2350" s="99">
        <v>3</v>
      </c>
      <c r="AM2350" s="100">
        <v>0</v>
      </c>
      <c r="AN2350" s="100">
        <v>1</v>
      </c>
      <c r="AO2350" s="100">
        <v>0</v>
      </c>
      <c r="AP2350" s="100">
        <v>2</v>
      </c>
      <c r="AQ2350" s="100">
        <v>3000</v>
      </c>
      <c r="AR2350" s="100">
        <v>1</v>
      </c>
      <c r="AS2350" s="100">
        <v>0</v>
      </c>
      <c r="AT2350" s="323" t="s">
        <v>5517</v>
      </c>
      <c r="AU2350" s="327" t="s">
        <v>5497</v>
      </c>
      <c r="AV2350" s="118"/>
      <c r="AW2350" s="110" t="s">
        <v>262</v>
      </c>
      <c r="AX2350" s="100" t="s">
        <v>221</v>
      </c>
      <c r="AY2350" s="107">
        <v>10000011</v>
      </c>
      <c r="AZ2350" s="325" t="s">
        <v>5518</v>
      </c>
      <c r="BA2350" s="104" t="s">
        <v>206</v>
      </c>
      <c r="BB2350" s="100">
        <v>0</v>
      </c>
      <c r="BC2350" s="105">
        <v>0</v>
      </c>
      <c r="BD2350" s="105">
        <v>0</v>
      </c>
      <c r="BE2350" s="111" t="s">
        <v>5519</v>
      </c>
      <c r="BF2350" s="111" t="s">
        <v>5520</v>
      </c>
      <c r="BG2350" s="100">
        <v>0</v>
      </c>
      <c r="BH2350" s="100">
        <v>0</v>
      </c>
      <c r="BI2350" s="100">
        <v>0</v>
      </c>
      <c r="BJ2350" s="100">
        <v>0</v>
      </c>
      <c r="BK2350" s="100">
        <v>0</v>
      </c>
      <c r="BL2350" s="100">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19.5" customHeight="1">
      <c r="C2351" s="107">
        <v>77002009</v>
      </c>
      <c r="D2351" s="110" t="s">
        <v>5521</v>
      </c>
      <c r="E2351" s="110" t="s">
        <v>5522</v>
      </c>
      <c r="F2351" s="107">
        <v>1</v>
      </c>
      <c r="G2351" s="107">
        <v>0</v>
      </c>
      <c r="H2351" s="107">
        <v>0</v>
      </c>
      <c r="I2351" s="105">
        <v>0</v>
      </c>
      <c r="J2351" s="107">
        <v>1</v>
      </c>
      <c r="K2351" s="107">
        <v>0</v>
      </c>
      <c r="L2351" s="107">
        <v>0</v>
      </c>
      <c r="M2351" s="100">
        <v>0</v>
      </c>
      <c r="N2351" s="100">
        <v>0</v>
      </c>
      <c r="O2351" s="100">
        <v>2</v>
      </c>
      <c r="P2351" s="100">
        <v>3</v>
      </c>
      <c r="Q2351" s="100">
        <v>0.1</v>
      </c>
      <c r="R2351" s="100">
        <v>0</v>
      </c>
      <c r="S2351" s="99">
        <v>0</v>
      </c>
      <c r="T2351" s="100">
        <v>0</v>
      </c>
      <c r="U2351" s="100">
        <v>1</v>
      </c>
      <c r="V2351" s="100">
        <v>2</v>
      </c>
      <c r="W2351" s="100">
        <v>0</v>
      </c>
      <c r="X2351" s="100">
        <v>1</v>
      </c>
      <c r="Y2351" s="19">
        <v>0</v>
      </c>
      <c r="Z2351" s="100">
        <v>0</v>
      </c>
      <c r="AA2351" s="100">
        <v>1</v>
      </c>
      <c r="AB2351" s="100">
        <v>0</v>
      </c>
      <c r="AC2351" s="100">
        <v>0</v>
      </c>
      <c r="AD2351" s="100">
        <v>1</v>
      </c>
      <c r="AE2351" s="100">
        <v>0</v>
      </c>
      <c r="AF2351" s="100">
        <v>0</v>
      </c>
      <c r="AG2351" s="100">
        <v>1</v>
      </c>
      <c r="AH2351" s="100">
        <v>3</v>
      </c>
      <c r="AI2351" s="99">
        <v>4</v>
      </c>
      <c r="AJ2351" s="99">
        <v>1</v>
      </c>
      <c r="AK2351" s="99">
        <v>0</v>
      </c>
      <c r="AL2351" s="99">
        <v>1.5</v>
      </c>
      <c r="AM2351" s="100">
        <v>0</v>
      </c>
      <c r="AN2351" s="100">
        <v>0</v>
      </c>
      <c r="AO2351" s="100">
        <v>0</v>
      </c>
      <c r="AP2351" s="100">
        <v>0</v>
      </c>
      <c r="AQ2351" s="100">
        <v>6000</v>
      </c>
      <c r="AR2351" s="100">
        <v>0.8</v>
      </c>
      <c r="AS2351" s="100">
        <v>0</v>
      </c>
      <c r="AT2351" s="99">
        <v>0</v>
      </c>
      <c r="AU2351" s="327" t="s">
        <v>5511</v>
      </c>
      <c r="AV2351" s="118"/>
      <c r="AW2351" s="104" t="s">
        <v>205</v>
      </c>
      <c r="AX2351" s="100" t="s">
        <v>540</v>
      </c>
      <c r="AY2351" s="107">
        <v>0</v>
      </c>
      <c r="AZ2351" s="325" t="s">
        <v>5523</v>
      </c>
      <c r="BA2351" s="110" t="s">
        <v>206</v>
      </c>
      <c r="BB2351" s="100" t="s">
        <v>5524</v>
      </c>
      <c r="BC2351" s="105">
        <v>0</v>
      </c>
      <c r="BD2351" s="105">
        <v>0</v>
      </c>
      <c r="BE2351" s="111" t="s">
        <v>5279</v>
      </c>
      <c r="BF2351" s="111" t="s">
        <v>5280</v>
      </c>
      <c r="BG2351" s="100">
        <v>0</v>
      </c>
      <c r="BH2351" s="100">
        <v>0</v>
      </c>
      <c r="BI2351" s="100">
        <v>0</v>
      </c>
      <c r="BJ2351" s="100">
        <v>0</v>
      </c>
      <c r="BK2351" s="100">
        <v>0</v>
      </c>
      <c r="BL2351" s="100">
        <v>0</v>
      </c>
      <c r="BM2351" s="97">
        <v>0</v>
      </c>
      <c r="BN2351" s="99">
        <v>0</v>
      </c>
      <c r="BO2351" s="99">
        <v>0</v>
      </c>
      <c r="BP2351" s="99">
        <v>0</v>
      </c>
      <c r="BQ2351" s="99">
        <v>0</v>
      </c>
      <c r="BR2351" s="99">
        <v>0</v>
      </c>
      <c r="BS2351" s="99">
        <v>0</v>
      </c>
      <c r="BT2351" s="99">
        <v>0</v>
      </c>
      <c r="BU2351" s="23">
        <v>0</v>
      </c>
      <c r="BV2351" s="23"/>
      <c r="BW2351" s="23"/>
      <c r="BX2351" s="23"/>
      <c r="BY2351" s="23"/>
      <c r="BZ2351" s="23"/>
    </row>
    <row r="2352" spans="3:78" ht="20.100000000000001" customHeight="1">
      <c r="C2352" s="107">
        <v>77002010</v>
      </c>
      <c r="D2352" s="110" t="s">
        <v>5525</v>
      </c>
      <c r="E2352" s="110" t="s">
        <v>5526</v>
      </c>
      <c r="F2352" s="100">
        <v>1</v>
      </c>
      <c r="G2352" s="100">
        <v>0</v>
      </c>
      <c r="H2352" s="107">
        <v>0</v>
      </c>
      <c r="I2352" s="105">
        <v>0</v>
      </c>
      <c r="J2352" s="107">
        <v>1</v>
      </c>
      <c r="K2352" s="107">
        <v>0</v>
      </c>
      <c r="L2352" s="107">
        <v>0</v>
      </c>
      <c r="M2352" s="100">
        <v>0</v>
      </c>
      <c r="N2352" s="100">
        <v>0</v>
      </c>
      <c r="O2352" s="100">
        <v>2</v>
      </c>
      <c r="P2352" s="100">
        <v>2</v>
      </c>
      <c r="Q2352" s="100">
        <v>0.8</v>
      </c>
      <c r="R2352" s="100">
        <v>0</v>
      </c>
      <c r="S2352" s="99">
        <v>3</v>
      </c>
      <c r="T2352" s="100">
        <v>0</v>
      </c>
      <c r="U2352" s="100">
        <v>1</v>
      </c>
      <c r="V2352" s="100">
        <v>2</v>
      </c>
      <c r="W2352" s="100">
        <v>0</v>
      </c>
      <c r="X2352" s="100">
        <v>0.8</v>
      </c>
      <c r="Y2352" s="19">
        <v>0</v>
      </c>
      <c r="Z2352" s="100">
        <v>0</v>
      </c>
      <c r="AA2352" s="100">
        <v>0</v>
      </c>
      <c r="AB2352" s="100">
        <v>0</v>
      </c>
      <c r="AC2352" s="100">
        <v>0</v>
      </c>
      <c r="AD2352" s="100">
        <v>0</v>
      </c>
      <c r="AE2352" s="100">
        <v>0</v>
      </c>
      <c r="AF2352" s="100">
        <v>28</v>
      </c>
      <c r="AG2352" s="100">
        <v>1</v>
      </c>
      <c r="AH2352" s="100">
        <v>3</v>
      </c>
      <c r="AI2352" s="99">
        <v>6</v>
      </c>
      <c r="AJ2352" s="99">
        <v>1</v>
      </c>
      <c r="AK2352" s="99">
        <v>0</v>
      </c>
      <c r="AL2352" s="99">
        <v>1.5</v>
      </c>
      <c r="AM2352" s="100">
        <v>0</v>
      </c>
      <c r="AN2352" s="100">
        <v>0</v>
      </c>
      <c r="AO2352" s="100">
        <v>0</v>
      </c>
      <c r="AP2352" s="100">
        <v>1</v>
      </c>
      <c r="AQ2352" s="100">
        <v>5000</v>
      </c>
      <c r="AR2352" s="100">
        <v>1</v>
      </c>
      <c r="AS2352" s="100">
        <v>0</v>
      </c>
      <c r="AT2352" s="99">
        <v>0</v>
      </c>
      <c r="AU2352" s="327" t="s">
        <v>5527</v>
      </c>
      <c r="AV2352" s="118"/>
      <c r="AW2352" s="104" t="s">
        <v>262</v>
      </c>
      <c r="AX2352" s="100" t="s">
        <v>540</v>
      </c>
      <c r="AY2352" s="107">
        <v>10000007</v>
      </c>
      <c r="AZ2352" s="325" t="s">
        <v>5528</v>
      </c>
      <c r="BA2352" s="110" t="s">
        <v>206</v>
      </c>
      <c r="BB2352" s="100" t="s">
        <v>5529</v>
      </c>
      <c r="BC2352" s="105">
        <v>0</v>
      </c>
      <c r="BD2352" s="105">
        <v>0</v>
      </c>
      <c r="BE2352" s="111" t="s">
        <v>5530</v>
      </c>
      <c r="BF2352" s="111" t="s">
        <v>5531</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0</v>
      </c>
      <c r="BU2352" s="23">
        <v>0</v>
      </c>
      <c r="BV2352" s="23"/>
      <c r="BW2352" s="23"/>
      <c r="BX2352" s="23"/>
      <c r="BY2352" s="23"/>
      <c r="BZ2352" s="23"/>
    </row>
    <row r="2353" spans="1:78" ht="19.5" customHeight="1">
      <c r="C2353" s="107">
        <v>77002011</v>
      </c>
      <c r="D2353" s="110" t="s">
        <v>5532</v>
      </c>
      <c r="E2353" s="110" t="s">
        <v>5533</v>
      </c>
      <c r="F2353" s="100">
        <v>1</v>
      </c>
      <c r="G2353" s="100">
        <v>61012301</v>
      </c>
      <c r="H2353" s="100">
        <v>0</v>
      </c>
      <c r="I2353" s="105">
        <v>0</v>
      </c>
      <c r="J2353" s="107">
        <v>1</v>
      </c>
      <c r="K2353" s="107">
        <v>0</v>
      </c>
      <c r="L2353" s="107">
        <v>0</v>
      </c>
      <c r="M2353" s="100">
        <v>0</v>
      </c>
      <c r="N2353" s="100">
        <v>0</v>
      </c>
      <c r="O2353" s="100">
        <v>2</v>
      </c>
      <c r="P2353" s="100">
        <v>1</v>
      </c>
      <c r="Q2353" s="100">
        <v>0.15</v>
      </c>
      <c r="R2353" s="100">
        <v>0</v>
      </c>
      <c r="S2353" s="99">
        <v>1</v>
      </c>
      <c r="T2353" s="100">
        <v>0</v>
      </c>
      <c r="U2353" s="100">
        <v>0</v>
      </c>
      <c r="V2353" s="100">
        <v>1</v>
      </c>
      <c r="W2353" s="100">
        <v>0</v>
      </c>
      <c r="X2353" s="100">
        <v>0</v>
      </c>
      <c r="Y2353" s="19">
        <v>0</v>
      </c>
      <c r="Z2353" s="100">
        <v>0</v>
      </c>
      <c r="AA2353" s="100">
        <v>1</v>
      </c>
      <c r="AB2353" s="100">
        <v>0</v>
      </c>
      <c r="AC2353" s="100">
        <v>0</v>
      </c>
      <c r="AD2353" s="100">
        <v>0</v>
      </c>
      <c r="AE2353" s="100">
        <v>1</v>
      </c>
      <c r="AF2353" s="100">
        <v>6</v>
      </c>
      <c r="AG2353" s="100">
        <v>2</v>
      </c>
      <c r="AH2353" s="100" t="s">
        <v>219</v>
      </c>
      <c r="AI2353" s="99">
        <v>0</v>
      </c>
      <c r="AJ2353" s="99">
        <v>2</v>
      </c>
      <c r="AK2353" s="99">
        <v>0</v>
      </c>
      <c r="AL2353" s="99">
        <v>1.5</v>
      </c>
      <c r="AM2353" s="100">
        <v>0</v>
      </c>
      <c r="AN2353" s="100">
        <v>0</v>
      </c>
      <c r="AO2353" s="100">
        <v>0</v>
      </c>
      <c r="AP2353" s="100">
        <v>0.5</v>
      </c>
      <c r="AQ2353" s="100">
        <v>500</v>
      </c>
      <c r="AR2353" s="100">
        <v>0</v>
      </c>
      <c r="AS2353" s="100">
        <v>15</v>
      </c>
      <c r="AT2353" s="99">
        <v>97010008</v>
      </c>
      <c r="AU2353" s="118">
        <v>0</v>
      </c>
      <c r="AV2353" s="118"/>
      <c r="AW2353" s="110" t="s">
        <v>293</v>
      </c>
      <c r="AX2353" s="100" t="s">
        <v>221</v>
      </c>
      <c r="AY2353" s="107">
        <v>0</v>
      </c>
      <c r="AZ2353" s="107">
        <v>0</v>
      </c>
      <c r="BA2353" s="137" t="s">
        <v>222</v>
      </c>
      <c r="BB2353" s="100">
        <v>0</v>
      </c>
      <c r="BC2353" s="105">
        <v>0</v>
      </c>
      <c r="BD2353" s="105">
        <v>0</v>
      </c>
      <c r="BE2353" s="111" t="s">
        <v>5534</v>
      </c>
      <c r="BF2353" s="111" t="s">
        <v>5535</v>
      </c>
      <c r="BG2353" s="100">
        <v>0</v>
      </c>
      <c r="BH2353" s="100">
        <v>0</v>
      </c>
      <c r="BI2353" s="100">
        <v>0</v>
      </c>
      <c r="BJ2353" s="100">
        <v>0</v>
      </c>
      <c r="BK2353" s="100">
        <v>0</v>
      </c>
      <c r="BL2353" s="100">
        <v>0</v>
      </c>
      <c r="BM2353" s="97">
        <v>0</v>
      </c>
      <c r="BN2353" s="99">
        <v>0</v>
      </c>
      <c r="BO2353" s="99">
        <v>0</v>
      </c>
      <c r="BP2353" s="99">
        <v>0</v>
      </c>
      <c r="BQ2353" s="99">
        <v>0</v>
      </c>
      <c r="BR2353" s="99">
        <v>0</v>
      </c>
      <c r="BS2353" s="99">
        <v>0</v>
      </c>
      <c r="BT2353" s="99">
        <v>77002012</v>
      </c>
      <c r="BU2353" s="23">
        <v>0</v>
      </c>
      <c r="BV2353" s="23"/>
      <c r="BW2353" s="23"/>
      <c r="BX2353" s="23"/>
      <c r="BY2353" s="23"/>
      <c r="BZ2353" s="23"/>
    </row>
    <row r="2354" spans="1:78" ht="19.5" customHeight="1">
      <c r="C2354" s="107">
        <v>77002012</v>
      </c>
      <c r="D2354" s="104" t="s">
        <v>5536</v>
      </c>
      <c r="E2354" s="104" t="s">
        <v>5537</v>
      </c>
      <c r="F2354" s="100">
        <v>1</v>
      </c>
      <c r="G2354" s="107">
        <v>61022101</v>
      </c>
      <c r="H2354" s="107">
        <v>0</v>
      </c>
      <c r="I2354" s="105">
        <v>0</v>
      </c>
      <c r="J2354" s="100">
        <v>1</v>
      </c>
      <c r="K2354" s="100">
        <v>0</v>
      </c>
      <c r="L2354" s="100">
        <v>0</v>
      </c>
      <c r="M2354" s="107">
        <v>0</v>
      </c>
      <c r="N2354" s="107">
        <v>0</v>
      </c>
      <c r="O2354" s="107">
        <v>2</v>
      </c>
      <c r="P2354" s="107">
        <v>2</v>
      </c>
      <c r="Q2354" s="107">
        <v>1</v>
      </c>
      <c r="R2354" s="107">
        <v>0</v>
      </c>
      <c r="S2354" s="99">
        <v>0</v>
      </c>
      <c r="T2354" s="105">
        <v>0</v>
      </c>
      <c r="U2354" s="100">
        <v>1</v>
      </c>
      <c r="V2354" s="107">
        <v>1</v>
      </c>
      <c r="W2354" s="107">
        <v>0</v>
      </c>
      <c r="X2354" s="107">
        <v>1.5</v>
      </c>
      <c r="Y2354" s="19">
        <v>0</v>
      </c>
      <c r="Z2354" s="107">
        <v>0</v>
      </c>
      <c r="AA2354" s="107">
        <v>0</v>
      </c>
      <c r="AB2354" s="107">
        <v>0</v>
      </c>
      <c r="AC2354" s="107">
        <v>0</v>
      </c>
      <c r="AD2354" s="107">
        <v>0</v>
      </c>
      <c r="AE2354" s="107">
        <v>0</v>
      </c>
      <c r="AF2354" s="107">
        <v>8</v>
      </c>
      <c r="AG2354" s="107">
        <v>1</v>
      </c>
      <c r="AH2354" s="138">
        <v>5</v>
      </c>
      <c r="AI2354" s="99">
        <v>0</v>
      </c>
      <c r="AJ2354" s="99">
        <v>1</v>
      </c>
      <c r="AK2354" s="99">
        <v>0</v>
      </c>
      <c r="AL2354" s="99">
        <v>3</v>
      </c>
      <c r="AM2354" s="107">
        <v>0</v>
      </c>
      <c r="AN2354" s="107">
        <v>0</v>
      </c>
      <c r="AO2354" s="107">
        <v>0</v>
      </c>
      <c r="AP2354" s="107">
        <v>0</v>
      </c>
      <c r="AQ2354" s="107">
        <v>2000</v>
      </c>
      <c r="AR2354" s="107">
        <v>0.5</v>
      </c>
      <c r="AS2354" s="107">
        <v>0</v>
      </c>
      <c r="AT2354" s="99">
        <v>0</v>
      </c>
      <c r="AU2354" s="325" t="s">
        <v>5538</v>
      </c>
      <c r="AV2354" s="107"/>
      <c r="AW2354" s="110" t="s">
        <v>293</v>
      </c>
      <c r="AX2354" s="107" t="s">
        <v>551</v>
      </c>
      <c r="AY2354" s="107">
        <v>10001005</v>
      </c>
      <c r="AZ2354" s="325" t="s">
        <v>5539</v>
      </c>
      <c r="BA2354" s="104" t="s">
        <v>206</v>
      </c>
      <c r="BB2354" s="104">
        <v>0</v>
      </c>
      <c r="BC2354" s="105">
        <v>0</v>
      </c>
      <c r="BD2354" s="105">
        <v>0</v>
      </c>
      <c r="BE2354" s="139" t="s">
        <v>1192</v>
      </c>
      <c r="BF2354" s="139" t="s">
        <v>1193</v>
      </c>
      <c r="BG2354" s="107">
        <v>0</v>
      </c>
      <c r="BH2354" s="100">
        <v>0</v>
      </c>
      <c r="BI2354" s="107">
        <v>0</v>
      </c>
      <c r="BJ2354" s="107">
        <v>0</v>
      </c>
      <c r="BK2354" s="107">
        <v>0</v>
      </c>
      <c r="BL2354" s="107">
        <v>0</v>
      </c>
      <c r="BM2354" s="97">
        <v>0</v>
      </c>
      <c r="BN2354" s="99">
        <v>0</v>
      </c>
      <c r="BO2354" s="99">
        <v>0</v>
      </c>
      <c r="BP2354" s="99">
        <v>0</v>
      </c>
      <c r="BQ2354" s="99">
        <v>0</v>
      </c>
      <c r="BR2354" s="99">
        <v>0</v>
      </c>
      <c r="BS2354" s="99">
        <v>0</v>
      </c>
      <c r="BT2354" s="99">
        <v>0</v>
      </c>
      <c r="BU2354" s="23">
        <v>0</v>
      </c>
      <c r="BV2354" s="23"/>
      <c r="BW2354" s="23"/>
      <c r="BX2354" s="23"/>
      <c r="BY2354" s="23"/>
      <c r="BZ2354" s="23"/>
    </row>
    <row r="2355" spans="1:78" ht="19.5" customHeight="1">
      <c r="C2355" s="107">
        <v>77002013</v>
      </c>
      <c r="D2355" s="110" t="s">
        <v>5540</v>
      </c>
      <c r="E2355" s="110" t="s">
        <v>5541</v>
      </c>
      <c r="F2355" s="107">
        <v>1</v>
      </c>
      <c r="G2355" s="100">
        <v>60010100</v>
      </c>
      <c r="H2355" s="107">
        <v>0</v>
      </c>
      <c r="I2355" s="105">
        <v>0</v>
      </c>
      <c r="J2355" s="107">
        <v>1</v>
      </c>
      <c r="K2355" s="107">
        <v>0</v>
      </c>
      <c r="L2355" s="107">
        <v>0</v>
      </c>
      <c r="M2355" s="100">
        <v>0</v>
      </c>
      <c r="N2355" s="100">
        <v>0</v>
      </c>
      <c r="O2355" s="100">
        <v>2</v>
      </c>
      <c r="P2355" s="100">
        <v>1</v>
      </c>
      <c r="Q2355" s="100">
        <v>0.15</v>
      </c>
      <c r="R2355" s="100">
        <v>0</v>
      </c>
      <c r="S2355" s="99">
        <v>0</v>
      </c>
      <c r="T2355" s="100">
        <v>0</v>
      </c>
      <c r="U2355" s="100">
        <v>1</v>
      </c>
      <c r="V2355" s="100">
        <v>2</v>
      </c>
      <c r="W2355" s="100">
        <v>0</v>
      </c>
      <c r="X2355" s="100">
        <v>0</v>
      </c>
      <c r="Y2355" s="19">
        <v>0</v>
      </c>
      <c r="Z2355" s="100">
        <v>0</v>
      </c>
      <c r="AA2355" s="100">
        <v>1</v>
      </c>
      <c r="AB2355" s="100">
        <v>0</v>
      </c>
      <c r="AC2355" s="100">
        <v>0</v>
      </c>
      <c r="AD2355" s="100">
        <v>0</v>
      </c>
      <c r="AE2355" s="100">
        <v>1</v>
      </c>
      <c r="AF2355" s="100">
        <v>3</v>
      </c>
      <c r="AG2355" s="100">
        <v>1</v>
      </c>
      <c r="AH2355" s="100">
        <v>4</v>
      </c>
      <c r="AI2355" s="99">
        <v>0</v>
      </c>
      <c r="AJ2355" s="99">
        <v>1</v>
      </c>
      <c r="AK2355" s="99">
        <v>0</v>
      </c>
      <c r="AL2355" s="99">
        <v>3</v>
      </c>
      <c r="AM2355" s="100">
        <v>0</v>
      </c>
      <c r="AN2355" s="100">
        <v>1</v>
      </c>
      <c r="AO2355" s="100">
        <v>0</v>
      </c>
      <c r="AP2355" s="100">
        <v>0</v>
      </c>
      <c r="AQ2355" s="100">
        <v>3000</v>
      </c>
      <c r="AR2355" s="100">
        <v>0</v>
      </c>
      <c r="AS2355" s="100">
        <v>0</v>
      </c>
      <c r="AT2355" s="323" t="s">
        <v>5542</v>
      </c>
      <c r="AU2355" s="118">
        <v>0</v>
      </c>
      <c r="AV2355" s="118"/>
      <c r="AW2355" s="104" t="s">
        <v>262</v>
      </c>
      <c r="AX2355" s="100" t="s">
        <v>540</v>
      </c>
      <c r="AY2355" s="107">
        <v>0</v>
      </c>
      <c r="AZ2355" s="107">
        <v>0</v>
      </c>
      <c r="BA2355" s="110" t="s">
        <v>206</v>
      </c>
      <c r="BB2355" s="100">
        <v>0</v>
      </c>
      <c r="BC2355" s="105">
        <v>0</v>
      </c>
      <c r="BD2355" s="105">
        <v>0</v>
      </c>
      <c r="BE2355" s="111" t="s">
        <v>5543</v>
      </c>
      <c r="BF2355" s="111" t="s">
        <v>5544</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spans="1:78" ht="19.5" customHeight="1">
      <c r="C2356" s="107">
        <v>77002014</v>
      </c>
      <c r="D2356" s="110" t="s">
        <v>5545</v>
      </c>
      <c r="E2356" s="110" t="s">
        <v>5546</v>
      </c>
      <c r="F2356" s="107">
        <v>1</v>
      </c>
      <c r="G2356" s="100">
        <v>0</v>
      </c>
      <c r="H2356" s="107">
        <v>0</v>
      </c>
      <c r="I2356" s="105">
        <v>0</v>
      </c>
      <c r="J2356" s="107">
        <v>1</v>
      </c>
      <c r="K2356" s="107">
        <v>0</v>
      </c>
      <c r="L2356" s="107">
        <v>0</v>
      </c>
      <c r="M2356" s="100">
        <v>0</v>
      </c>
      <c r="N2356" s="100">
        <v>0</v>
      </c>
      <c r="O2356" s="100">
        <v>2</v>
      </c>
      <c r="P2356" s="100">
        <v>1</v>
      </c>
      <c r="Q2356" s="100">
        <v>1</v>
      </c>
      <c r="R2356" s="100">
        <v>0</v>
      </c>
      <c r="S2356" s="99">
        <v>0</v>
      </c>
      <c r="T2356" s="100">
        <v>0</v>
      </c>
      <c r="U2356" s="100">
        <v>1</v>
      </c>
      <c r="V2356" s="100">
        <v>2</v>
      </c>
      <c r="W2356" s="100">
        <v>0</v>
      </c>
      <c r="X2356" s="100">
        <v>1.6</v>
      </c>
      <c r="Y2356" s="19">
        <v>0</v>
      </c>
      <c r="Z2356" s="100">
        <v>0</v>
      </c>
      <c r="AA2356" s="100">
        <v>0</v>
      </c>
      <c r="AB2356" s="100">
        <v>0</v>
      </c>
      <c r="AC2356" s="100">
        <v>0</v>
      </c>
      <c r="AD2356" s="100">
        <v>0</v>
      </c>
      <c r="AE2356" s="100">
        <v>1</v>
      </c>
      <c r="AF2356" s="100">
        <v>0</v>
      </c>
      <c r="AG2356" s="100">
        <v>1</v>
      </c>
      <c r="AH2356" s="100">
        <v>2</v>
      </c>
      <c r="AI2356" s="99">
        <v>0</v>
      </c>
      <c r="AJ2356" s="99">
        <v>2</v>
      </c>
      <c r="AK2356" s="99">
        <v>0</v>
      </c>
      <c r="AL2356" s="99">
        <v>2</v>
      </c>
      <c r="AM2356" s="100">
        <v>0</v>
      </c>
      <c r="AN2356" s="100">
        <v>0</v>
      </c>
      <c r="AO2356" s="100">
        <v>0</v>
      </c>
      <c r="AP2356" s="100">
        <v>0</v>
      </c>
      <c r="AQ2356" s="100">
        <v>5000</v>
      </c>
      <c r="AR2356" s="100">
        <v>0</v>
      </c>
      <c r="AS2356" s="100">
        <v>15</v>
      </c>
      <c r="AT2356" s="117">
        <v>0</v>
      </c>
      <c r="AU2356" s="327" t="s">
        <v>5547</v>
      </c>
      <c r="AV2356" s="118"/>
      <c r="AW2356" s="110" t="s">
        <v>293</v>
      </c>
      <c r="AX2356" s="100" t="s">
        <v>540</v>
      </c>
      <c r="AY2356" s="107">
        <v>10000007</v>
      </c>
      <c r="AZ2356" s="107">
        <v>77002008</v>
      </c>
      <c r="BA2356" s="110" t="s">
        <v>592</v>
      </c>
      <c r="BB2356" s="100" t="s">
        <v>2431</v>
      </c>
      <c r="BC2356" s="105">
        <v>0</v>
      </c>
      <c r="BD2356" s="105">
        <v>1</v>
      </c>
      <c r="BE2356" s="111" t="s">
        <v>5548</v>
      </c>
      <c r="BF2356" s="111" t="s">
        <v>5549</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0</v>
      </c>
      <c r="BU2356" s="23">
        <v>0</v>
      </c>
      <c r="BV2356" s="23"/>
      <c r="BW2356" s="23"/>
      <c r="BX2356" s="23"/>
      <c r="BY2356" s="23"/>
      <c r="BZ2356" s="23"/>
    </row>
    <row r="2357" spans="1:78" ht="19.5" customHeight="1">
      <c r="C2357" s="107">
        <v>77002015</v>
      </c>
      <c r="D2357" s="110" t="s">
        <v>5479</v>
      </c>
      <c r="E2357" s="110" t="s">
        <v>5480</v>
      </c>
      <c r="F2357" s="100">
        <v>1</v>
      </c>
      <c r="G2357" s="100">
        <v>0</v>
      </c>
      <c r="H2357" s="100">
        <v>0</v>
      </c>
      <c r="I2357" s="105">
        <v>0</v>
      </c>
      <c r="J2357" s="107">
        <v>1</v>
      </c>
      <c r="K2357" s="100">
        <v>0</v>
      </c>
      <c r="L2357" s="100">
        <v>0</v>
      </c>
      <c r="M2357" s="100">
        <v>0</v>
      </c>
      <c r="N2357" s="100">
        <v>0</v>
      </c>
      <c r="O2357" s="100">
        <v>2</v>
      </c>
      <c r="P2357" s="100">
        <v>1</v>
      </c>
      <c r="Q2357" s="100">
        <v>0.1</v>
      </c>
      <c r="R2357" s="100">
        <v>0</v>
      </c>
      <c r="S2357" s="99">
        <v>0</v>
      </c>
      <c r="T2357" s="100">
        <v>0</v>
      </c>
      <c r="U2357" s="100">
        <v>1</v>
      </c>
      <c r="V2357" s="100">
        <v>1</v>
      </c>
      <c r="W2357" s="100">
        <v>0</v>
      </c>
      <c r="X2357" s="100">
        <v>1.2</v>
      </c>
      <c r="Y2357" s="19">
        <v>0</v>
      </c>
      <c r="Z2357" s="100">
        <v>0</v>
      </c>
      <c r="AA2357" s="100">
        <v>1</v>
      </c>
      <c r="AB2357" s="100">
        <v>0</v>
      </c>
      <c r="AC2357" s="100">
        <v>0</v>
      </c>
      <c r="AD2357" s="100">
        <v>0</v>
      </c>
      <c r="AE2357" s="100">
        <v>1</v>
      </c>
      <c r="AF2357" s="100">
        <v>0</v>
      </c>
      <c r="AG2357" s="100">
        <v>1</v>
      </c>
      <c r="AH2357" s="100">
        <v>3</v>
      </c>
      <c r="AI2357" s="99">
        <v>0</v>
      </c>
      <c r="AJ2357" s="99">
        <v>1</v>
      </c>
      <c r="AK2357" s="99">
        <v>0</v>
      </c>
      <c r="AL2357" s="99">
        <v>2</v>
      </c>
      <c r="AM2357" s="100">
        <v>0</v>
      </c>
      <c r="AN2357" s="100">
        <v>0</v>
      </c>
      <c r="AO2357" s="100">
        <v>0</v>
      </c>
      <c r="AP2357" s="100">
        <v>0.5</v>
      </c>
      <c r="AQ2357" s="100">
        <v>600</v>
      </c>
      <c r="AR2357" s="100">
        <v>0.5</v>
      </c>
      <c r="AS2357" s="100">
        <v>0</v>
      </c>
      <c r="AT2357" s="99">
        <v>0</v>
      </c>
      <c r="AU2357" s="100">
        <v>97010001</v>
      </c>
      <c r="AV2357" s="100"/>
      <c r="AW2357" s="110" t="s">
        <v>204</v>
      </c>
      <c r="AX2357" s="100" t="s">
        <v>540</v>
      </c>
      <c r="AY2357" s="107">
        <v>10000001</v>
      </c>
      <c r="AZ2357" s="107">
        <v>77002009</v>
      </c>
      <c r="BA2357" s="110" t="s">
        <v>777</v>
      </c>
      <c r="BB2357" s="100">
        <v>0</v>
      </c>
      <c r="BC2357" s="105">
        <v>0</v>
      </c>
      <c r="BD2357" s="105">
        <v>0</v>
      </c>
      <c r="BE2357" s="136" t="s">
        <v>5550</v>
      </c>
      <c r="BF2357" s="136" t="s">
        <v>5551</v>
      </c>
      <c r="BG2357" s="100">
        <v>0</v>
      </c>
      <c r="BH2357" s="100">
        <v>0</v>
      </c>
      <c r="BI2357" s="100">
        <v>0</v>
      </c>
      <c r="BJ2357" s="100">
        <v>0</v>
      </c>
      <c r="BK2357" s="100">
        <v>0</v>
      </c>
      <c r="BL2357" s="100">
        <v>0</v>
      </c>
      <c r="BM2357" s="97">
        <v>0</v>
      </c>
      <c r="BN2357" s="99">
        <v>0</v>
      </c>
      <c r="BO2357" s="99">
        <v>0</v>
      </c>
      <c r="BP2357" s="99">
        <v>0</v>
      </c>
      <c r="BQ2357" s="99">
        <v>0</v>
      </c>
      <c r="BR2357" s="99">
        <v>0</v>
      </c>
      <c r="BS2357" s="99">
        <v>1</v>
      </c>
      <c r="BT2357" s="99">
        <v>0</v>
      </c>
      <c r="BU2357" s="23">
        <v>0</v>
      </c>
      <c r="BV2357" s="23"/>
      <c r="BW2357" s="23"/>
      <c r="BX2357" s="23"/>
      <c r="BY2357" s="23"/>
      <c r="BZ2357" s="23"/>
    </row>
    <row r="2358" spans="1:78" ht="19.5" customHeight="1">
      <c r="C2358" s="107">
        <v>77002016</v>
      </c>
      <c r="D2358" s="110" t="s">
        <v>5552</v>
      </c>
      <c r="E2358" s="110" t="s">
        <v>5553</v>
      </c>
      <c r="F2358" s="107">
        <v>1</v>
      </c>
      <c r="G2358" s="100">
        <v>0</v>
      </c>
      <c r="H2358" s="107">
        <v>0</v>
      </c>
      <c r="I2358" s="105">
        <v>0</v>
      </c>
      <c r="J2358" s="107">
        <v>1</v>
      </c>
      <c r="K2358" s="107">
        <v>0</v>
      </c>
      <c r="L2358" s="107">
        <v>0</v>
      </c>
      <c r="M2358" s="100">
        <v>0</v>
      </c>
      <c r="N2358" s="100">
        <v>0</v>
      </c>
      <c r="O2358" s="100">
        <v>2</v>
      </c>
      <c r="P2358" s="100">
        <v>16</v>
      </c>
      <c r="Q2358" s="100">
        <v>8</v>
      </c>
      <c r="R2358" s="100">
        <v>0</v>
      </c>
      <c r="S2358" s="99">
        <v>0</v>
      </c>
      <c r="T2358" s="100">
        <v>0</v>
      </c>
      <c r="U2358" s="100">
        <v>1</v>
      </c>
      <c r="V2358" s="100">
        <v>2</v>
      </c>
      <c r="W2358" s="100">
        <v>0</v>
      </c>
      <c r="X2358" s="100">
        <v>1</v>
      </c>
      <c r="Y2358" s="19">
        <v>0</v>
      </c>
      <c r="Z2358" s="100">
        <v>0</v>
      </c>
      <c r="AA2358" s="100">
        <v>0</v>
      </c>
      <c r="AB2358" s="100">
        <v>0</v>
      </c>
      <c r="AC2358" s="100">
        <v>0</v>
      </c>
      <c r="AD2358" s="100">
        <v>0</v>
      </c>
      <c r="AE2358" s="100">
        <v>1</v>
      </c>
      <c r="AF2358" s="100">
        <v>0</v>
      </c>
      <c r="AG2358" s="100">
        <v>1</v>
      </c>
      <c r="AH2358" s="100">
        <v>2</v>
      </c>
      <c r="AI2358" s="99">
        <v>0</v>
      </c>
      <c r="AJ2358" s="99">
        <v>2</v>
      </c>
      <c r="AK2358" s="99">
        <v>0</v>
      </c>
      <c r="AL2358" s="99">
        <v>2</v>
      </c>
      <c r="AM2358" s="100">
        <v>0</v>
      </c>
      <c r="AN2358" s="100">
        <v>0</v>
      </c>
      <c r="AO2358" s="100">
        <v>0</v>
      </c>
      <c r="AP2358" s="100">
        <v>0.5</v>
      </c>
      <c r="AQ2358" s="100">
        <v>5000</v>
      </c>
      <c r="AR2358" s="100">
        <v>0.5</v>
      </c>
      <c r="AS2358" s="100">
        <v>15</v>
      </c>
      <c r="AT2358" s="117">
        <v>0</v>
      </c>
      <c r="AU2358" s="327" t="s">
        <v>5554</v>
      </c>
      <c r="AV2358" s="118"/>
      <c r="AW2358" s="110" t="s">
        <v>293</v>
      </c>
      <c r="AX2358" s="100" t="s">
        <v>540</v>
      </c>
      <c r="AY2358" s="107">
        <v>10000007</v>
      </c>
      <c r="AZ2358" s="107">
        <v>77002008</v>
      </c>
      <c r="BA2358" s="110" t="s">
        <v>592</v>
      </c>
      <c r="BB2358" s="100" t="s">
        <v>2431</v>
      </c>
      <c r="BC2358" s="105">
        <v>0</v>
      </c>
      <c r="BD2358" s="105">
        <v>1</v>
      </c>
      <c r="BE2358" s="111" t="s">
        <v>5555</v>
      </c>
      <c r="BF2358" s="111" t="s">
        <v>5556</v>
      </c>
      <c r="BG2358" s="100">
        <v>0</v>
      </c>
      <c r="BH2358" s="100">
        <v>0</v>
      </c>
      <c r="BI2358" s="100">
        <v>0</v>
      </c>
      <c r="BJ2358" s="100">
        <v>0</v>
      </c>
      <c r="BK2358" s="100">
        <v>0</v>
      </c>
      <c r="BL2358" s="100">
        <v>0</v>
      </c>
      <c r="BM2358" s="97">
        <v>0</v>
      </c>
      <c r="BN2358" s="99">
        <v>0</v>
      </c>
      <c r="BO2358" s="99">
        <v>0</v>
      </c>
      <c r="BP2358" s="99">
        <v>0</v>
      </c>
      <c r="BQ2358" s="99">
        <v>0</v>
      </c>
      <c r="BR2358" s="99">
        <v>0</v>
      </c>
      <c r="BS2358" s="99">
        <v>0</v>
      </c>
      <c r="BT2358" s="99">
        <v>0</v>
      </c>
      <c r="BU2358" s="23">
        <v>0</v>
      </c>
      <c r="BV2358" s="23"/>
      <c r="BW2358" s="23"/>
      <c r="BX2358" s="23"/>
      <c r="BY2358" s="23"/>
      <c r="BZ2358" s="23"/>
    </row>
    <row r="2359" spans="1:78" ht="19.5" customHeight="1">
      <c r="C2359" s="107">
        <v>77002017</v>
      </c>
      <c r="D2359" s="110" t="s">
        <v>5479</v>
      </c>
      <c r="E2359" s="110" t="s">
        <v>5480</v>
      </c>
      <c r="F2359" s="100">
        <v>1</v>
      </c>
      <c r="G2359" s="100">
        <v>0</v>
      </c>
      <c r="H2359" s="100">
        <v>0</v>
      </c>
      <c r="I2359" s="105">
        <v>0</v>
      </c>
      <c r="J2359" s="107">
        <v>1</v>
      </c>
      <c r="K2359" s="100">
        <v>0</v>
      </c>
      <c r="L2359" s="100">
        <v>0</v>
      </c>
      <c r="M2359" s="100">
        <v>0</v>
      </c>
      <c r="N2359" s="100">
        <v>0</v>
      </c>
      <c r="O2359" s="100">
        <v>2</v>
      </c>
      <c r="P2359" s="100">
        <v>1</v>
      </c>
      <c r="Q2359" s="100">
        <v>0.1</v>
      </c>
      <c r="R2359" s="100">
        <v>0</v>
      </c>
      <c r="S2359" s="99">
        <v>0</v>
      </c>
      <c r="T2359" s="100">
        <v>0</v>
      </c>
      <c r="U2359" s="100">
        <v>1</v>
      </c>
      <c r="V2359" s="100">
        <v>1</v>
      </c>
      <c r="W2359" s="100">
        <v>0</v>
      </c>
      <c r="X2359" s="100">
        <v>1.2</v>
      </c>
      <c r="Y2359" s="19">
        <v>0</v>
      </c>
      <c r="Z2359" s="100">
        <v>0</v>
      </c>
      <c r="AA2359" s="100">
        <v>1</v>
      </c>
      <c r="AB2359" s="100">
        <v>0</v>
      </c>
      <c r="AC2359" s="100">
        <v>0</v>
      </c>
      <c r="AD2359" s="100">
        <v>0</v>
      </c>
      <c r="AE2359" s="100">
        <v>1</v>
      </c>
      <c r="AF2359" s="100">
        <v>0</v>
      </c>
      <c r="AG2359" s="100">
        <v>1</v>
      </c>
      <c r="AH2359" s="100">
        <v>3</v>
      </c>
      <c r="AI2359" s="99">
        <v>0</v>
      </c>
      <c r="AJ2359" s="99">
        <v>1</v>
      </c>
      <c r="AK2359" s="99">
        <v>0</v>
      </c>
      <c r="AL2359" s="99">
        <v>2</v>
      </c>
      <c r="AM2359" s="100">
        <v>0</v>
      </c>
      <c r="AN2359" s="100">
        <v>0</v>
      </c>
      <c r="AO2359" s="100">
        <v>0</v>
      </c>
      <c r="AP2359" s="100">
        <v>0.5</v>
      </c>
      <c r="AQ2359" s="100">
        <v>600</v>
      </c>
      <c r="AR2359" s="100">
        <v>0.5</v>
      </c>
      <c r="AS2359" s="100">
        <v>0</v>
      </c>
      <c r="AT2359" s="99">
        <v>0</v>
      </c>
      <c r="AU2359" s="100">
        <v>97010002</v>
      </c>
      <c r="AV2359" s="100"/>
      <c r="AW2359" s="110" t="s">
        <v>204</v>
      </c>
      <c r="AX2359" s="100" t="s">
        <v>540</v>
      </c>
      <c r="AY2359" s="107">
        <v>10000001</v>
      </c>
      <c r="AZ2359" s="107">
        <v>77002009</v>
      </c>
      <c r="BA2359" s="110" t="s">
        <v>777</v>
      </c>
      <c r="BB2359" s="100">
        <v>0</v>
      </c>
      <c r="BC2359" s="105">
        <v>0</v>
      </c>
      <c r="BD2359" s="105">
        <v>0</v>
      </c>
      <c r="BE2359" s="136" t="s">
        <v>5550</v>
      </c>
      <c r="BF2359" s="136" t="s">
        <v>5551</v>
      </c>
      <c r="BG2359" s="100">
        <v>0</v>
      </c>
      <c r="BH2359" s="100">
        <v>0</v>
      </c>
      <c r="BI2359" s="100">
        <v>0</v>
      </c>
      <c r="BJ2359" s="100">
        <v>0</v>
      </c>
      <c r="BK2359" s="100">
        <v>0</v>
      </c>
      <c r="BL2359" s="100">
        <v>0</v>
      </c>
      <c r="BM2359" s="97">
        <v>0</v>
      </c>
      <c r="BN2359" s="99">
        <v>0</v>
      </c>
      <c r="BO2359" s="99">
        <v>0</v>
      </c>
      <c r="BP2359" s="99">
        <v>0</v>
      </c>
      <c r="BQ2359" s="99">
        <v>0</v>
      </c>
      <c r="BR2359" s="99">
        <v>0</v>
      </c>
      <c r="BS2359" s="99">
        <v>1</v>
      </c>
      <c r="BT2359" s="99">
        <v>0</v>
      </c>
      <c r="BU2359" s="23">
        <v>0</v>
      </c>
      <c r="BV2359" s="23"/>
      <c r="BW2359" s="23"/>
      <c r="BX2359" s="23"/>
      <c r="BY2359" s="23"/>
      <c r="BZ2359" s="23"/>
    </row>
    <row r="2360" spans="1:78" ht="20.100000000000001" customHeight="1">
      <c r="A2360" s="140"/>
      <c r="B2360" s="140"/>
      <c r="C2360" s="107">
        <v>77002018</v>
      </c>
      <c r="D2360" s="110" t="s">
        <v>5557</v>
      </c>
      <c r="E2360" s="303" t="s">
        <v>5558</v>
      </c>
      <c r="F2360" s="97">
        <v>1</v>
      </c>
      <c r="G2360" s="97">
        <v>0</v>
      </c>
      <c r="H2360" s="100">
        <v>0</v>
      </c>
      <c r="I2360" s="105">
        <v>0</v>
      </c>
      <c r="J2360" s="107">
        <v>1</v>
      </c>
      <c r="K2360" s="107">
        <v>0</v>
      </c>
      <c r="L2360" s="107">
        <v>0</v>
      </c>
      <c r="M2360" s="100">
        <v>0</v>
      </c>
      <c r="N2360" s="100">
        <v>0</v>
      </c>
      <c r="O2360" s="100">
        <v>2</v>
      </c>
      <c r="P2360" s="100">
        <v>2</v>
      </c>
      <c r="Q2360" s="100">
        <v>0.4</v>
      </c>
      <c r="R2360" s="100">
        <v>0</v>
      </c>
      <c r="S2360" s="99">
        <v>0</v>
      </c>
      <c r="T2360" s="100">
        <v>0</v>
      </c>
      <c r="U2360" s="100">
        <v>1</v>
      </c>
      <c r="V2360" s="97">
        <v>1</v>
      </c>
      <c r="W2360" s="100">
        <v>0</v>
      </c>
      <c r="X2360" s="100">
        <v>2</v>
      </c>
      <c r="Y2360" s="19">
        <v>0</v>
      </c>
      <c r="Z2360" s="100">
        <v>0</v>
      </c>
      <c r="AA2360" s="100">
        <v>1</v>
      </c>
      <c r="AB2360" s="100">
        <v>0</v>
      </c>
      <c r="AC2360" s="100">
        <v>0</v>
      </c>
      <c r="AD2360" s="100">
        <v>0</v>
      </c>
      <c r="AE2360" s="100">
        <v>1</v>
      </c>
      <c r="AF2360" s="100">
        <v>20</v>
      </c>
      <c r="AG2360" s="100">
        <v>1</v>
      </c>
      <c r="AH2360" s="100">
        <v>6</v>
      </c>
      <c r="AI2360" s="99">
        <v>0</v>
      </c>
      <c r="AJ2360" s="99">
        <v>1</v>
      </c>
      <c r="AK2360" s="99">
        <v>0</v>
      </c>
      <c r="AL2360" s="99">
        <v>3</v>
      </c>
      <c r="AM2360" s="100">
        <v>0</v>
      </c>
      <c r="AN2360" s="100">
        <v>1</v>
      </c>
      <c r="AO2360" s="100">
        <v>0</v>
      </c>
      <c r="AP2360" s="100">
        <v>1</v>
      </c>
      <c r="AQ2360" s="100">
        <v>1100</v>
      </c>
      <c r="AR2360" s="100">
        <v>1</v>
      </c>
      <c r="AS2360" s="100">
        <v>0</v>
      </c>
      <c r="AT2360" s="99">
        <v>0</v>
      </c>
      <c r="AU2360" s="327" t="s">
        <v>5497</v>
      </c>
      <c r="AV2360" s="118"/>
      <c r="AW2360" s="110" t="s">
        <v>262</v>
      </c>
      <c r="AX2360" s="100" t="s">
        <v>221</v>
      </c>
      <c r="AY2360" s="107">
        <v>10000011</v>
      </c>
      <c r="AZ2360" s="325" t="s">
        <v>5512</v>
      </c>
      <c r="BA2360" s="104" t="s">
        <v>206</v>
      </c>
      <c r="BB2360" s="100">
        <v>0</v>
      </c>
      <c r="BC2360" s="105">
        <v>0</v>
      </c>
      <c r="BD2360" s="105">
        <v>0</v>
      </c>
      <c r="BE2360" s="111" t="s">
        <v>5559</v>
      </c>
      <c r="BF2360" s="111" t="s">
        <v>5560</v>
      </c>
      <c r="BG2360" s="100">
        <v>0</v>
      </c>
      <c r="BH2360" s="100">
        <v>0</v>
      </c>
      <c r="BI2360" s="100">
        <v>0</v>
      </c>
      <c r="BJ2360" s="100">
        <v>0</v>
      </c>
      <c r="BK2360" s="100">
        <v>0</v>
      </c>
      <c r="BL2360" s="100">
        <v>0</v>
      </c>
      <c r="BM2360" s="97">
        <v>0</v>
      </c>
      <c r="BN2360" s="99">
        <v>0</v>
      </c>
      <c r="BO2360" s="99">
        <v>0</v>
      </c>
      <c r="BP2360" s="99">
        <v>0</v>
      </c>
      <c r="BQ2360" s="99">
        <v>0</v>
      </c>
      <c r="BR2360" s="99">
        <v>0</v>
      </c>
      <c r="BS2360" s="99">
        <v>0</v>
      </c>
      <c r="BT2360" s="99">
        <v>77002019</v>
      </c>
      <c r="BU2360" s="23">
        <v>0</v>
      </c>
      <c r="BV2360" s="23"/>
      <c r="BW2360" s="23"/>
      <c r="BX2360" s="23"/>
      <c r="BY2360" s="23"/>
      <c r="BZ2360" s="23"/>
    </row>
    <row r="2361" spans="1:78" ht="19.5" customHeight="1">
      <c r="A2361" s="140"/>
      <c r="B2361" s="140"/>
      <c r="C2361" s="107">
        <v>77002019</v>
      </c>
      <c r="D2361" s="110" t="s">
        <v>2429</v>
      </c>
      <c r="E2361" s="110" t="s">
        <v>2430</v>
      </c>
      <c r="F2361" s="107">
        <v>1</v>
      </c>
      <c r="G2361" s="100">
        <v>0</v>
      </c>
      <c r="H2361" s="107">
        <v>0</v>
      </c>
      <c r="I2361" s="105">
        <v>0</v>
      </c>
      <c r="J2361" s="107">
        <v>1</v>
      </c>
      <c r="K2361" s="107">
        <v>0</v>
      </c>
      <c r="L2361" s="107">
        <v>0</v>
      </c>
      <c r="M2361" s="100">
        <v>0</v>
      </c>
      <c r="N2361" s="100">
        <v>0</v>
      </c>
      <c r="O2361" s="100">
        <v>2</v>
      </c>
      <c r="P2361" s="100">
        <v>16</v>
      </c>
      <c r="Q2361" s="100">
        <v>5</v>
      </c>
      <c r="R2361" s="100">
        <v>0</v>
      </c>
      <c r="S2361" s="99">
        <v>0</v>
      </c>
      <c r="T2361" s="100">
        <v>0</v>
      </c>
      <c r="U2361" s="100">
        <v>1</v>
      </c>
      <c r="V2361" s="100">
        <v>2</v>
      </c>
      <c r="W2361" s="100">
        <v>0</v>
      </c>
      <c r="X2361" s="100">
        <v>1</v>
      </c>
      <c r="Y2361" s="19">
        <v>0</v>
      </c>
      <c r="Z2361" s="100">
        <v>0</v>
      </c>
      <c r="AA2361" s="100">
        <v>0</v>
      </c>
      <c r="AB2361" s="100">
        <v>0</v>
      </c>
      <c r="AC2361" s="100">
        <v>0</v>
      </c>
      <c r="AD2361" s="100">
        <v>0</v>
      </c>
      <c r="AE2361" s="100">
        <v>1</v>
      </c>
      <c r="AF2361" s="100">
        <v>0</v>
      </c>
      <c r="AG2361" s="100">
        <v>1</v>
      </c>
      <c r="AH2361" s="100">
        <v>2</v>
      </c>
      <c r="AI2361" s="99">
        <v>0</v>
      </c>
      <c r="AJ2361" s="99">
        <v>2</v>
      </c>
      <c r="AK2361" s="99">
        <v>0</v>
      </c>
      <c r="AL2361" s="99">
        <v>2</v>
      </c>
      <c r="AM2361" s="100">
        <v>0</v>
      </c>
      <c r="AN2361" s="100">
        <v>0</v>
      </c>
      <c r="AO2361" s="100">
        <v>0</v>
      </c>
      <c r="AP2361" s="100">
        <v>0.3</v>
      </c>
      <c r="AQ2361" s="100">
        <v>5000</v>
      </c>
      <c r="AR2361" s="100">
        <v>0.3</v>
      </c>
      <c r="AS2361" s="100">
        <v>15</v>
      </c>
      <c r="AT2361" s="326" t="s">
        <v>5561</v>
      </c>
      <c r="AU2361" s="327" t="s">
        <v>5538</v>
      </c>
      <c r="AV2361" s="118"/>
      <c r="AW2361" s="110" t="s">
        <v>262</v>
      </c>
      <c r="AX2361" s="100" t="s">
        <v>540</v>
      </c>
      <c r="AY2361" s="107">
        <v>10000007</v>
      </c>
      <c r="AZ2361" s="107">
        <v>77002008</v>
      </c>
      <c r="BA2361" s="110" t="s">
        <v>592</v>
      </c>
      <c r="BB2361" s="100" t="s">
        <v>2431</v>
      </c>
      <c r="BC2361" s="105">
        <v>0</v>
      </c>
      <c r="BD2361" s="105">
        <v>1</v>
      </c>
      <c r="BE2361" s="111" t="s">
        <v>1312</v>
      </c>
      <c r="BF2361" s="111" t="s">
        <v>1313</v>
      </c>
      <c r="BG2361" s="100">
        <v>0</v>
      </c>
      <c r="BH2361" s="100">
        <v>0</v>
      </c>
      <c r="BI2361" s="100">
        <v>0</v>
      </c>
      <c r="BJ2361" s="100">
        <v>0</v>
      </c>
      <c r="BK2361" s="100">
        <v>0</v>
      </c>
      <c r="BL2361" s="100">
        <v>0</v>
      </c>
      <c r="BM2361" s="97">
        <v>0</v>
      </c>
      <c r="BN2361" s="99">
        <v>0</v>
      </c>
      <c r="BO2361" s="99">
        <v>0</v>
      </c>
      <c r="BP2361" s="99">
        <v>0</v>
      </c>
      <c r="BQ2361" s="99">
        <v>0</v>
      </c>
      <c r="BR2361" s="99">
        <v>0</v>
      </c>
      <c r="BS2361" s="99">
        <v>0</v>
      </c>
      <c r="BT2361" s="99">
        <v>0</v>
      </c>
      <c r="BU2361" s="23">
        <v>0</v>
      </c>
      <c r="BV2361" s="23"/>
      <c r="BW2361" s="23"/>
      <c r="BX2361" s="23"/>
      <c r="BY2361" s="23"/>
      <c r="BZ2361" s="23"/>
    </row>
    <row r="2362" spans="1:78" ht="19.5" customHeight="1">
      <c r="A2362" s="140"/>
      <c r="B2362" s="140"/>
      <c r="C2362" s="107">
        <v>77002020</v>
      </c>
      <c r="D2362" s="110" t="s">
        <v>5479</v>
      </c>
      <c r="E2362" s="110" t="s">
        <v>5480</v>
      </c>
      <c r="F2362" s="100">
        <v>1</v>
      </c>
      <c r="G2362" s="100">
        <v>0</v>
      </c>
      <c r="H2362" s="100">
        <v>0</v>
      </c>
      <c r="I2362" s="105">
        <v>0</v>
      </c>
      <c r="J2362" s="107">
        <v>1</v>
      </c>
      <c r="K2362" s="100">
        <v>0</v>
      </c>
      <c r="L2362" s="100">
        <v>0</v>
      </c>
      <c r="M2362" s="100">
        <v>0</v>
      </c>
      <c r="N2362" s="100">
        <v>0</v>
      </c>
      <c r="O2362" s="100">
        <v>2</v>
      </c>
      <c r="P2362" s="100">
        <v>1</v>
      </c>
      <c r="Q2362" s="100">
        <v>0.1</v>
      </c>
      <c r="R2362" s="100">
        <v>0</v>
      </c>
      <c r="S2362" s="99">
        <v>0</v>
      </c>
      <c r="T2362" s="100">
        <v>0</v>
      </c>
      <c r="U2362" s="100">
        <v>1</v>
      </c>
      <c r="V2362" s="100">
        <v>1</v>
      </c>
      <c r="W2362" s="100">
        <v>0</v>
      </c>
      <c r="X2362" s="100">
        <v>0.8</v>
      </c>
      <c r="Y2362" s="19">
        <v>0</v>
      </c>
      <c r="Z2362" s="100">
        <v>0</v>
      </c>
      <c r="AA2362" s="100">
        <v>1</v>
      </c>
      <c r="AB2362" s="100">
        <v>0</v>
      </c>
      <c r="AC2362" s="100">
        <v>0</v>
      </c>
      <c r="AD2362" s="100">
        <v>0</v>
      </c>
      <c r="AE2362" s="100">
        <v>1</v>
      </c>
      <c r="AF2362" s="100">
        <v>0</v>
      </c>
      <c r="AG2362" s="100">
        <v>1</v>
      </c>
      <c r="AH2362" s="100">
        <v>3</v>
      </c>
      <c r="AI2362" s="99">
        <v>0</v>
      </c>
      <c r="AJ2362" s="99">
        <v>1</v>
      </c>
      <c r="AK2362" s="99">
        <v>0</v>
      </c>
      <c r="AL2362" s="99">
        <v>2</v>
      </c>
      <c r="AM2362" s="100">
        <v>0</v>
      </c>
      <c r="AN2362" s="100">
        <v>0</v>
      </c>
      <c r="AO2362" s="100">
        <v>0</v>
      </c>
      <c r="AP2362" s="100">
        <v>0.5</v>
      </c>
      <c r="AQ2362" s="100">
        <v>600</v>
      </c>
      <c r="AR2362" s="100">
        <v>0.5</v>
      </c>
      <c r="AS2362" s="100">
        <v>0</v>
      </c>
      <c r="AT2362" s="99">
        <v>0</v>
      </c>
      <c r="AU2362" s="327" t="s">
        <v>5497</v>
      </c>
      <c r="AV2362" s="118"/>
      <c r="AW2362" s="110" t="s">
        <v>204</v>
      </c>
      <c r="AX2362" s="100" t="s">
        <v>540</v>
      </c>
      <c r="AY2362" s="107">
        <v>10000001</v>
      </c>
      <c r="AZ2362" s="107">
        <v>77002009</v>
      </c>
      <c r="BA2362" s="110" t="s">
        <v>777</v>
      </c>
      <c r="BB2362" s="100">
        <v>0</v>
      </c>
      <c r="BC2362" s="105">
        <v>0</v>
      </c>
      <c r="BD2362" s="105">
        <v>0</v>
      </c>
      <c r="BE2362" s="136" t="s">
        <v>5481</v>
      </c>
      <c r="BF2362" s="136" t="s">
        <v>5482</v>
      </c>
      <c r="BG2362" s="100">
        <v>0</v>
      </c>
      <c r="BH2362" s="100">
        <v>0</v>
      </c>
      <c r="BI2362" s="100">
        <v>0</v>
      </c>
      <c r="BJ2362" s="100">
        <v>0</v>
      </c>
      <c r="BK2362" s="100">
        <v>0</v>
      </c>
      <c r="BL2362" s="100">
        <v>0</v>
      </c>
      <c r="BM2362" s="97">
        <v>0</v>
      </c>
      <c r="BN2362" s="99">
        <v>0</v>
      </c>
      <c r="BO2362" s="99">
        <v>0</v>
      </c>
      <c r="BP2362" s="99">
        <v>0</v>
      </c>
      <c r="BQ2362" s="99">
        <v>0</v>
      </c>
      <c r="BR2362" s="99">
        <v>0</v>
      </c>
      <c r="BS2362" s="99">
        <v>1</v>
      </c>
      <c r="BT2362" s="99">
        <v>77002021</v>
      </c>
      <c r="BU2362" s="23">
        <v>0</v>
      </c>
      <c r="BV2362" s="23"/>
      <c r="BW2362" s="23"/>
      <c r="BX2362" s="23"/>
      <c r="BY2362" s="23"/>
      <c r="BZ2362" s="23"/>
    </row>
    <row r="2363" spans="1:78" ht="19.5" customHeight="1">
      <c r="A2363" s="140"/>
      <c r="B2363" s="140"/>
      <c r="C2363" s="107">
        <v>77002021</v>
      </c>
      <c r="D2363" s="110" t="s">
        <v>5562</v>
      </c>
      <c r="E2363" s="110" t="s">
        <v>5563</v>
      </c>
      <c r="F2363" s="107">
        <v>1</v>
      </c>
      <c r="G2363" s="100">
        <v>0</v>
      </c>
      <c r="H2363" s="107">
        <v>0</v>
      </c>
      <c r="I2363" s="105">
        <v>0</v>
      </c>
      <c r="J2363" s="107">
        <v>1</v>
      </c>
      <c r="K2363" s="107">
        <v>0</v>
      </c>
      <c r="L2363" s="107">
        <v>0</v>
      </c>
      <c r="M2363" s="100">
        <v>0</v>
      </c>
      <c r="N2363" s="100">
        <v>0</v>
      </c>
      <c r="O2363" s="100">
        <v>2</v>
      </c>
      <c r="P2363" s="100">
        <v>16</v>
      </c>
      <c r="Q2363" s="100">
        <v>5</v>
      </c>
      <c r="R2363" s="100">
        <v>0</v>
      </c>
      <c r="S2363" s="99">
        <v>0</v>
      </c>
      <c r="T2363" s="100">
        <v>0</v>
      </c>
      <c r="U2363" s="100">
        <v>1</v>
      </c>
      <c r="V2363" s="100">
        <v>2</v>
      </c>
      <c r="W2363" s="100">
        <v>0</v>
      </c>
      <c r="X2363" s="100">
        <v>1</v>
      </c>
      <c r="Y2363" s="19">
        <v>0</v>
      </c>
      <c r="Z2363" s="100">
        <v>0</v>
      </c>
      <c r="AA2363" s="100">
        <v>0</v>
      </c>
      <c r="AB2363" s="100">
        <v>0</v>
      </c>
      <c r="AC2363" s="100">
        <v>0</v>
      </c>
      <c r="AD2363" s="100">
        <v>0</v>
      </c>
      <c r="AE2363" s="100">
        <v>1</v>
      </c>
      <c r="AF2363" s="100">
        <v>0</v>
      </c>
      <c r="AG2363" s="100">
        <v>1</v>
      </c>
      <c r="AH2363" s="100">
        <v>2</v>
      </c>
      <c r="AI2363" s="99">
        <v>0</v>
      </c>
      <c r="AJ2363" s="99">
        <v>2</v>
      </c>
      <c r="AK2363" s="99">
        <v>0</v>
      </c>
      <c r="AL2363" s="99">
        <v>2</v>
      </c>
      <c r="AM2363" s="100">
        <v>0</v>
      </c>
      <c r="AN2363" s="100">
        <v>0</v>
      </c>
      <c r="AO2363" s="100">
        <v>0</v>
      </c>
      <c r="AP2363" s="100">
        <v>2</v>
      </c>
      <c r="AQ2363" s="100">
        <v>5000</v>
      </c>
      <c r="AR2363" s="100">
        <v>0</v>
      </c>
      <c r="AS2363" s="100">
        <v>10</v>
      </c>
      <c r="AT2363" s="117">
        <v>0</v>
      </c>
      <c r="AU2363" s="327" t="s">
        <v>5564</v>
      </c>
      <c r="AV2363" s="118"/>
      <c r="AW2363" s="110" t="s">
        <v>262</v>
      </c>
      <c r="AX2363" s="100" t="s">
        <v>540</v>
      </c>
      <c r="AY2363" s="107">
        <v>10000007</v>
      </c>
      <c r="AZ2363" s="107">
        <v>77002008</v>
      </c>
      <c r="BA2363" s="110" t="s">
        <v>592</v>
      </c>
      <c r="BB2363" s="100" t="s">
        <v>5565</v>
      </c>
      <c r="BC2363" s="105">
        <v>0</v>
      </c>
      <c r="BD2363" s="105">
        <v>1</v>
      </c>
      <c r="BE2363" s="111" t="s">
        <v>1312</v>
      </c>
      <c r="BF2363" s="111" t="s">
        <v>1313</v>
      </c>
      <c r="BG2363" s="100">
        <v>0</v>
      </c>
      <c r="BH2363" s="100">
        <v>0</v>
      </c>
      <c r="BI2363" s="100">
        <v>0</v>
      </c>
      <c r="BJ2363" s="100">
        <v>0</v>
      </c>
      <c r="BK2363" s="100">
        <v>0</v>
      </c>
      <c r="BL2363" s="100">
        <v>0</v>
      </c>
      <c r="BM2363" s="97">
        <v>0</v>
      </c>
      <c r="BN2363" s="99">
        <v>0</v>
      </c>
      <c r="BO2363" s="99">
        <v>0</v>
      </c>
      <c r="BP2363" s="99">
        <v>0</v>
      </c>
      <c r="BQ2363" s="99">
        <v>0</v>
      </c>
      <c r="BR2363" s="99">
        <v>0</v>
      </c>
      <c r="BS2363" s="99">
        <v>0</v>
      </c>
      <c r="BT2363" s="99">
        <v>0</v>
      </c>
      <c r="BU2363" s="23">
        <v>0</v>
      </c>
      <c r="BV2363" s="23"/>
      <c r="BW2363" s="23"/>
      <c r="BX2363" s="23"/>
      <c r="BY2363" s="23"/>
      <c r="BZ2363" s="23"/>
    </row>
    <row r="2364" spans="1:78" ht="19.5" customHeight="1">
      <c r="A2364" s="140"/>
      <c r="B2364" s="140"/>
      <c r="C2364" s="107">
        <v>77002022</v>
      </c>
      <c r="D2364" s="110" t="s">
        <v>5479</v>
      </c>
      <c r="E2364" s="110" t="s">
        <v>5480</v>
      </c>
      <c r="F2364" s="100">
        <v>1</v>
      </c>
      <c r="G2364" s="100">
        <v>0</v>
      </c>
      <c r="H2364" s="100">
        <v>0</v>
      </c>
      <c r="I2364" s="105">
        <v>0</v>
      </c>
      <c r="J2364" s="107">
        <v>1</v>
      </c>
      <c r="K2364" s="100">
        <v>0</v>
      </c>
      <c r="L2364" s="100">
        <v>0</v>
      </c>
      <c r="M2364" s="100">
        <v>0</v>
      </c>
      <c r="N2364" s="100">
        <v>0</v>
      </c>
      <c r="O2364" s="100">
        <v>2</v>
      </c>
      <c r="P2364" s="100">
        <v>1</v>
      </c>
      <c r="Q2364" s="100">
        <v>0.1</v>
      </c>
      <c r="R2364" s="100">
        <v>0</v>
      </c>
      <c r="S2364" s="99">
        <v>0</v>
      </c>
      <c r="T2364" s="100">
        <v>0</v>
      </c>
      <c r="U2364" s="100">
        <v>1</v>
      </c>
      <c r="V2364" s="100">
        <v>1</v>
      </c>
      <c r="W2364" s="100">
        <v>0</v>
      </c>
      <c r="X2364" s="100">
        <v>1.2</v>
      </c>
      <c r="Y2364" s="19">
        <v>0</v>
      </c>
      <c r="Z2364" s="100">
        <v>0</v>
      </c>
      <c r="AA2364" s="100">
        <v>1</v>
      </c>
      <c r="AB2364" s="100">
        <v>0</v>
      </c>
      <c r="AC2364" s="100">
        <v>0</v>
      </c>
      <c r="AD2364" s="100">
        <v>0</v>
      </c>
      <c r="AE2364" s="100">
        <v>1</v>
      </c>
      <c r="AF2364" s="100">
        <v>0</v>
      </c>
      <c r="AG2364" s="100">
        <v>1</v>
      </c>
      <c r="AH2364" s="100">
        <v>3</v>
      </c>
      <c r="AI2364" s="99">
        <v>0</v>
      </c>
      <c r="AJ2364" s="99">
        <v>1</v>
      </c>
      <c r="AK2364" s="99">
        <v>0</v>
      </c>
      <c r="AL2364" s="99">
        <v>2</v>
      </c>
      <c r="AM2364" s="100">
        <v>0</v>
      </c>
      <c r="AN2364" s="100">
        <v>0</v>
      </c>
      <c r="AO2364" s="100">
        <v>0</v>
      </c>
      <c r="AP2364" s="100">
        <v>0.5</v>
      </c>
      <c r="AQ2364" s="100">
        <v>600</v>
      </c>
      <c r="AR2364" s="100">
        <v>0.5</v>
      </c>
      <c r="AS2364" s="100">
        <v>0</v>
      </c>
      <c r="AT2364" s="99">
        <v>0</v>
      </c>
      <c r="AU2364" s="327" t="s">
        <v>5538</v>
      </c>
      <c r="AV2364" s="118"/>
      <c r="AW2364" s="110" t="s">
        <v>204</v>
      </c>
      <c r="AX2364" s="100" t="s">
        <v>540</v>
      </c>
      <c r="AY2364" s="107">
        <v>10000001</v>
      </c>
      <c r="AZ2364" s="107">
        <v>77002009</v>
      </c>
      <c r="BA2364" s="110" t="s">
        <v>777</v>
      </c>
      <c r="BB2364" s="100">
        <v>0</v>
      </c>
      <c r="BC2364" s="105">
        <v>0</v>
      </c>
      <c r="BD2364" s="105">
        <v>0</v>
      </c>
      <c r="BE2364" s="136" t="s">
        <v>5481</v>
      </c>
      <c r="BF2364" s="136" t="s">
        <v>5482</v>
      </c>
      <c r="BG2364" s="100">
        <v>0</v>
      </c>
      <c r="BH2364" s="100">
        <v>0</v>
      </c>
      <c r="BI2364" s="100">
        <v>0</v>
      </c>
      <c r="BJ2364" s="100">
        <v>0</v>
      </c>
      <c r="BK2364" s="100">
        <v>0</v>
      </c>
      <c r="BL2364" s="100">
        <v>0</v>
      </c>
      <c r="BM2364" s="97">
        <v>0</v>
      </c>
      <c r="BN2364" s="99">
        <v>0</v>
      </c>
      <c r="BO2364" s="99">
        <v>0</v>
      </c>
      <c r="BP2364" s="99">
        <v>0</v>
      </c>
      <c r="BQ2364" s="99">
        <v>0</v>
      </c>
      <c r="BR2364" s="99">
        <v>0</v>
      </c>
      <c r="BS2364" s="99">
        <v>1</v>
      </c>
      <c r="BT2364" s="99">
        <v>77002019</v>
      </c>
      <c r="BU2364" s="23">
        <v>0</v>
      </c>
      <c r="BV2364" s="23"/>
      <c r="BW2364" s="23"/>
      <c r="BX2364" s="23"/>
      <c r="BY2364" s="23"/>
      <c r="BZ2364" s="23"/>
    </row>
    <row r="2365" spans="1:78" ht="19.5" customHeight="1">
      <c r="A2365" s="140"/>
      <c r="B2365" s="140"/>
      <c r="C2365" s="74">
        <v>77005001</v>
      </c>
      <c r="D2365" s="71" t="s">
        <v>5566</v>
      </c>
      <c r="E2365" s="71" t="s">
        <v>5567</v>
      </c>
      <c r="F2365" s="72">
        <v>1</v>
      </c>
      <c r="G2365" s="72">
        <v>63021101</v>
      </c>
      <c r="H2365" s="72">
        <v>0</v>
      </c>
      <c r="I2365" s="75">
        <v>0</v>
      </c>
      <c r="J2365" s="74">
        <v>1</v>
      </c>
      <c r="K2365" s="72">
        <v>0</v>
      </c>
      <c r="L2365" s="72">
        <v>0</v>
      </c>
      <c r="M2365" s="72">
        <v>0</v>
      </c>
      <c r="N2365" s="72">
        <v>0</v>
      </c>
      <c r="O2365" s="72">
        <v>1</v>
      </c>
      <c r="P2365" s="72">
        <v>0</v>
      </c>
      <c r="Q2365" s="72">
        <v>0</v>
      </c>
      <c r="R2365" s="72">
        <v>0</v>
      </c>
      <c r="S2365" s="73">
        <v>0</v>
      </c>
      <c r="T2365" s="72">
        <v>0</v>
      </c>
      <c r="U2365" s="72">
        <v>1</v>
      </c>
      <c r="V2365" s="72">
        <v>1</v>
      </c>
      <c r="W2365" s="72">
        <v>0</v>
      </c>
      <c r="X2365" s="72">
        <v>1.5</v>
      </c>
      <c r="Y2365" s="19">
        <v>0</v>
      </c>
      <c r="Z2365" s="72">
        <v>0</v>
      </c>
      <c r="AA2365" s="72">
        <v>0</v>
      </c>
      <c r="AB2365" s="72">
        <v>0</v>
      </c>
      <c r="AC2365" s="72">
        <v>0</v>
      </c>
      <c r="AD2365" s="72">
        <v>0</v>
      </c>
      <c r="AE2365" s="72">
        <v>0</v>
      </c>
      <c r="AF2365" s="72">
        <v>6</v>
      </c>
      <c r="AG2365" s="72">
        <v>3</v>
      </c>
      <c r="AH2365" s="93">
        <v>4120</v>
      </c>
      <c r="AI2365" s="73">
        <v>2</v>
      </c>
      <c r="AJ2365" s="73">
        <v>3</v>
      </c>
      <c r="AK2365" s="73">
        <v>0</v>
      </c>
      <c r="AL2365" s="73">
        <v>1.5</v>
      </c>
      <c r="AM2365" s="72">
        <v>0</v>
      </c>
      <c r="AN2365" s="72">
        <v>0</v>
      </c>
      <c r="AO2365" s="72">
        <v>0</v>
      </c>
      <c r="AP2365" s="72">
        <v>0.2</v>
      </c>
      <c r="AQ2365" s="72">
        <v>1000</v>
      </c>
      <c r="AR2365" s="72">
        <v>0.2</v>
      </c>
      <c r="AS2365" s="72">
        <v>0</v>
      </c>
      <c r="AT2365" s="73">
        <v>0</v>
      </c>
      <c r="AU2365" s="344" t="s">
        <v>5568</v>
      </c>
      <c r="AV2365" s="72"/>
      <c r="AW2365" s="71" t="s">
        <v>204</v>
      </c>
      <c r="AX2365" s="72" t="s">
        <v>540</v>
      </c>
      <c r="AY2365" s="74">
        <v>10000001</v>
      </c>
      <c r="AZ2365" s="74">
        <v>77005001</v>
      </c>
      <c r="BA2365" s="71" t="s">
        <v>206</v>
      </c>
      <c r="BB2365" s="72">
        <v>0</v>
      </c>
      <c r="BC2365" s="73">
        <v>0</v>
      </c>
      <c r="BD2365" s="73">
        <v>0</v>
      </c>
      <c r="BE2365" s="114" t="s">
        <v>5569</v>
      </c>
      <c r="BF2365" s="114" t="s">
        <v>5570</v>
      </c>
      <c r="BG2365" s="72">
        <v>0</v>
      </c>
      <c r="BH2365" s="72">
        <v>0</v>
      </c>
      <c r="BI2365" s="72">
        <v>0</v>
      </c>
      <c r="BJ2365" s="72">
        <v>0</v>
      </c>
      <c r="BK2365" s="72">
        <v>0</v>
      </c>
      <c r="BL2365" s="72">
        <v>0</v>
      </c>
      <c r="BM2365" s="90">
        <v>0</v>
      </c>
      <c r="BN2365" s="73">
        <v>0</v>
      </c>
      <c r="BO2365" s="73">
        <v>0</v>
      </c>
      <c r="BP2365" s="73">
        <v>0</v>
      </c>
      <c r="BQ2365" s="73">
        <v>0</v>
      </c>
      <c r="BR2365" s="73">
        <v>0</v>
      </c>
      <c r="BS2365" s="73">
        <v>0</v>
      </c>
      <c r="BT2365" s="73">
        <v>0</v>
      </c>
      <c r="BU2365" s="23">
        <v>0</v>
      </c>
      <c r="BV2365" s="23"/>
      <c r="BW2365" s="23"/>
      <c r="BX2365" s="23"/>
      <c r="BY2365" s="23"/>
      <c r="BZ2365" s="23"/>
    </row>
    <row r="2366" spans="1:78" ht="19.5" customHeight="1">
      <c r="A2366" s="140"/>
      <c r="B2366" s="140"/>
      <c r="C2366" s="74">
        <v>77005002</v>
      </c>
      <c r="D2366" s="71" t="s">
        <v>2294</v>
      </c>
      <c r="E2366" s="160" t="s">
        <v>2295</v>
      </c>
      <c r="F2366" s="90">
        <v>1</v>
      </c>
      <c r="G2366" s="72">
        <v>63021101</v>
      </c>
      <c r="H2366" s="74">
        <v>0</v>
      </c>
      <c r="I2366" s="75">
        <v>0</v>
      </c>
      <c r="J2366" s="74">
        <v>1</v>
      </c>
      <c r="K2366" s="72">
        <v>0</v>
      </c>
      <c r="L2366" s="74">
        <v>0</v>
      </c>
      <c r="M2366" s="72">
        <v>0</v>
      </c>
      <c r="N2366" s="72">
        <v>0</v>
      </c>
      <c r="O2366" s="72">
        <v>1</v>
      </c>
      <c r="P2366" s="72">
        <v>0</v>
      </c>
      <c r="Q2366" s="72">
        <v>0</v>
      </c>
      <c r="R2366" s="72">
        <v>0</v>
      </c>
      <c r="S2366" s="73">
        <v>0</v>
      </c>
      <c r="T2366" s="72">
        <v>0</v>
      </c>
      <c r="U2366" s="72">
        <v>1</v>
      </c>
      <c r="V2366" s="72">
        <v>1</v>
      </c>
      <c r="W2366" s="72">
        <v>0</v>
      </c>
      <c r="X2366" s="72">
        <v>1.7</v>
      </c>
      <c r="Y2366" s="19">
        <v>0</v>
      </c>
      <c r="Z2366" s="72">
        <v>0</v>
      </c>
      <c r="AA2366" s="72">
        <v>0</v>
      </c>
      <c r="AB2366" s="72">
        <v>0</v>
      </c>
      <c r="AC2366" s="72">
        <v>0</v>
      </c>
      <c r="AD2366" s="72">
        <v>0</v>
      </c>
      <c r="AE2366" s="72">
        <v>0</v>
      </c>
      <c r="AF2366" s="72">
        <v>9</v>
      </c>
      <c r="AG2366" s="72">
        <v>1</v>
      </c>
      <c r="AH2366" s="72">
        <v>5</v>
      </c>
      <c r="AI2366" s="73">
        <v>0</v>
      </c>
      <c r="AJ2366" s="73">
        <v>3</v>
      </c>
      <c r="AK2366" s="73">
        <v>0</v>
      </c>
      <c r="AL2366" s="73">
        <v>1.7</v>
      </c>
      <c r="AM2366" s="72">
        <v>0</v>
      </c>
      <c r="AN2366" s="72">
        <v>0</v>
      </c>
      <c r="AO2366" s="72">
        <v>0</v>
      </c>
      <c r="AP2366" s="72">
        <v>0</v>
      </c>
      <c r="AQ2366" s="72">
        <v>1000</v>
      </c>
      <c r="AR2366" s="72">
        <v>0.2</v>
      </c>
      <c r="AS2366" s="72">
        <v>0</v>
      </c>
      <c r="AT2366" s="73">
        <v>0</v>
      </c>
      <c r="AU2366" s="322" t="s">
        <v>5571</v>
      </c>
      <c r="AV2366" s="93"/>
      <c r="AW2366" s="88" t="s">
        <v>204</v>
      </c>
      <c r="AX2366" s="72" t="s">
        <v>551</v>
      </c>
      <c r="AY2366" s="74">
        <v>10000001</v>
      </c>
      <c r="AZ2366" s="74">
        <v>77005002</v>
      </c>
      <c r="BA2366" s="71" t="s">
        <v>206</v>
      </c>
      <c r="BB2366" s="72">
        <v>0</v>
      </c>
      <c r="BC2366" s="75">
        <v>0</v>
      </c>
      <c r="BD2366" s="75">
        <v>0</v>
      </c>
      <c r="BE2366" s="76" t="s">
        <v>2296</v>
      </c>
      <c r="BF2366" s="76" t="s">
        <v>2297</v>
      </c>
      <c r="BG2366" s="72">
        <v>0</v>
      </c>
      <c r="BH2366" s="72">
        <v>0</v>
      </c>
      <c r="BI2366" s="72">
        <v>0</v>
      </c>
      <c r="BJ2366" s="72">
        <v>0</v>
      </c>
      <c r="BK2366" s="72">
        <v>0</v>
      </c>
      <c r="BL2366" s="72">
        <v>0</v>
      </c>
      <c r="BM2366" s="90">
        <v>0</v>
      </c>
      <c r="BN2366" s="73">
        <v>0</v>
      </c>
      <c r="BO2366" s="73">
        <v>0</v>
      </c>
      <c r="BP2366" s="73">
        <v>0</v>
      </c>
      <c r="BQ2366" s="73">
        <v>0</v>
      </c>
      <c r="BR2366" s="73">
        <v>0</v>
      </c>
      <c r="BS2366" s="73">
        <v>0</v>
      </c>
      <c r="BT2366" s="73">
        <v>0</v>
      </c>
      <c r="BU2366" s="362" t="s">
        <v>5572</v>
      </c>
      <c r="BV2366" s="23"/>
      <c r="BW2366" s="23"/>
      <c r="BX2366" s="23"/>
      <c r="BY2366" s="23"/>
      <c r="BZ2366" s="23"/>
    </row>
    <row r="2367" spans="1:78" ht="19.5" customHeight="1">
      <c r="A2367" s="140"/>
      <c r="B2367" s="140"/>
      <c r="C2367" s="74">
        <v>77005003</v>
      </c>
      <c r="D2367" s="71" t="s">
        <v>5573</v>
      </c>
      <c r="E2367" s="160" t="s">
        <v>5574</v>
      </c>
      <c r="F2367" s="90">
        <v>1</v>
      </c>
      <c r="G2367" s="72">
        <v>63021101</v>
      </c>
      <c r="H2367" s="74">
        <v>0</v>
      </c>
      <c r="I2367" s="75">
        <v>0</v>
      </c>
      <c r="J2367" s="74">
        <v>1</v>
      </c>
      <c r="K2367" s="72">
        <v>0</v>
      </c>
      <c r="L2367" s="74">
        <v>0</v>
      </c>
      <c r="M2367" s="72">
        <v>0</v>
      </c>
      <c r="N2367" s="72">
        <v>0</v>
      </c>
      <c r="O2367" s="72">
        <v>1</v>
      </c>
      <c r="P2367" s="72">
        <v>0</v>
      </c>
      <c r="Q2367" s="72">
        <v>0</v>
      </c>
      <c r="R2367" s="72">
        <v>0</v>
      </c>
      <c r="S2367" s="73">
        <v>0</v>
      </c>
      <c r="T2367" s="72">
        <v>0</v>
      </c>
      <c r="U2367" s="72">
        <v>1</v>
      </c>
      <c r="V2367" s="72">
        <v>1</v>
      </c>
      <c r="W2367" s="72">
        <v>0</v>
      </c>
      <c r="X2367" s="72">
        <v>0</v>
      </c>
      <c r="Y2367" s="19">
        <v>0</v>
      </c>
      <c r="Z2367" s="72">
        <v>0</v>
      </c>
      <c r="AA2367" s="72">
        <v>0</v>
      </c>
      <c r="AB2367" s="72">
        <v>0</v>
      </c>
      <c r="AC2367" s="72">
        <v>0</v>
      </c>
      <c r="AD2367" s="72">
        <v>0</v>
      </c>
      <c r="AE2367" s="72">
        <v>0</v>
      </c>
      <c r="AF2367" s="72">
        <v>24</v>
      </c>
      <c r="AG2367" s="72">
        <v>0</v>
      </c>
      <c r="AH2367" s="72">
        <v>0</v>
      </c>
      <c r="AI2367" s="73">
        <v>0</v>
      </c>
      <c r="AJ2367" s="73">
        <v>0</v>
      </c>
      <c r="AK2367" s="73">
        <v>0</v>
      </c>
      <c r="AL2367" s="73">
        <v>1.5</v>
      </c>
      <c r="AM2367" s="72">
        <v>0</v>
      </c>
      <c r="AN2367" s="72">
        <v>0</v>
      </c>
      <c r="AO2367" s="72">
        <v>0</v>
      </c>
      <c r="AP2367" s="74">
        <v>0.2</v>
      </c>
      <c r="AQ2367" s="72">
        <v>3000</v>
      </c>
      <c r="AR2367" s="72">
        <v>0.2</v>
      </c>
      <c r="AS2367" s="72">
        <v>0</v>
      </c>
      <c r="AT2367" s="73">
        <v>0</v>
      </c>
      <c r="AU2367" s="72" t="s">
        <v>204</v>
      </c>
      <c r="AV2367" s="72"/>
      <c r="AW2367" s="71" t="s">
        <v>204</v>
      </c>
      <c r="AX2367" s="72" t="s">
        <v>551</v>
      </c>
      <c r="AY2367" s="74">
        <v>0</v>
      </c>
      <c r="AZ2367" s="74">
        <v>0</v>
      </c>
      <c r="BA2367" s="71" t="s">
        <v>1180</v>
      </c>
      <c r="BB2367" s="344" t="s">
        <v>5575</v>
      </c>
      <c r="BC2367" s="75">
        <v>0</v>
      </c>
      <c r="BD2367" s="75">
        <v>0</v>
      </c>
      <c r="BE2367" s="76" t="s">
        <v>5576</v>
      </c>
      <c r="BF2367" s="76" t="s">
        <v>5577</v>
      </c>
      <c r="BG2367" s="72">
        <v>0</v>
      </c>
      <c r="BH2367" s="72">
        <v>0</v>
      </c>
      <c r="BI2367" s="72">
        <v>0</v>
      </c>
      <c r="BJ2367" s="72">
        <v>0</v>
      </c>
      <c r="BK2367" s="72">
        <v>0</v>
      </c>
      <c r="BL2367" s="72">
        <v>0</v>
      </c>
      <c r="BM2367" s="90">
        <v>0</v>
      </c>
      <c r="BN2367" s="73">
        <v>0</v>
      </c>
      <c r="BO2367" s="73">
        <v>0</v>
      </c>
      <c r="BP2367" s="73">
        <v>0</v>
      </c>
      <c r="BQ2367" s="73">
        <v>0</v>
      </c>
      <c r="BR2367" s="73">
        <v>0</v>
      </c>
      <c r="BS2367" s="73">
        <v>0</v>
      </c>
      <c r="BT2367" s="73">
        <v>0</v>
      </c>
      <c r="BU2367" s="23">
        <v>0</v>
      </c>
      <c r="BV2367" s="23"/>
      <c r="BW2367" s="23"/>
      <c r="BX2367" s="23"/>
      <c r="BY2367" s="23"/>
      <c r="BZ2367" s="23"/>
    </row>
    <row r="2368" spans="1:78" ht="20.100000000000001" customHeight="1">
      <c r="A2368" s="140"/>
      <c r="B2368" s="140"/>
      <c r="C2368" s="74">
        <v>77005004</v>
      </c>
      <c r="D2368" s="71" t="s">
        <v>2294</v>
      </c>
      <c r="E2368" s="160" t="s">
        <v>2295</v>
      </c>
      <c r="F2368" s="90">
        <v>1</v>
      </c>
      <c r="G2368" s="72">
        <v>63021101</v>
      </c>
      <c r="H2368" s="74">
        <v>0</v>
      </c>
      <c r="I2368" s="75">
        <v>0</v>
      </c>
      <c r="J2368" s="74">
        <v>1</v>
      </c>
      <c r="K2368" s="72">
        <v>0</v>
      </c>
      <c r="L2368" s="74">
        <v>0</v>
      </c>
      <c r="M2368" s="72">
        <v>0</v>
      </c>
      <c r="N2368" s="72">
        <v>0</v>
      </c>
      <c r="O2368" s="72">
        <v>2</v>
      </c>
      <c r="P2368" s="72">
        <v>1</v>
      </c>
      <c r="Q2368" s="72">
        <v>0.2</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1000</v>
      </c>
      <c r="AR2368" s="72">
        <v>0.2</v>
      </c>
      <c r="AS2368" s="72">
        <v>0</v>
      </c>
      <c r="AT2368" s="73">
        <v>0</v>
      </c>
      <c r="AU2368" s="322" t="s">
        <v>5571</v>
      </c>
      <c r="AV2368" s="93"/>
      <c r="AW2368" s="88" t="s">
        <v>204</v>
      </c>
      <c r="AX2368" s="72" t="s">
        <v>551</v>
      </c>
      <c r="AY2368" s="74">
        <v>10000001</v>
      </c>
      <c r="AZ2368" s="74">
        <v>77005002</v>
      </c>
      <c r="BA2368" s="71" t="s">
        <v>206</v>
      </c>
      <c r="BB2368" s="72">
        <v>0</v>
      </c>
      <c r="BC2368" s="75">
        <v>0</v>
      </c>
      <c r="BD2368" s="75">
        <v>0</v>
      </c>
      <c r="BE2368" s="76" t="s">
        <v>2296</v>
      </c>
      <c r="BF2368" s="76" t="s">
        <v>2297</v>
      </c>
      <c r="BG2368" s="72">
        <v>0</v>
      </c>
      <c r="BH2368" s="72">
        <v>0</v>
      </c>
      <c r="BI2368" s="72">
        <v>0</v>
      </c>
      <c r="BJ2368" s="72">
        <v>0</v>
      </c>
      <c r="BK2368" s="72">
        <v>0</v>
      </c>
      <c r="BL2368" s="72">
        <v>0</v>
      </c>
      <c r="BM2368" s="90">
        <v>0</v>
      </c>
      <c r="BN2368" s="73">
        <v>0</v>
      </c>
      <c r="BO2368" s="73">
        <v>0</v>
      </c>
      <c r="BP2368" s="73">
        <v>0</v>
      </c>
      <c r="BQ2368" s="73">
        <v>0</v>
      </c>
      <c r="BR2368" s="73">
        <v>0</v>
      </c>
      <c r="BS2368" s="73">
        <v>0</v>
      </c>
      <c r="BT2368" s="73">
        <v>0</v>
      </c>
      <c r="BU2368" s="23">
        <v>0</v>
      </c>
      <c r="BV2368" s="23"/>
      <c r="BW2368" s="23"/>
      <c r="BX2368" s="23"/>
      <c r="BY2368" s="23"/>
      <c r="BZ2368" s="23"/>
    </row>
    <row r="2369" spans="1:78" s="1" customFormat="1" ht="20.100000000000001" customHeight="1">
      <c r="C2369" s="74">
        <v>77005005</v>
      </c>
      <c r="D2369" s="71" t="s">
        <v>766</v>
      </c>
      <c r="E2369" s="160" t="s">
        <v>767</v>
      </c>
      <c r="F2369" s="90">
        <v>1</v>
      </c>
      <c r="G2369" s="90">
        <v>0</v>
      </c>
      <c r="H2369" s="72">
        <v>0</v>
      </c>
      <c r="I2369" s="75">
        <v>0</v>
      </c>
      <c r="J2369" s="74">
        <v>1</v>
      </c>
      <c r="K2369" s="74">
        <v>0</v>
      </c>
      <c r="L2369" s="74">
        <v>0</v>
      </c>
      <c r="M2369" s="72">
        <v>0</v>
      </c>
      <c r="N2369" s="72">
        <v>0</v>
      </c>
      <c r="O2369" s="72">
        <v>2</v>
      </c>
      <c r="P2369" s="72">
        <v>16</v>
      </c>
      <c r="Q2369" s="72">
        <v>8</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2300</v>
      </c>
      <c r="BF2369" s="76" t="s">
        <v>2301</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77005006</v>
      </c>
      <c r="BU2369" s="73">
        <v>0</v>
      </c>
      <c r="BV2369" s="23"/>
      <c r="BW2369" s="23"/>
      <c r="BX2369" s="23"/>
      <c r="BY2369" s="23"/>
      <c r="BZ2369" s="23"/>
    </row>
    <row r="2370" spans="1:78" ht="20.100000000000001" customHeight="1">
      <c r="A2370" s="140"/>
      <c r="B2370" s="140"/>
      <c r="C2370" s="74">
        <v>77005006</v>
      </c>
      <c r="D2370" s="71" t="s">
        <v>2294</v>
      </c>
      <c r="E2370" s="160" t="s">
        <v>2295</v>
      </c>
      <c r="F2370" s="90">
        <v>1</v>
      </c>
      <c r="G2370" s="72">
        <v>63021101</v>
      </c>
      <c r="H2370" s="74">
        <v>0</v>
      </c>
      <c r="I2370" s="75">
        <v>0</v>
      </c>
      <c r="J2370" s="74">
        <v>1</v>
      </c>
      <c r="K2370" s="72">
        <v>0</v>
      </c>
      <c r="L2370" s="74">
        <v>0</v>
      </c>
      <c r="M2370" s="72">
        <v>0</v>
      </c>
      <c r="N2370" s="72">
        <v>0</v>
      </c>
      <c r="O2370" s="72">
        <v>2</v>
      </c>
      <c r="P2370" s="72">
        <v>16</v>
      </c>
      <c r="Q2370" s="72">
        <v>1</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22" t="s">
        <v>5571</v>
      </c>
      <c r="AV2370" s="93"/>
      <c r="AW2370" s="88" t="s">
        <v>204</v>
      </c>
      <c r="AX2370" s="72" t="s">
        <v>551</v>
      </c>
      <c r="AY2370" s="74">
        <v>10000001</v>
      </c>
      <c r="AZ2370" s="74">
        <v>77005002</v>
      </c>
      <c r="BA2370" s="71" t="s">
        <v>206</v>
      </c>
      <c r="BB2370" s="72">
        <v>0</v>
      </c>
      <c r="BC2370" s="75">
        <v>0</v>
      </c>
      <c r="BD2370" s="75">
        <v>0</v>
      </c>
      <c r="BE2370" s="76" t="s">
        <v>2296</v>
      </c>
      <c r="BF2370" s="76" t="s">
        <v>2297</v>
      </c>
      <c r="BG2370" s="72">
        <v>0</v>
      </c>
      <c r="BH2370" s="72">
        <v>0</v>
      </c>
      <c r="BI2370" s="72">
        <v>0</v>
      </c>
      <c r="BJ2370" s="72">
        <v>0</v>
      </c>
      <c r="BK2370" s="72">
        <v>0</v>
      </c>
      <c r="BL2370" s="72">
        <v>0</v>
      </c>
      <c r="BM2370" s="90">
        <v>0</v>
      </c>
      <c r="BN2370" s="73">
        <v>0</v>
      </c>
      <c r="BO2370" s="73">
        <v>0</v>
      </c>
      <c r="BP2370" s="73">
        <v>0</v>
      </c>
      <c r="BQ2370" s="73">
        <v>0</v>
      </c>
      <c r="BR2370" s="73">
        <v>0</v>
      </c>
      <c r="BS2370" s="73">
        <v>0</v>
      </c>
      <c r="BT2370" s="73">
        <v>77005007</v>
      </c>
      <c r="BU2370" s="23">
        <v>0</v>
      </c>
      <c r="BV2370" s="23"/>
      <c r="BW2370" s="23"/>
      <c r="BX2370" s="23"/>
      <c r="BY2370" s="23"/>
      <c r="BZ2370" s="23"/>
    </row>
    <row r="2371" spans="1:78" s="1" customFormat="1" ht="20.100000000000001" customHeight="1">
      <c r="C2371" s="74">
        <v>77005007</v>
      </c>
      <c r="D2371" s="71" t="s">
        <v>766</v>
      </c>
      <c r="E2371" s="160" t="s">
        <v>767</v>
      </c>
      <c r="F2371" s="90">
        <v>1</v>
      </c>
      <c r="G2371" s="90">
        <v>0</v>
      </c>
      <c r="H2371" s="72">
        <v>0</v>
      </c>
      <c r="I2371" s="75">
        <v>0</v>
      </c>
      <c r="J2371" s="74">
        <v>1</v>
      </c>
      <c r="K2371" s="74">
        <v>0</v>
      </c>
      <c r="L2371" s="74">
        <v>0</v>
      </c>
      <c r="M2371" s="72">
        <v>0</v>
      </c>
      <c r="N2371" s="72">
        <v>0</v>
      </c>
      <c r="O2371" s="72">
        <v>2</v>
      </c>
      <c r="P2371" s="72">
        <v>16</v>
      </c>
      <c r="Q2371" s="72">
        <v>1</v>
      </c>
      <c r="R2371" s="72">
        <v>0</v>
      </c>
      <c r="S2371" s="73">
        <v>0</v>
      </c>
      <c r="T2371" s="72">
        <v>0</v>
      </c>
      <c r="U2371" s="72">
        <v>1</v>
      </c>
      <c r="V2371" s="90">
        <v>1</v>
      </c>
      <c r="W2371" s="72">
        <v>0</v>
      </c>
      <c r="X2371" s="72">
        <v>0</v>
      </c>
      <c r="Y2371" s="19">
        <v>0</v>
      </c>
      <c r="Z2371" s="72">
        <v>0</v>
      </c>
      <c r="AA2371" s="72">
        <v>1</v>
      </c>
      <c r="AB2371" s="72">
        <v>0</v>
      </c>
      <c r="AC2371" s="72">
        <v>0</v>
      </c>
      <c r="AD2371" s="72">
        <v>0</v>
      </c>
      <c r="AE2371" s="72">
        <v>1</v>
      </c>
      <c r="AF2371" s="72">
        <v>12</v>
      </c>
      <c r="AG2371" s="72">
        <v>2</v>
      </c>
      <c r="AH2371" s="72" t="s">
        <v>219</v>
      </c>
      <c r="AI2371" s="73">
        <v>0</v>
      </c>
      <c r="AJ2371" s="73">
        <v>2</v>
      </c>
      <c r="AK2371" s="73">
        <v>0</v>
      </c>
      <c r="AL2371" s="73">
        <v>1.5</v>
      </c>
      <c r="AM2371" s="72">
        <v>0</v>
      </c>
      <c r="AN2371" s="72">
        <v>0</v>
      </c>
      <c r="AO2371" s="72">
        <v>0</v>
      </c>
      <c r="AP2371" s="72">
        <v>0.5</v>
      </c>
      <c r="AQ2371" s="72">
        <v>600</v>
      </c>
      <c r="AR2371" s="72">
        <v>0</v>
      </c>
      <c r="AS2371" s="72">
        <v>12</v>
      </c>
      <c r="AT2371" s="73">
        <v>0</v>
      </c>
      <c r="AU2371" s="93">
        <v>0</v>
      </c>
      <c r="AV2371" s="93"/>
      <c r="AW2371" s="71" t="s">
        <v>205</v>
      </c>
      <c r="AX2371" s="72" t="s">
        <v>221</v>
      </c>
      <c r="AY2371" s="74">
        <v>10000011</v>
      </c>
      <c r="AZ2371" s="74">
        <v>0</v>
      </c>
      <c r="BA2371" s="71" t="s">
        <v>222</v>
      </c>
      <c r="BB2371" s="72">
        <v>0</v>
      </c>
      <c r="BC2371" s="75">
        <v>0</v>
      </c>
      <c r="BD2371" s="75">
        <v>0</v>
      </c>
      <c r="BE2371" s="76" t="s">
        <v>2300</v>
      </c>
      <c r="BF2371" s="76" t="s">
        <v>2301</v>
      </c>
      <c r="BG2371" s="72">
        <v>0</v>
      </c>
      <c r="BH2371" s="72">
        <v>0</v>
      </c>
      <c r="BI2371" s="72">
        <v>0</v>
      </c>
      <c r="BJ2371" s="72">
        <v>0</v>
      </c>
      <c r="BK2371" s="72">
        <v>0</v>
      </c>
      <c r="BL2371" s="72">
        <v>0</v>
      </c>
      <c r="BM2371" s="90">
        <v>0</v>
      </c>
      <c r="BN2371" s="73">
        <v>0</v>
      </c>
      <c r="BO2371" s="73">
        <v>0</v>
      </c>
      <c r="BP2371" s="73">
        <v>0</v>
      </c>
      <c r="BQ2371" s="73">
        <v>0</v>
      </c>
      <c r="BR2371" s="73">
        <v>0</v>
      </c>
      <c r="BS2371" s="73">
        <v>1</v>
      </c>
      <c r="BT2371" s="73">
        <v>77005008</v>
      </c>
      <c r="BU2371" s="73">
        <v>0</v>
      </c>
      <c r="BV2371" s="23"/>
      <c r="BW2371" s="23"/>
      <c r="BX2371" s="23"/>
      <c r="BY2371" s="23"/>
      <c r="BZ2371" s="23"/>
    </row>
    <row r="2372" spans="1:78" ht="20.100000000000001" customHeight="1">
      <c r="A2372" s="140"/>
      <c r="B2372" s="140"/>
      <c r="C2372" s="74">
        <v>77005008</v>
      </c>
      <c r="D2372" s="71" t="s">
        <v>2294</v>
      </c>
      <c r="E2372" s="160" t="s">
        <v>2295</v>
      </c>
      <c r="F2372" s="90">
        <v>1</v>
      </c>
      <c r="G2372" s="72">
        <v>63021101</v>
      </c>
      <c r="H2372" s="74">
        <v>0</v>
      </c>
      <c r="I2372" s="75">
        <v>0</v>
      </c>
      <c r="J2372" s="74">
        <v>1</v>
      </c>
      <c r="K2372" s="72">
        <v>0</v>
      </c>
      <c r="L2372" s="74">
        <v>0</v>
      </c>
      <c r="M2372" s="72">
        <v>0</v>
      </c>
      <c r="N2372" s="72">
        <v>0</v>
      </c>
      <c r="O2372" s="72">
        <v>2</v>
      </c>
      <c r="P2372" s="72">
        <v>16</v>
      </c>
      <c r="Q2372" s="72">
        <v>4</v>
      </c>
      <c r="R2372" s="72">
        <v>0</v>
      </c>
      <c r="S2372" s="73">
        <v>0</v>
      </c>
      <c r="T2372" s="72">
        <v>0</v>
      </c>
      <c r="U2372" s="72">
        <v>1</v>
      </c>
      <c r="V2372" s="72">
        <v>1</v>
      </c>
      <c r="W2372" s="72">
        <v>0</v>
      </c>
      <c r="X2372" s="72">
        <v>2</v>
      </c>
      <c r="Y2372" s="19">
        <v>0</v>
      </c>
      <c r="Z2372" s="72">
        <v>0</v>
      </c>
      <c r="AA2372" s="72">
        <v>0</v>
      </c>
      <c r="AB2372" s="72">
        <v>0</v>
      </c>
      <c r="AC2372" s="72">
        <v>0</v>
      </c>
      <c r="AD2372" s="72">
        <v>0</v>
      </c>
      <c r="AE2372" s="72">
        <v>0</v>
      </c>
      <c r="AF2372" s="72">
        <v>0</v>
      </c>
      <c r="AG2372" s="72">
        <v>1</v>
      </c>
      <c r="AH2372" s="72">
        <v>5</v>
      </c>
      <c r="AI2372" s="73">
        <v>0</v>
      </c>
      <c r="AJ2372" s="73">
        <v>1</v>
      </c>
      <c r="AK2372" s="73">
        <v>0</v>
      </c>
      <c r="AL2372" s="73">
        <v>2</v>
      </c>
      <c r="AM2372" s="72">
        <v>0</v>
      </c>
      <c r="AN2372" s="72">
        <v>0</v>
      </c>
      <c r="AO2372" s="72">
        <v>0</v>
      </c>
      <c r="AP2372" s="72">
        <v>0</v>
      </c>
      <c r="AQ2372" s="72">
        <v>400</v>
      </c>
      <c r="AR2372" s="72">
        <v>0.2</v>
      </c>
      <c r="AS2372" s="72">
        <v>0</v>
      </c>
      <c r="AT2372" s="73">
        <v>0</v>
      </c>
      <c r="AU2372" s="322" t="s">
        <v>5571</v>
      </c>
      <c r="AV2372" s="93"/>
      <c r="AW2372" s="88" t="s">
        <v>204</v>
      </c>
      <c r="AX2372" s="72" t="s">
        <v>551</v>
      </c>
      <c r="AY2372" s="74">
        <v>10000001</v>
      </c>
      <c r="AZ2372" s="74">
        <v>77005002</v>
      </c>
      <c r="BA2372" s="71" t="s">
        <v>206</v>
      </c>
      <c r="BB2372" s="72">
        <v>0</v>
      </c>
      <c r="BC2372" s="75">
        <v>0</v>
      </c>
      <c r="BD2372" s="75">
        <v>0</v>
      </c>
      <c r="BE2372" s="76" t="s">
        <v>2296</v>
      </c>
      <c r="BF2372" s="76" t="s">
        <v>2297</v>
      </c>
      <c r="BG2372" s="72">
        <v>0</v>
      </c>
      <c r="BH2372" s="72">
        <v>0</v>
      </c>
      <c r="BI2372" s="72">
        <v>0</v>
      </c>
      <c r="BJ2372" s="72">
        <v>0</v>
      </c>
      <c r="BK2372" s="72">
        <v>0</v>
      </c>
      <c r="BL2372" s="72">
        <v>0</v>
      </c>
      <c r="BM2372" s="90">
        <v>0</v>
      </c>
      <c r="BN2372" s="73">
        <v>0</v>
      </c>
      <c r="BO2372" s="73">
        <v>0</v>
      </c>
      <c r="BP2372" s="73">
        <v>0</v>
      </c>
      <c r="BQ2372" s="73">
        <v>0</v>
      </c>
      <c r="BR2372" s="73">
        <v>0</v>
      </c>
      <c r="BS2372" s="73">
        <v>0</v>
      </c>
      <c r="BT2372" s="73">
        <v>77005009</v>
      </c>
      <c r="BU2372" s="23">
        <v>0</v>
      </c>
      <c r="BV2372" s="23"/>
      <c r="BW2372" s="23"/>
      <c r="BX2372" s="23"/>
      <c r="BY2372" s="23"/>
      <c r="BZ2372" s="23"/>
    </row>
    <row r="2373" spans="1:78" s="1" customFormat="1" ht="20.100000000000001" customHeight="1">
      <c r="C2373" s="74">
        <v>77005009</v>
      </c>
      <c r="D2373" s="71" t="s">
        <v>766</v>
      </c>
      <c r="E2373" s="160" t="s">
        <v>767</v>
      </c>
      <c r="F2373" s="90">
        <v>1</v>
      </c>
      <c r="G2373" s="90">
        <v>0</v>
      </c>
      <c r="H2373" s="72">
        <v>0</v>
      </c>
      <c r="I2373" s="75">
        <v>0</v>
      </c>
      <c r="J2373" s="74">
        <v>1</v>
      </c>
      <c r="K2373" s="74">
        <v>0</v>
      </c>
      <c r="L2373" s="74">
        <v>0</v>
      </c>
      <c r="M2373" s="72">
        <v>0</v>
      </c>
      <c r="N2373" s="72">
        <v>0</v>
      </c>
      <c r="O2373" s="72">
        <v>2</v>
      </c>
      <c r="P2373" s="72">
        <v>16</v>
      </c>
      <c r="Q2373" s="72">
        <v>1</v>
      </c>
      <c r="R2373" s="72">
        <v>0</v>
      </c>
      <c r="S2373" s="73">
        <v>0</v>
      </c>
      <c r="T2373" s="72">
        <v>0</v>
      </c>
      <c r="U2373" s="72">
        <v>1</v>
      </c>
      <c r="V2373" s="90">
        <v>1</v>
      </c>
      <c r="W2373" s="72">
        <v>0</v>
      </c>
      <c r="X2373" s="72">
        <v>0</v>
      </c>
      <c r="Y2373" s="19">
        <v>0</v>
      </c>
      <c r="Z2373" s="72">
        <v>0</v>
      </c>
      <c r="AA2373" s="72">
        <v>1</v>
      </c>
      <c r="AB2373" s="72">
        <v>0</v>
      </c>
      <c r="AC2373" s="72">
        <v>0</v>
      </c>
      <c r="AD2373" s="72">
        <v>0</v>
      </c>
      <c r="AE2373" s="72">
        <v>1</v>
      </c>
      <c r="AF2373" s="72">
        <v>12</v>
      </c>
      <c r="AG2373" s="72">
        <v>2</v>
      </c>
      <c r="AH2373" s="72" t="s">
        <v>219</v>
      </c>
      <c r="AI2373" s="73">
        <v>0</v>
      </c>
      <c r="AJ2373" s="73">
        <v>2</v>
      </c>
      <c r="AK2373" s="73">
        <v>0</v>
      </c>
      <c r="AL2373" s="73">
        <v>1.5</v>
      </c>
      <c r="AM2373" s="72">
        <v>0</v>
      </c>
      <c r="AN2373" s="72">
        <v>0</v>
      </c>
      <c r="AO2373" s="72">
        <v>0</v>
      </c>
      <c r="AP2373" s="72">
        <v>0.5</v>
      </c>
      <c r="AQ2373" s="72">
        <v>600</v>
      </c>
      <c r="AR2373" s="72">
        <v>0</v>
      </c>
      <c r="AS2373" s="72">
        <v>12</v>
      </c>
      <c r="AT2373" s="73">
        <v>0</v>
      </c>
      <c r="AU2373" s="93">
        <v>0</v>
      </c>
      <c r="AV2373" s="93"/>
      <c r="AW2373" s="71" t="s">
        <v>205</v>
      </c>
      <c r="AX2373" s="72" t="s">
        <v>221</v>
      </c>
      <c r="AY2373" s="74">
        <v>10000011</v>
      </c>
      <c r="AZ2373" s="74">
        <v>0</v>
      </c>
      <c r="BA2373" s="71" t="s">
        <v>222</v>
      </c>
      <c r="BB2373" s="72">
        <v>0</v>
      </c>
      <c r="BC2373" s="75">
        <v>0</v>
      </c>
      <c r="BD2373" s="75">
        <v>0</v>
      </c>
      <c r="BE2373" s="76" t="s">
        <v>2300</v>
      </c>
      <c r="BF2373" s="76" t="s">
        <v>2301</v>
      </c>
      <c r="BG2373" s="72">
        <v>0</v>
      </c>
      <c r="BH2373" s="72">
        <v>0</v>
      </c>
      <c r="BI2373" s="72">
        <v>0</v>
      </c>
      <c r="BJ2373" s="72">
        <v>0</v>
      </c>
      <c r="BK2373" s="72">
        <v>0</v>
      </c>
      <c r="BL2373" s="72">
        <v>0</v>
      </c>
      <c r="BM2373" s="90">
        <v>0</v>
      </c>
      <c r="BN2373" s="73">
        <v>0</v>
      </c>
      <c r="BO2373" s="73">
        <v>0</v>
      </c>
      <c r="BP2373" s="73">
        <v>0</v>
      </c>
      <c r="BQ2373" s="73">
        <v>0</v>
      </c>
      <c r="BR2373" s="73">
        <v>0</v>
      </c>
      <c r="BS2373" s="73">
        <v>1</v>
      </c>
      <c r="BT2373" s="73">
        <v>77005010</v>
      </c>
      <c r="BU2373" s="73">
        <v>0</v>
      </c>
      <c r="BV2373" s="23"/>
      <c r="BW2373" s="23"/>
      <c r="BX2373" s="23"/>
      <c r="BY2373" s="23"/>
      <c r="BZ2373" s="23"/>
    </row>
    <row r="2374" spans="1:78" ht="20.100000000000001" customHeight="1">
      <c r="A2374" s="140"/>
      <c r="B2374" s="140"/>
      <c r="C2374" s="74">
        <v>77005010</v>
      </c>
      <c r="D2374" s="71" t="s">
        <v>2294</v>
      </c>
      <c r="E2374" s="160" t="s">
        <v>2295</v>
      </c>
      <c r="F2374" s="90">
        <v>1</v>
      </c>
      <c r="G2374" s="72">
        <v>63021101</v>
      </c>
      <c r="H2374" s="74">
        <v>0</v>
      </c>
      <c r="I2374" s="75">
        <v>0</v>
      </c>
      <c r="J2374" s="74">
        <v>1</v>
      </c>
      <c r="K2374" s="72">
        <v>0</v>
      </c>
      <c r="L2374" s="74">
        <v>0</v>
      </c>
      <c r="M2374" s="72">
        <v>0</v>
      </c>
      <c r="N2374" s="72">
        <v>0</v>
      </c>
      <c r="O2374" s="72">
        <v>2</v>
      </c>
      <c r="P2374" s="72">
        <v>16</v>
      </c>
      <c r="Q2374" s="72">
        <v>4</v>
      </c>
      <c r="R2374" s="72">
        <v>0</v>
      </c>
      <c r="S2374" s="73">
        <v>0</v>
      </c>
      <c r="T2374" s="72">
        <v>0</v>
      </c>
      <c r="U2374" s="72">
        <v>1</v>
      </c>
      <c r="V2374" s="72">
        <v>1</v>
      </c>
      <c r="W2374" s="72">
        <v>0</v>
      </c>
      <c r="X2374" s="72">
        <v>2</v>
      </c>
      <c r="Y2374" s="19">
        <v>0</v>
      </c>
      <c r="Z2374" s="72">
        <v>0</v>
      </c>
      <c r="AA2374" s="72">
        <v>0</v>
      </c>
      <c r="AB2374" s="72">
        <v>0</v>
      </c>
      <c r="AC2374" s="72">
        <v>0</v>
      </c>
      <c r="AD2374" s="72">
        <v>0</v>
      </c>
      <c r="AE2374" s="72">
        <v>0</v>
      </c>
      <c r="AF2374" s="72">
        <v>0</v>
      </c>
      <c r="AG2374" s="72">
        <v>1</v>
      </c>
      <c r="AH2374" s="72">
        <v>5</v>
      </c>
      <c r="AI2374" s="73">
        <v>0</v>
      </c>
      <c r="AJ2374" s="73">
        <v>1</v>
      </c>
      <c r="AK2374" s="73">
        <v>0</v>
      </c>
      <c r="AL2374" s="73">
        <v>2</v>
      </c>
      <c r="AM2374" s="72">
        <v>0</v>
      </c>
      <c r="AN2374" s="72">
        <v>0</v>
      </c>
      <c r="AO2374" s="72">
        <v>0</v>
      </c>
      <c r="AP2374" s="72">
        <v>0</v>
      </c>
      <c r="AQ2374" s="72">
        <v>400</v>
      </c>
      <c r="AR2374" s="72">
        <v>0.2</v>
      </c>
      <c r="AS2374" s="72">
        <v>0</v>
      </c>
      <c r="AT2374" s="73">
        <v>0</v>
      </c>
      <c r="AU2374" s="322" t="s">
        <v>5571</v>
      </c>
      <c r="AV2374" s="93"/>
      <c r="AW2374" s="88" t="s">
        <v>204</v>
      </c>
      <c r="AX2374" s="72" t="s">
        <v>551</v>
      </c>
      <c r="AY2374" s="74">
        <v>10000001</v>
      </c>
      <c r="AZ2374" s="74">
        <v>77005002</v>
      </c>
      <c r="BA2374" s="71" t="s">
        <v>206</v>
      </c>
      <c r="BB2374" s="72">
        <v>0</v>
      </c>
      <c r="BC2374" s="75">
        <v>0</v>
      </c>
      <c r="BD2374" s="75">
        <v>0</v>
      </c>
      <c r="BE2374" s="76" t="s">
        <v>2296</v>
      </c>
      <c r="BF2374" s="76" t="s">
        <v>2297</v>
      </c>
      <c r="BG2374" s="72">
        <v>0</v>
      </c>
      <c r="BH2374" s="72">
        <v>0</v>
      </c>
      <c r="BI2374" s="72">
        <v>0</v>
      </c>
      <c r="BJ2374" s="72">
        <v>0</v>
      </c>
      <c r="BK2374" s="72">
        <v>0</v>
      </c>
      <c r="BL2374" s="72">
        <v>0</v>
      </c>
      <c r="BM2374" s="90">
        <v>0</v>
      </c>
      <c r="BN2374" s="73">
        <v>0</v>
      </c>
      <c r="BO2374" s="73">
        <v>0</v>
      </c>
      <c r="BP2374" s="73">
        <v>0</v>
      </c>
      <c r="BQ2374" s="73">
        <v>0</v>
      </c>
      <c r="BR2374" s="73">
        <v>0</v>
      </c>
      <c r="BS2374" s="73">
        <v>0</v>
      </c>
      <c r="BT2374" s="73">
        <v>0</v>
      </c>
      <c r="BU2374" s="23">
        <v>0</v>
      </c>
      <c r="BV2374" s="23"/>
      <c r="BW2374" s="23"/>
      <c r="BX2374" s="23"/>
      <c r="BY2374" s="23"/>
      <c r="BZ2374" s="23"/>
    </row>
    <row r="2375" spans="1:78" ht="19.5" customHeight="1">
      <c r="A2375" s="140"/>
      <c r="B2375" s="140"/>
      <c r="C2375" s="107">
        <v>77006001</v>
      </c>
      <c r="D2375" s="110" t="s">
        <v>5578</v>
      </c>
      <c r="E2375" s="110" t="s">
        <v>5579</v>
      </c>
      <c r="F2375" s="100">
        <v>1</v>
      </c>
      <c r="G2375" s="100">
        <v>63021101</v>
      </c>
      <c r="H2375" s="100">
        <v>0</v>
      </c>
      <c r="I2375" s="105">
        <v>0</v>
      </c>
      <c r="J2375" s="107">
        <v>1</v>
      </c>
      <c r="K2375" s="100">
        <v>0</v>
      </c>
      <c r="L2375" s="100">
        <v>0</v>
      </c>
      <c r="M2375" s="100">
        <v>0</v>
      </c>
      <c r="N2375" s="100">
        <v>0</v>
      </c>
      <c r="O2375" s="100">
        <v>1</v>
      </c>
      <c r="P2375" s="100">
        <v>0</v>
      </c>
      <c r="Q2375" s="100">
        <v>0</v>
      </c>
      <c r="R2375" s="100">
        <v>0</v>
      </c>
      <c r="S2375" s="99">
        <v>0</v>
      </c>
      <c r="T2375" s="100">
        <v>0</v>
      </c>
      <c r="U2375" s="100">
        <v>1</v>
      </c>
      <c r="V2375" s="100">
        <v>1</v>
      </c>
      <c r="W2375" s="100">
        <v>0</v>
      </c>
      <c r="X2375" s="100">
        <v>1</v>
      </c>
      <c r="Y2375" s="19">
        <v>0</v>
      </c>
      <c r="Z2375" s="100">
        <v>0</v>
      </c>
      <c r="AA2375" s="100">
        <v>0</v>
      </c>
      <c r="AB2375" s="100">
        <v>0</v>
      </c>
      <c r="AC2375" s="100">
        <v>0</v>
      </c>
      <c r="AD2375" s="100">
        <v>0</v>
      </c>
      <c r="AE2375" s="100">
        <v>0</v>
      </c>
      <c r="AF2375" s="100">
        <v>16</v>
      </c>
      <c r="AG2375" s="100">
        <v>1</v>
      </c>
      <c r="AH2375" s="118">
        <v>2</v>
      </c>
      <c r="AI2375" s="99">
        <v>2</v>
      </c>
      <c r="AJ2375" s="99">
        <v>2</v>
      </c>
      <c r="AK2375" s="99">
        <v>0</v>
      </c>
      <c r="AL2375" s="99">
        <v>3</v>
      </c>
      <c r="AM2375" s="100">
        <v>0</v>
      </c>
      <c r="AN2375" s="100">
        <v>0</v>
      </c>
      <c r="AO2375" s="100">
        <v>0</v>
      </c>
      <c r="AP2375" s="100">
        <v>0.2</v>
      </c>
      <c r="AQ2375" s="100">
        <v>2000</v>
      </c>
      <c r="AR2375" s="100">
        <v>0.2</v>
      </c>
      <c r="AS2375" s="100">
        <v>5</v>
      </c>
      <c r="AT2375" s="99">
        <v>0</v>
      </c>
      <c r="AU2375" s="328" t="s">
        <v>5568</v>
      </c>
      <c r="AV2375" s="100"/>
      <c r="AW2375" s="110" t="s">
        <v>204</v>
      </c>
      <c r="AX2375" s="100" t="s">
        <v>540</v>
      </c>
      <c r="AY2375" s="107">
        <v>10000001</v>
      </c>
      <c r="AZ2375" s="107">
        <v>77005003</v>
      </c>
      <c r="BA2375" s="110" t="s">
        <v>2309</v>
      </c>
      <c r="BB2375" s="100" t="s">
        <v>5580</v>
      </c>
      <c r="BC2375" s="99">
        <v>0</v>
      </c>
      <c r="BD2375" s="99">
        <v>0</v>
      </c>
      <c r="BE2375" s="136" t="s">
        <v>5581</v>
      </c>
      <c r="BF2375" s="136" t="s">
        <v>5582</v>
      </c>
      <c r="BG2375" s="100">
        <v>0</v>
      </c>
      <c r="BH2375" s="100">
        <v>0</v>
      </c>
      <c r="BI2375" s="100">
        <v>0</v>
      </c>
      <c r="BJ2375" s="100">
        <v>0</v>
      </c>
      <c r="BK2375" s="100">
        <v>0</v>
      </c>
      <c r="BL2375" s="100">
        <v>0</v>
      </c>
      <c r="BM2375" s="97">
        <v>0</v>
      </c>
      <c r="BN2375" s="99">
        <v>0</v>
      </c>
      <c r="BO2375" s="99">
        <v>0</v>
      </c>
      <c r="BP2375" s="99">
        <v>0</v>
      </c>
      <c r="BQ2375" s="99">
        <v>0</v>
      </c>
      <c r="BR2375" s="99">
        <v>0</v>
      </c>
      <c r="BS2375" s="99">
        <v>0</v>
      </c>
      <c r="BT2375" s="99">
        <v>0</v>
      </c>
      <c r="BU2375" s="23">
        <v>0</v>
      </c>
      <c r="BV2375" s="23"/>
      <c r="BW2375" s="23"/>
      <c r="BX2375" s="23"/>
      <c r="BY2375" s="23"/>
      <c r="BZ2375" s="23"/>
    </row>
    <row r="2376" spans="1:78" ht="20.100000000000001" customHeight="1">
      <c r="A2376" s="140"/>
      <c r="B2376" s="140"/>
      <c r="C2376" s="107">
        <v>77006002</v>
      </c>
      <c r="D2376" s="110" t="s">
        <v>5583</v>
      </c>
      <c r="E2376" s="303" t="s">
        <v>5584</v>
      </c>
      <c r="F2376" s="97">
        <v>1</v>
      </c>
      <c r="G2376" s="100">
        <v>63021101</v>
      </c>
      <c r="H2376" s="107">
        <v>0</v>
      </c>
      <c r="I2376" s="105">
        <v>0</v>
      </c>
      <c r="J2376" s="107">
        <v>1</v>
      </c>
      <c r="K2376" s="100">
        <v>0</v>
      </c>
      <c r="L2376" s="107">
        <v>0</v>
      </c>
      <c r="M2376" s="100">
        <v>0</v>
      </c>
      <c r="N2376" s="100">
        <v>0</v>
      </c>
      <c r="O2376" s="100">
        <v>1</v>
      </c>
      <c r="P2376" s="100">
        <v>0</v>
      </c>
      <c r="Q2376" s="100">
        <v>0</v>
      </c>
      <c r="R2376" s="100">
        <v>0</v>
      </c>
      <c r="S2376" s="99">
        <v>0</v>
      </c>
      <c r="T2376" s="100">
        <v>0</v>
      </c>
      <c r="U2376" s="100">
        <v>1</v>
      </c>
      <c r="V2376" s="100">
        <v>1</v>
      </c>
      <c r="W2376" s="100">
        <v>0</v>
      </c>
      <c r="X2376" s="100">
        <v>1.5</v>
      </c>
      <c r="Y2376" s="19">
        <v>0</v>
      </c>
      <c r="Z2376" s="100">
        <v>0</v>
      </c>
      <c r="AA2376" s="100">
        <v>0</v>
      </c>
      <c r="AB2376" s="100">
        <v>0</v>
      </c>
      <c r="AC2376" s="100">
        <v>0</v>
      </c>
      <c r="AD2376" s="100">
        <v>0</v>
      </c>
      <c r="AE2376" s="100">
        <v>0</v>
      </c>
      <c r="AF2376" s="100">
        <v>12</v>
      </c>
      <c r="AG2376" s="100">
        <v>1</v>
      </c>
      <c r="AH2376" s="100">
        <v>4</v>
      </c>
      <c r="AI2376" s="99">
        <v>2</v>
      </c>
      <c r="AJ2376" s="99">
        <v>1</v>
      </c>
      <c r="AK2376" s="99">
        <v>0</v>
      </c>
      <c r="AL2376" s="99">
        <v>7</v>
      </c>
      <c r="AM2376" s="100">
        <v>0</v>
      </c>
      <c r="AN2376" s="100">
        <v>0</v>
      </c>
      <c r="AO2376" s="100">
        <v>0</v>
      </c>
      <c r="AP2376" s="100">
        <v>0.2</v>
      </c>
      <c r="AQ2376" s="100">
        <v>2000</v>
      </c>
      <c r="AR2376" s="100">
        <v>0.4</v>
      </c>
      <c r="AS2376" s="100">
        <v>0</v>
      </c>
      <c r="AT2376" s="99">
        <v>0</v>
      </c>
      <c r="AU2376" s="118">
        <v>0</v>
      </c>
      <c r="AV2376" s="118"/>
      <c r="AW2376" s="104" t="s">
        <v>204</v>
      </c>
      <c r="AX2376" s="100" t="s">
        <v>551</v>
      </c>
      <c r="AY2376" s="107">
        <v>10000001</v>
      </c>
      <c r="AZ2376" s="107">
        <v>77005004</v>
      </c>
      <c r="BA2376" s="110" t="s">
        <v>206</v>
      </c>
      <c r="BB2376" s="100">
        <v>0</v>
      </c>
      <c r="BC2376" s="105">
        <v>0</v>
      </c>
      <c r="BD2376" s="105">
        <v>0</v>
      </c>
      <c r="BE2376" s="111" t="s">
        <v>5585</v>
      </c>
      <c r="BF2376" s="111" t="s">
        <v>5586</v>
      </c>
      <c r="BG2376" s="100">
        <v>0</v>
      </c>
      <c r="BH2376" s="100">
        <v>0</v>
      </c>
      <c r="BI2376" s="100">
        <v>0</v>
      </c>
      <c r="BJ2376" s="100">
        <v>0</v>
      </c>
      <c r="BK2376" s="100">
        <v>0</v>
      </c>
      <c r="BL2376" s="100">
        <v>0</v>
      </c>
      <c r="BM2376" s="97">
        <v>0</v>
      </c>
      <c r="BN2376" s="99">
        <v>0</v>
      </c>
      <c r="BO2376" s="99">
        <v>0</v>
      </c>
      <c r="BP2376" s="99">
        <v>0</v>
      </c>
      <c r="BQ2376" s="99">
        <v>0</v>
      </c>
      <c r="BR2376" s="99">
        <v>0</v>
      </c>
      <c r="BS2376" s="99">
        <v>0</v>
      </c>
      <c r="BT2376" s="99">
        <v>0</v>
      </c>
      <c r="BU2376" s="362" t="s">
        <v>5587</v>
      </c>
      <c r="BV2376" s="23"/>
      <c r="BW2376" s="23"/>
      <c r="BX2376" s="23"/>
      <c r="BY2376" s="23"/>
      <c r="BZ2376" s="23"/>
    </row>
    <row r="2377" spans="1:78" ht="20.100000000000001" customHeight="1">
      <c r="A2377" s="140"/>
      <c r="B2377" s="140"/>
      <c r="C2377" s="107">
        <v>77006003</v>
      </c>
      <c r="D2377" s="110" t="s">
        <v>5588</v>
      </c>
      <c r="E2377" s="303" t="s">
        <v>5589</v>
      </c>
      <c r="F2377" s="97">
        <v>1</v>
      </c>
      <c r="G2377" s="100">
        <v>63021101</v>
      </c>
      <c r="H2377" s="107">
        <v>0</v>
      </c>
      <c r="I2377" s="105">
        <v>0</v>
      </c>
      <c r="J2377" s="107">
        <v>1</v>
      </c>
      <c r="K2377" s="100">
        <v>0</v>
      </c>
      <c r="L2377" s="107">
        <v>0</v>
      </c>
      <c r="M2377" s="100">
        <v>0</v>
      </c>
      <c r="N2377" s="100">
        <v>0</v>
      </c>
      <c r="O2377" s="100">
        <v>1</v>
      </c>
      <c r="P2377" s="100">
        <v>0</v>
      </c>
      <c r="Q2377" s="100">
        <v>0</v>
      </c>
      <c r="R2377" s="100">
        <v>0</v>
      </c>
      <c r="S2377" s="99">
        <v>0</v>
      </c>
      <c r="T2377" s="100">
        <v>0</v>
      </c>
      <c r="U2377" s="100">
        <v>1</v>
      </c>
      <c r="V2377" s="100">
        <v>1</v>
      </c>
      <c r="W2377" s="100">
        <v>0</v>
      </c>
      <c r="X2377" s="100">
        <v>1.2</v>
      </c>
      <c r="Y2377" s="19">
        <v>0</v>
      </c>
      <c r="Z2377" s="100">
        <v>0</v>
      </c>
      <c r="AA2377" s="100">
        <v>0</v>
      </c>
      <c r="AB2377" s="100">
        <v>0</v>
      </c>
      <c r="AC2377" s="100">
        <v>0</v>
      </c>
      <c r="AD2377" s="100">
        <v>0</v>
      </c>
      <c r="AE2377" s="100">
        <v>0</v>
      </c>
      <c r="AF2377" s="100">
        <v>10</v>
      </c>
      <c r="AG2377" s="100">
        <v>1</v>
      </c>
      <c r="AH2377" s="100">
        <v>2</v>
      </c>
      <c r="AI2377" s="99">
        <v>2</v>
      </c>
      <c r="AJ2377" s="99">
        <v>2</v>
      </c>
      <c r="AK2377" s="99">
        <v>0</v>
      </c>
      <c r="AL2377" s="99">
        <v>3</v>
      </c>
      <c r="AM2377" s="100">
        <v>0</v>
      </c>
      <c r="AN2377" s="100">
        <v>0</v>
      </c>
      <c r="AO2377" s="100">
        <v>0</v>
      </c>
      <c r="AP2377" s="107">
        <v>0.2</v>
      </c>
      <c r="AQ2377" s="100">
        <v>6000</v>
      </c>
      <c r="AR2377" s="100">
        <v>0.2</v>
      </c>
      <c r="AS2377" s="100">
        <v>8</v>
      </c>
      <c r="AT2377" s="99">
        <v>0</v>
      </c>
      <c r="AU2377" s="328" t="s">
        <v>5568</v>
      </c>
      <c r="AV2377" s="100"/>
      <c r="AW2377" s="110" t="s">
        <v>204</v>
      </c>
      <c r="AX2377" s="100" t="s">
        <v>551</v>
      </c>
      <c r="AY2377" s="107">
        <v>0</v>
      </c>
      <c r="AZ2377" s="107">
        <v>77005005</v>
      </c>
      <c r="BA2377" s="110" t="s">
        <v>2325</v>
      </c>
      <c r="BB2377" s="100" t="s">
        <v>5590</v>
      </c>
      <c r="BC2377" s="105">
        <v>0</v>
      </c>
      <c r="BD2377" s="105">
        <v>0</v>
      </c>
      <c r="BE2377" s="111" t="s">
        <v>5591</v>
      </c>
      <c r="BF2377" s="111" t="s">
        <v>5592</v>
      </c>
      <c r="BG2377" s="100">
        <v>0</v>
      </c>
      <c r="BH2377" s="100">
        <v>0</v>
      </c>
      <c r="BI2377" s="100">
        <v>0</v>
      </c>
      <c r="BJ2377" s="100">
        <v>0</v>
      </c>
      <c r="BK2377" s="100">
        <v>0</v>
      </c>
      <c r="BL2377" s="100">
        <v>0</v>
      </c>
      <c r="BM2377" s="97">
        <v>0</v>
      </c>
      <c r="BN2377" s="99">
        <v>0</v>
      </c>
      <c r="BO2377" s="99">
        <v>0</v>
      </c>
      <c r="BP2377" s="99">
        <v>1</v>
      </c>
      <c r="BQ2377" s="99">
        <v>1</v>
      </c>
      <c r="BR2377" s="99">
        <v>0</v>
      </c>
      <c r="BS2377" s="99">
        <v>0</v>
      </c>
      <c r="BT2377" s="99">
        <v>0</v>
      </c>
      <c r="BU2377" s="23">
        <v>0</v>
      </c>
      <c r="BV2377" s="23"/>
      <c r="BW2377" s="23"/>
      <c r="BX2377" s="23"/>
      <c r="BY2377" s="23"/>
      <c r="BZ2377" s="23"/>
    </row>
    <row r="2378" spans="1:78" ht="19.5" customHeight="1">
      <c r="A2378" s="140"/>
      <c r="B2378" s="140"/>
      <c r="C2378" s="107">
        <v>77006004</v>
      </c>
      <c r="D2378" s="110" t="s">
        <v>2332</v>
      </c>
      <c r="E2378" s="110" t="s">
        <v>2333</v>
      </c>
      <c r="F2378" s="107">
        <v>1</v>
      </c>
      <c r="G2378" s="107">
        <v>0</v>
      </c>
      <c r="H2378" s="107">
        <v>0</v>
      </c>
      <c r="I2378" s="105">
        <v>0</v>
      </c>
      <c r="J2378" s="107">
        <v>1</v>
      </c>
      <c r="K2378" s="107">
        <v>0</v>
      </c>
      <c r="L2378" s="107">
        <v>0</v>
      </c>
      <c r="M2378" s="100">
        <v>0</v>
      </c>
      <c r="N2378" s="100">
        <v>0</v>
      </c>
      <c r="O2378" s="100">
        <v>2</v>
      </c>
      <c r="P2378" s="100">
        <v>3</v>
      </c>
      <c r="Q2378" s="100">
        <v>0.2</v>
      </c>
      <c r="R2378" s="100">
        <v>0</v>
      </c>
      <c r="S2378" s="99">
        <v>0</v>
      </c>
      <c r="T2378" s="100">
        <v>0</v>
      </c>
      <c r="U2378" s="100">
        <v>1</v>
      </c>
      <c r="V2378" s="100">
        <v>2</v>
      </c>
      <c r="W2378" s="100">
        <v>0</v>
      </c>
      <c r="X2378" s="100">
        <v>1.5</v>
      </c>
      <c r="Y2378" s="19">
        <v>0</v>
      </c>
      <c r="Z2378" s="100">
        <v>0</v>
      </c>
      <c r="AA2378" s="100">
        <v>1</v>
      </c>
      <c r="AB2378" s="100">
        <v>0</v>
      </c>
      <c r="AC2378" s="100">
        <v>0</v>
      </c>
      <c r="AD2378" s="100">
        <v>1</v>
      </c>
      <c r="AE2378" s="100">
        <v>1</v>
      </c>
      <c r="AF2378" s="100">
        <v>0</v>
      </c>
      <c r="AG2378" s="100">
        <v>1</v>
      </c>
      <c r="AH2378" s="100">
        <v>3</v>
      </c>
      <c r="AI2378" s="99">
        <v>1</v>
      </c>
      <c r="AJ2378" s="99">
        <v>1</v>
      </c>
      <c r="AK2378" s="99">
        <v>0</v>
      </c>
      <c r="AL2378" s="99">
        <v>3</v>
      </c>
      <c r="AM2378" s="100">
        <v>0</v>
      </c>
      <c r="AN2378" s="100">
        <v>0</v>
      </c>
      <c r="AO2378" s="100">
        <v>0</v>
      </c>
      <c r="AP2378" s="100">
        <v>0</v>
      </c>
      <c r="AQ2378" s="100">
        <v>2000</v>
      </c>
      <c r="AR2378" s="100">
        <v>0.3</v>
      </c>
      <c r="AS2378" s="100">
        <v>0</v>
      </c>
      <c r="AT2378" s="99">
        <v>0</v>
      </c>
      <c r="AU2378" s="118">
        <v>0</v>
      </c>
      <c r="AV2378" s="118"/>
      <c r="AW2378" s="104" t="s">
        <v>204</v>
      </c>
      <c r="AX2378" s="100" t="s">
        <v>540</v>
      </c>
      <c r="AY2378" s="107">
        <v>0</v>
      </c>
      <c r="AZ2378" s="107">
        <v>77005004</v>
      </c>
      <c r="BA2378" s="110" t="s">
        <v>206</v>
      </c>
      <c r="BB2378" s="100">
        <v>0</v>
      </c>
      <c r="BC2378" s="105">
        <v>0</v>
      </c>
      <c r="BD2378" s="105">
        <v>0</v>
      </c>
      <c r="BE2378" s="111" t="s">
        <v>2334</v>
      </c>
      <c r="BF2378" s="111" t="s">
        <v>2335</v>
      </c>
      <c r="BG2378" s="100">
        <v>0</v>
      </c>
      <c r="BH2378" s="100">
        <v>0</v>
      </c>
      <c r="BI2378" s="100">
        <v>0</v>
      </c>
      <c r="BJ2378" s="100">
        <v>0</v>
      </c>
      <c r="BK2378" s="100">
        <v>0</v>
      </c>
      <c r="BL2378" s="100">
        <v>0</v>
      </c>
      <c r="BM2378" s="97">
        <v>0</v>
      </c>
      <c r="BN2378" s="99">
        <v>0</v>
      </c>
      <c r="BO2378" s="99">
        <v>0</v>
      </c>
      <c r="BP2378" s="99">
        <v>0</v>
      </c>
      <c r="BQ2378" s="99">
        <v>0</v>
      </c>
      <c r="BR2378" s="99">
        <v>0</v>
      </c>
      <c r="BS2378" s="99">
        <v>0</v>
      </c>
      <c r="BT2378" s="99">
        <v>0</v>
      </c>
      <c r="BU2378" s="99">
        <v>0</v>
      </c>
      <c r="BV2378" s="23"/>
      <c r="BW2378" s="23"/>
      <c r="BX2378" s="23"/>
      <c r="BY2378" s="23"/>
      <c r="BZ2378" s="23"/>
    </row>
    <row r="2379" spans="1:78" ht="19.5" customHeight="1">
      <c r="A2379" s="140"/>
      <c r="B2379" s="140"/>
      <c r="C2379" s="294">
        <v>77007001</v>
      </c>
      <c r="D2379" s="295" t="s">
        <v>5593</v>
      </c>
      <c r="E2379" s="295" t="s">
        <v>5594</v>
      </c>
      <c r="F2379" s="296">
        <v>1</v>
      </c>
      <c r="G2379" s="296">
        <v>63021101</v>
      </c>
      <c r="H2379" s="296">
        <v>0</v>
      </c>
      <c r="I2379" s="297">
        <v>0</v>
      </c>
      <c r="J2379" s="294">
        <v>1</v>
      </c>
      <c r="K2379" s="296">
        <v>0</v>
      </c>
      <c r="L2379" s="296">
        <v>0</v>
      </c>
      <c r="M2379" s="296">
        <v>0</v>
      </c>
      <c r="N2379" s="296">
        <v>0</v>
      </c>
      <c r="O2379" s="296">
        <v>1</v>
      </c>
      <c r="P2379" s="296">
        <v>0</v>
      </c>
      <c r="Q2379" s="296">
        <v>0</v>
      </c>
      <c r="R2379" s="296">
        <v>0</v>
      </c>
      <c r="S2379" s="23">
        <v>0</v>
      </c>
      <c r="T2379" s="296">
        <v>0</v>
      </c>
      <c r="U2379" s="296">
        <v>1</v>
      </c>
      <c r="V2379" s="296">
        <v>1</v>
      </c>
      <c r="W2379" s="296">
        <v>0</v>
      </c>
      <c r="X2379" s="296">
        <v>3</v>
      </c>
      <c r="Y2379" s="19">
        <v>0</v>
      </c>
      <c r="Z2379" s="296">
        <v>0</v>
      </c>
      <c r="AA2379" s="296">
        <v>0</v>
      </c>
      <c r="AB2379" s="296">
        <v>0</v>
      </c>
      <c r="AC2379" s="296">
        <v>0</v>
      </c>
      <c r="AD2379" s="296">
        <v>0</v>
      </c>
      <c r="AE2379" s="296">
        <v>0</v>
      </c>
      <c r="AF2379" s="296">
        <v>9</v>
      </c>
      <c r="AG2379" s="296">
        <v>1</v>
      </c>
      <c r="AH2379" s="301">
        <v>5</v>
      </c>
      <c r="AI2379" s="23">
        <v>2</v>
      </c>
      <c r="AJ2379" s="23">
        <v>1</v>
      </c>
      <c r="AK2379" s="23">
        <v>0</v>
      </c>
      <c r="AL2379" s="23">
        <v>8</v>
      </c>
      <c r="AM2379" s="296">
        <v>0</v>
      </c>
      <c r="AN2379" s="296">
        <v>0</v>
      </c>
      <c r="AO2379" s="296">
        <v>0</v>
      </c>
      <c r="AP2379" s="296">
        <v>0.2</v>
      </c>
      <c r="AQ2379" s="296">
        <v>1000</v>
      </c>
      <c r="AR2379" s="296">
        <v>0.2</v>
      </c>
      <c r="AS2379" s="296">
        <v>0</v>
      </c>
      <c r="AT2379" s="23">
        <v>0</v>
      </c>
      <c r="AU2379" s="363" t="s">
        <v>5595</v>
      </c>
      <c r="AV2379" s="296"/>
      <c r="AW2379" s="295" t="s">
        <v>204</v>
      </c>
      <c r="AX2379" s="296" t="s">
        <v>540</v>
      </c>
      <c r="AY2379" s="294">
        <v>10000001</v>
      </c>
      <c r="AZ2379" s="294">
        <v>77005101</v>
      </c>
      <c r="BA2379" s="295" t="s">
        <v>1378</v>
      </c>
      <c r="BB2379" s="296">
        <v>0</v>
      </c>
      <c r="BC2379" s="23">
        <v>0</v>
      </c>
      <c r="BD2379" s="23">
        <v>0</v>
      </c>
      <c r="BE2379" s="304" t="s">
        <v>5596</v>
      </c>
      <c r="BF2379" s="304" t="s">
        <v>5597</v>
      </c>
      <c r="BG2379" s="296">
        <v>0</v>
      </c>
      <c r="BH2379" s="296">
        <v>0</v>
      </c>
      <c r="BI2379" s="296">
        <v>0</v>
      </c>
      <c r="BJ2379" s="296">
        <v>0</v>
      </c>
      <c r="BK2379" s="296">
        <v>0</v>
      </c>
      <c r="BL2379" s="296">
        <v>0</v>
      </c>
      <c r="BM2379" s="300">
        <v>0</v>
      </c>
      <c r="BN2379" s="23">
        <v>0</v>
      </c>
      <c r="BO2379" s="23">
        <v>0</v>
      </c>
      <c r="BP2379" s="23">
        <v>0</v>
      </c>
      <c r="BQ2379" s="23">
        <v>0</v>
      </c>
      <c r="BR2379" s="23">
        <v>0</v>
      </c>
      <c r="BS2379" s="23">
        <v>0</v>
      </c>
      <c r="BT2379" s="23">
        <v>0</v>
      </c>
      <c r="BU2379" s="23">
        <v>0</v>
      </c>
      <c r="BV2379" s="23"/>
      <c r="BW2379" s="23"/>
      <c r="BX2379" s="23"/>
      <c r="BY2379" s="23"/>
      <c r="BZ2379" s="23"/>
    </row>
    <row r="2380" spans="1:78" ht="19.5" customHeight="1">
      <c r="A2380" s="140"/>
      <c r="B2380" s="140"/>
      <c r="C2380" s="294">
        <v>77007002</v>
      </c>
      <c r="D2380" s="295" t="s">
        <v>5598</v>
      </c>
      <c r="E2380" s="295" t="s">
        <v>5599</v>
      </c>
      <c r="F2380" s="296">
        <v>1</v>
      </c>
      <c r="G2380" s="296">
        <v>63021101</v>
      </c>
      <c r="H2380" s="296">
        <v>0</v>
      </c>
      <c r="I2380" s="297">
        <v>0</v>
      </c>
      <c r="J2380" s="294">
        <v>1</v>
      </c>
      <c r="K2380" s="296">
        <v>0</v>
      </c>
      <c r="L2380" s="296">
        <v>0</v>
      </c>
      <c r="M2380" s="296">
        <v>0</v>
      </c>
      <c r="N2380" s="296">
        <v>0</v>
      </c>
      <c r="O2380" s="296">
        <v>1</v>
      </c>
      <c r="P2380" s="296">
        <v>0</v>
      </c>
      <c r="Q2380" s="296">
        <v>0</v>
      </c>
      <c r="R2380" s="296">
        <v>0</v>
      </c>
      <c r="S2380" s="23">
        <v>0</v>
      </c>
      <c r="T2380" s="296">
        <v>0</v>
      </c>
      <c r="U2380" s="296">
        <v>1</v>
      </c>
      <c r="V2380" s="296">
        <v>1</v>
      </c>
      <c r="W2380" s="296">
        <v>0</v>
      </c>
      <c r="X2380" s="296">
        <v>3</v>
      </c>
      <c r="Y2380" s="19">
        <v>0</v>
      </c>
      <c r="Z2380" s="296">
        <v>0</v>
      </c>
      <c r="AA2380" s="296">
        <v>0</v>
      </c>
      <c r="AB2380" s="296">
        <v>0</v>
      </c>
      <c r="AC2380" s="296">
        <v>0</v>
      </c>
      <c r="AD2380" s="296">
        <v>0</v>
      </c>
      <c r="AE2380" s="296">
        <v>0</v>
      </c>
      <c r="AF2380" s="296">
        <v>6</v>
      </c>
      <c r="AG2380" s="296">
        <v>3</v>
      </c>
      <c r="AH2380" s="301">
        <v>4120</v>
      </c>
      <c r="AI2380" s="23">
        <v>2</v>
      </c>
      <c r="AJ2380" s="23">
        <v>3</v>
      </c>
      <c r="AK2380" s="23">
        <v>0</v>
      </c>
      <c r="AL2380" s="23">
        <v>1.5</v>
      </c>
      <c r="AM2380" s="296">
        <v>0</v>
      </c>
      <c r="AN2380" s="296">
        <v>0</v>
      </c>
      <c r="AO2380" s="296">
        <v>0</v>
      </c>
      <c r="AP2380" s="296">
        <v>0.2</v>
      </c>
      <c r="AQ2380" s="296">
        <v>1000</v>
      </c>
      <c r="AR2380" s="296">
        <v>0.2</v>
      </c>
      <c r="AS2380" s="296">
        <v>0</v>
      </c>
      <c r="AT2380" s="23">
        <v>97050102</v>
      </c>
      <c r="AU2380" s="359" t="s">
        <v>5600</v>
      </c>
      <c r="AV2380" s="301"/>
      <c r="AW2380" s="295" t="s">
        <v>204</v>
      </c>
      <c r="AX2380" s="296" t="s">
        <v>540</v>
      </c>
      <c r="AY2380" s="294">
        <v>10000001</v>
      </c>
      <c r="AZ2380" s="294">
        <v>77005102</v>
      </c>
      <c r="BA2380" s="295" t="s">
        <v>206</v>
      </c>
      <c r="BB2380" s="296">
        <v>0</v>
      </c>
      <c r="BC2380" s="23">
        <v>0</v>
      </c>
      <c r="BD2380" s="23">
        <v>0</v>
      </c>
      <c r="BE2380" s="304" t="s">
        <v>5601</v>
      </c>
      <c r="BF2380" s="304" t="s">
        <v>5602</v>
      </c>
      <c r="BG2380" s="296">
        <v>0</v>
      </c>
      <c r="BH2380" s="296">
        <v>0</v>
      </c>
      <c r="BI2380" s="296">
        <v>0</v>
      </c>
      <c r="BJ2380" s="296">
        <v>0</v>
      </c>
      <c r="BK2380" s="296">
        <v>0</v>
      </c>
      <c r="BL2380" s="296">
        <v>0</v>
      </c>
      <c r="BM2380" s="300">
        <v>0</v>
      </c>
      <c r="BN2380" s="23">
        <v>0</v>
      </c>
      <c r="BO2380" s="23">
        <v>0</v>
      </c>
      <c r="BP2380" s="23">
        <v>0</v>
      </c>
      <c r="BQ2380" s="23">
        <v>0</v>
      </c>
      <c r="BR2380" s="23">
        <v>0</v>
      </c>
      <c r="BS2380" s="23">
        <v>0</v>
      </c>
      <c r="BT2380" s="23">
        <v>0</v>
      </c>
      <c r="BU2380" s="23">
        <v>0</v>
      </c>
      <c r="BV2380" s="23"/>
      <c r="BW2380" s="23"/>
      <c r="BX2380" s="23"/>
      <c r="BY2380" s="23"/>
      <c r="BZ2380" s="23"/>
    </row>
    <row r="2381" spans="1:78" ht="20.100000000000001" customHeight="1">
      <c r="A2381" s="140"/>
      <c r="B2381" s="140"/>
      <c r="C2381" s="294">
        <v>77007003</v>
      </c>
      <c r="D2381" s="295" t="s">
        <v>5603</v>
      </c>
      <c r="E2381" s="305" t="s">
        <v>5604</v>
      </c>
      <c r="F2381" s="300">
        <v>1</v>
      </c>
      <c r="G2381" s="296">
        <v>63021101</v>
      </c>
      <c r="H2381" s="294">
        <v>0</v>
      </c>
      <c r="I2381" s="297">
        <v>0</v>
      </c>
      <c r="J2381" s="294">
        <v>1</v>
      </c>
      <c r="K2381" s="296">
        <v>0</v>
      </c>
      <c r="L2381" s="294">
        <v>0</v>
      </c>
      <c r="M2381" s="296">
        <v>0</v>
      </c>
      <c r="N2381" s="296">
        <v>0</v>
      </c>
      <c r="O2381" s="296">
        <v>1</v>
      </c>
      <c r="P2381" s="296">
        <v>0</v>
      </c>
      <c r="Q2381" s="296">
        <v>0</v>
      </c>
      <c r="R2381" s="296">
        <v>0</v>
      </c>
      <c r="S2381" s="23">
        <v>0</v>
      </c>
      <c r="T2381" s="296">
        <v>0</v>
      </c>
      <c r="U2381" s="296">
        <v>1</v>
      </c>
      <c r="V2381" s="296">
        <v>1</v>
      </c>
      <c r="W2381" s="296">
        <v>0</v>
      </c>
      <c r="X2381" s="296">
        <v>0</v>
      </c>
      <c r="Y2381" s="19">
        <v>0</v>
      </c>
      <c r="Z2381" s="296">
        <v>0</v>
      </c>
      <c r="AA2381" s="296">
        <v>0</v>
      </c>
      <c r="AB2381" s="296">
        <v>0</v>
      </c>
      <c r="AC2381" s="296">
        <v>0</v>
      </c>
      <c r="AD2381" s="296">
        <v>0</v>
      </c>
      <c r="AE2381" s="296">
        <v>0</v>
      </c>
      <c r="AF2381" s="296">
        <v>18</v>
      </c>
      <c r="AG2381" s="296">
        <v>1</v>
      </c>
      <c r="AH2381" s="296">
        <v>3</v>
      </c>
      <c r="AI2381" s="23">
        <v>0</v>
      </c>
      <c r="AJ2381" s="23">
        <v>0</v>
      </c>
      <c r="AK2381" s="23">
        <v>0</v>
      </c>
      <c r="AL2381" s="23">
        <v>1.5</v>
      </c>
      <c r="AM2381" s="296">
        <v>0</v>
      </c>
      <c r="AN2381" s="296">
        <v>0</v>
      </c>
      <c r="AO2381" s="296">
        <v>0</v>
      </c>
      <c r="AP2381" s="294">
        <v>3</v>
      </c>
      <c r="AQ2381" s="296">
        <v>3000</v>
      </c>
      <c r="AR2381" s="296">
        <v>0.1</v>
      </c>
      <c r="AS2381" s="296">
        <v>0</v>
      </c>
      <c r="AT2381" s="362" t="s">
        <v>5605</v>
      </c>
      <c r="AU2381" s="296">
        <v>0</v>
      </c>
      <c r="AV2381" s="296"/>
      <c r="AW2381" s="295" t="s">
        <v>204</v>
      </c>
      <c r="AX2381" s="296" t="s">
        <v>551</v>
      </c>
      <c r="AY2381" s="294">
        <v>0</v>
      </c>
      <c r="AZ2381" s="294">
        <v>77005103</v>
      </c>
      <c r="BA2381" s="295" t="s">
        <v>1180</v>
      </c>
      <c r="BB2381" s="363" t="s">
        <v>5606</v>
      </c>
      <c r="BC2381" s="297">
        <v>0</v>
      </c>
      <c r="BD2381" s="297">
        <v>0</v>
      </c>
      <c r="BE2381" s="299" t="s">
        <v>2368</v>
      </c>
      <c r="BF2381" s="299" t="s">
        <v>2369</v>
      </c>
      <c r="BG2381" s="296">
        <v>0</v>
      </c>
      <c r="BH2381" s="296">
        <v>0</v>
      </c>
      <c r="BI2381" s="296">
        <v>0</v>
      </c>
      <c r="BJ2381" s="296">
        <v>0</v>
      </c>
      <c r="BK2381" s="296">
        <v>0</v>
      </c>
      <c r="BL2381" s="296">
        <v>0</v>
      </c>
      <c r="BM2381" s="300">
        <v>0</v>
      </c>
      <c r="BN2381" s="23">
        <v>0</v>
      </c>
      <c r="BO2381" s="23">
        <v>0</v>
      </c>
      <c r="BP2381" s="23">
        <v>0</v>
      </c>
      <c r="BQ2381" s="23">
        <v>0</v>
      </c>
      <c r="BR2381" s="23">
        <v>0</v>
      </c>
      <c r="BS2381" s="23">
        <v>0</v>
      </c>
      <c r="BT2381" s="23">
        <v>0</v>
      </c>
      <c r="BU2381" s="23">
        <v>0</v>
      </c>
      <c r="BV2381" s="23"/>
      <c r="BW2381" s="23"/>
      <c r="BX2381" s="23"/>
      <c r="BY2381" s="23"/>
      <c r="BZ2381" s="23"/>
    </row>
    <row r="2382" spans="1:78" ht="20.100000000000001" customHeight="1">
      <c r="A2382" s="140"/>
      <c r="B2382" s="140"/>
      <c r="C2382" s="294">
        <v>77007004</v>
      </c>
      <c r="D2382" s="295" t="s">
        <v>2370</v>
      </c>
      <c r="E2382" s="305" t="s">
        <v>2371</v>
      </c>
      <c r="F2382" s="300">
        <v>1</v>
      </c>
      <c r="G2382" s="296">
        <v>63021101</v>
      </c>
      <c r="H2382" s="294">
        <v>0</v>
      </c>
      <c r="I2382" s="297">
        <v>0</v>
      </c>
      <c r="J2382" s="294">
        <v>1</v>
      </c>
      <c r="K2382" s="296">
        <v>0</v>
      </c>
      <c r="L2382" s="294">
        <v>0</v>
      </c>
      <c r="M2382" s="296">
        <v>0</v>
      </c>
      <c r="N2382" s="296">
        <v>0</v>
      </c>
      <c r="O2382" s="296">
        <v>1</v>
      </c>
      <c r="P2382" s="296">
        <v>0</v>
      </c>
      <c r="Q2382" s="296">
        <v>0</v>
      </c>
      <c r="R2382" s="296">
        <v>0</v>
      </c>
      <c r="S2382" s="23">
        <v>0</v>
      </c>
      <c r="T2382" s="296">
        <v>0</v>
      </c>
      <c r="U2382" s="296">
        <v>1</v>
      </c>
      <c r="V2382" s="296">
        <v>1</v>
      </c>
      <c r="W2382" s="296">
        <v>0</v>
      </c>
      <c r="X2382" s="296">
        <v>1.2</v>
      </c>
      <c r="Y2382" s="19">
        <v>0</v>
      </c>
      <c r="Z2382" s="296">
        <v>300</v>
      </c>
      <c r="AA2382" s="296">
        <v>0</v>
      </c>
      <c r="AB2382" s="296">
        <v>0</v>
      </c>
      <c r="AC2382" s="296">
        <v>0</v>
      </c>
      <c r="AD2382" s="296">
        <v>0</v>
      </c>
      <c r="AE2382" s="296">
        <v>0</v>
      </c>
      <c r="AF2382" s="296">
        <v>24</v>
      </c>
      <c r="AG2382" s="296">
        <v>1</v>
      </c>
      <c r="AH2382" s="296">
        <v>2</v>
      </c>
      <c r="AI2382" s="23">
        <v>2</v>
      </c>
      <c r="AJ2382" s="23">
        <v>0</v>
      </c>
      <c r="AK2382" s="23">
        <v>0</v>
      </c>
      <c r="AL2382" s="23">
        <v>0</v>
      </c>
      <c r="AM2382" s="296">
        <v>0</v>
      </c>
      <c r="AN2382" s="296">
        <v>0</v>
      </c>
      <c r="AO2382" s="296">
        <v>0</v>
      </c>
      <c r="AP2382" s="294">
        <v>0</v>
      </c>
      <c r="AQ2382" s="296">
        <v>5000</v>
      </c>
      <c r="AR2382" s="296">
        <v>0</v>
      </c>
      <c r="AS2382" s="296">
        <v>0</v>
      </c>
      <c r="AT2382" s="362" t="s">
        <v>5607</v>
      </c>
      <c r="AU2382" s="296" t="s">
        <v>204</v>
      </c>
      <c r="AV2382" s="296"/>
      <c r="AW2382" s="295" t="s">
        <v>204</v>
      </c>
      <c r="AX2382" s="296" t="s">
        <v>551</v>
      </c>
      <c r="AY2382" s="294">
        <v>0</v>
      </c>
      <c r="AZ2382" s="294">
        <v>77005104</v>
      </c>
      <c r="BA2382" s="295" t="s">
        <v>1171</v>
      </c>
      <c r="BB2382" s="296">
        <v>0</v>
      </c>
      <c r="BC2382" s="297">
        <v>0</v>
      </c>
      <c r="BD2382" s="297">
        <v>0</v>
      </c>
      <c r="BE2382" s="299" t="s">
        <v>5608</v>
      </c>
      <c r="BF2382" s="299" t="s">
        <v>5609</v>
      </c>
      <c r="BG2382" s="296">
        <v>0</v>
      </c>
      <c r="BH2382" s="296">
        <v>0</v>
      </c>
      <c r="BI2382" s="296">
        <v>0</v>
      </c>
      <c r="BJ2382" s="296">
        <v>0</v>
      </c>
      <c r="BK2382" s="296">
        <v>0</v>
      </c>
      <c r="BL2382" s="296">
        <v>0</v>
      </c>
      <c r="BM2382" s="300">
        <v>0</v>
      </c>
      <c r="BN2382" s="23">
        <v>0</v>
      </c>
      <c r="BO2382" s="23">
        <v>0</v>
      </c>
      <c r="BP2382" s="23">
        <v>0</v>
      </c>
      <c r="BQ2382" s="23">
        <v>0</v>
      </c>
      <c r="BR2382" s="23">
        <v>0</v>
      </c>
      <c r="BS2382" s="23">
        <v>0</v>
      </c>
      <c r="BT2382" s="23">
        <v>0</v>
      </c>
      <c r="BU2382" s="23">
        <v>0</v>
      </c>
      <c r="BV2382" s="23"/>
      <c r="BW2382" s="23"/>
      <c r="BX2382" s="23"/>
      <c r="BY2382" s="23"/>
      <c r="BZ2382" s="23"/>
    </row>
    <row r="2383" spans="1:78" ht="19.5" customHeight="1">
      <c r="A2383" s="140"/>
      <c r="B2383" s="140"/>
      <c r="C2383" s="294">
        <v>77007005</v>
      </c>
      <c r="D2383" s="295" t="s">
        <v>766</v>
      </c>
      <c r="E2383" s="295" t="s">
        <v>767</v>
      </c>
      <c r="F2383" s="296">
        <v>1</v>
      </c>
      <c r="G2383" s="296">
        <v>0</v>
      </c>
      <c r="H2383" s="296">
        <v>0</v>
      </c>
      <c r="I2383" s="297">
        <v>0</v>
      </c>
      <c r="J2383" s="294">
        <v>1</v>
      </c>
      <c r="K2383" s="294">
        <v>0</v>
      </c>
      <c r="L2383" s="294">
        <v>0</v>
      </c>
      <c r="M2383" s="296">
        <v>0</v>
      </c>
      <c r="N2383" s="296">
        <v>0</v>
      </c>
      <c r="O2383" s="296">
        <v>2</v>
      </c>
      <c r="P2383" s="296">
        <v>1</v>
      </c>
      <c r="Q2383" s="296">
        <v>1</v>
      </c>
      <c r="R2383" s="296">
        <v>1</v>
      </c>
      <c r="S2383" s="23">
        <v>0</v>
      </c>
      <c r="T2383" s="296">
        <v>0</v>
      </c>
      <c r="U2383" s="296">
        <v>1</v>
      </c>
      <c r="V2383" s="296">
        <v>1</v>
      </c>
      <c r="W2383" s="296">
        <v>0</v>
      </c>
      <c r="X2383" s="296">
        <v>1.5</v>
      </c>
      <c r="Y2383" s="19">
        <v>0</v>
      </c>
      <c r="Z2383" s="296">
        <v>0</v>
      </c>
      <c r="AA2383" s="296">
        <v>0</v>
      </c>
      <c r="AB2383" s="296">
        <v>0</v>
      </c>
      <c r="AC2383" s="296">
        <v>0</v>
      </c>
      <c r="AD2383" s="296">
        <v>0</v>
      </c>
      <c r="AE2383" s="296">
        <v>1</v>
      </c>
      <c r="AF2383" s="296">
        <v>10</v>
      </c>
      <c r="AG2383" s="296">
        <v>2</v>
      </c>
      <c r="AH2383" s="296" t="s">
        <v>1042</v>
      </c>
      <c r="AI2383" s="23">
        <v>0</v>
      </c>
      <c r="AJ2383" s="23">
        <v>2</v>
      </c>
      <c r="AK2383" s="23">
        <v>0</v>
      </c>
      <c r="AL2383" s="23">
        <v>1.5</v>
      </c>
      <c r="AM2383" s="296">
        <v>0</v>
      </c>
      <c r="AN2383" s="296">
        <v>0.5</v>
      </c>
      <c r="AO2383" s="296">
        <v>0</v>
      </c>
      <c r="AP2383" s="296">
        <v>1</v>
      </c>
      <c r="AQ2383" s="296">
        <v>1000</v>
      </c>
      <c r="AR2383" s="296">
        <v>0.2</v>
      </c>
      <c r="AS2383" s="296">
        <v>15</v>
      </c>
      <c r="AT2383" s="23">
        <v>0</v>
      </c>
      <c r="AU2383" s="359" t="s">
        <v>5568</v>
      </c>
      <c r="AV2383" s="301"/>
      <c r="AW2383" s="295" t="s">
        <v>205</v>
      </c>
      <c r="AX2383" s="296" t="s">
        <v>221</v>
      </c>
      <c r="AY2383" s="294">
        <v>0</v>
      </c>
      <c r="AZ2383" s="294">
        <v>0</v>
      </c>
      <c r="BA2383" s="307" t="s">
        <v>222</v>
      </c>
      <c r="BB2383" s="296">
        <v>0</v>
      </c>
      <c r="BC2383" s="297">
        <v>0</v>
      </c>
      <c r="BD2383" s="297">
        <v>0</v>
      </c>
      <c r="BE2383" s="299" t="s">
        <v>2379</v>
      </c>
      <c r="BF2383" s="299" t="s">
        <v>2380</v>
      </c>
      <c r="BG2383" s="296">
        <v>0</v>
      </c>
      <c r="BH2383" s="296">
        <v>0</v>
      </c>
      <c r="BI2383" s="296">
        <v>0</v>
      </c>
      <c r="BJ2383" s="296">
        <v>0</v>
      </c>
      <c r="BK2383" s="296">
        <v>0</v>
      </c>
      <c r="BL2383" s="296">
        <v>0</v>
      </c>
      <c r="BM2383" s="300">
        <v>0</v>
      </c>
      <c r="BN2383" s="23">
        <v>0</v>
      </c>
      <c r="BO2383" s="23">
        <v>0</v>
      </c>
      <c r="BP2383" s="23">
        <v>0</v>
      </c>
      <c r="BQ2383" s="23">
        <v>0</v>
      </c>
      <c r="BR2383" s="23">
        <v>0</v>
      </c>
      <c r="BS2383" s="23">
        <v>0</v>
      </c>
      <c r="BT2383" s="23">
        <v>0</v>
      </c>
      <c r="BU2383" s="23">
        <v>0</v>
      </c>
      <c r="BV2383" s="23"/>
      <c r="BW2383" s="23"/>
      <c r="BX2383" s="23"/>
      <c r="BY2383" s="23"/>
      <c r="BZ2383" s="23"/>
    </row>
    <row r="2384" spans="1:78" ht="19.5" customHeight="1">
      <c r="A2384" s="140"/>
      <c r="B2384" s="140"/>
      <c r="C2384" s="294">
        <v>77007006</v>
      </c>
      <c r="D2384" s="295" t="s">
        <v>2381</v>
      </c>
      <c r="E2384" s="295" t="s">
        <v>2382</v>
      </c>
      <c r="F2384" s="294">
        <v>1</v>
      </c>
      <c r="G2384" s="294">
        <v>0</v>
      </c>
      <c r="H2384" s="294">
        <v>0</v>
      </c>
      <c r="I2384" s="297">
        <v>0</v>
      </c>
      <c r="J2384" s="294">
        <v>1</v>
      </c>
      <c r="K2384" s="294">
        <v>0</v>
      </c>
      <c r="L2384" s="294">
        <v>0</v>
      </c>
      <c r="M2384" s="296">
        <v>0</v>
      </c>
      <c r="N2384" s="296">
        <v>0</v>
      </c>
      <c r="O2384" s="296">
        <v>2</v>
      </c>
      <c r="P2384" s="296">
        <v>3</v>
      </c>
      <c r="Q2384" s="296">
        <v>0.2</v>
      </c>
      <c r="R2384" s="296">
        <v>0</v>
      </c>
      <c r="S2384" s="23">
        <v>0</v>
      </c>
      <c r="T2384" s="296">
        <v>0</v>
      </c>
      <c r="U2384" s="296">
        <v>1</v>
      </c>
      <c r="V2384" s="296">
        <v>2</v>
      </c>
      <c r="W2384" s="296">
        <v>0</v>
      </c>
      <c r="X2384" s="296">
        <v>0</v>
      </c>
      <c r="Y2384" s="19">
        <v>0</v>
      </c>
      <c r="Z2384" s="296">
        <v>0</v>
      </c>
      <c r="AA2384" s="296">
        <v>1</v>
      </c>
      <c r="AB2384" s="296">
        <v>0</v>
      </c>
      <c r="AC2384" s="296">
        <v>0</v>
      </c>
      <c r="AD2384" s="296">
        <v>1</v>
      </c>
      <c r="AE2384" s="296">
        <v>1</v>
      </c>
      <c r="AF2384" s="296">
        <v>0</v>
      </c>
      <c r="AG2384" s="296">
        <v>1</v>
      </c>
      <c r="AH2384" s="296">
        <v>3</v>
      </c>
      <c r="AI2384" s="23">
        <v>0</v>
      </c>
      <c r="AJ2384" s="23">
        <v>1</v>
      </c>
      <c r="AK2384" s="23">
        <v>0</v>
      </c>
      <c r="AL2384" s="23">
        <v>3</v>
      </c>
      <c r="AM2384" s="296">
        <v>0</v>
      </c>
      <c r="AN2384" s="296">
        <v>0</v>
      </c>
      <c r="AO2384" s="296">
        <v>0</v>
      </c>
      <c r="AP2384" s="296">
        <v>0</v>
      </c>
      <c r="AQ2384" s="296">
        <v>500</v>
      </c>
      <c r="AR2384" s="296">
        <v>0</v>
      </c>
      <c r="AS2384" s="296">
        <v>0</v>
      </c>
      <c r="AT2384" s="23">
        <v>97050104</v>
      </c>
      <c r="AU2384" s="301">
        <v>0</v>
      </c>
      <c r="AV2384" s="301"/>
      <c r="AW2384" s="298" t="s">
        <v>204</v>
      </c>
      <c r="AX2384" s="296" t="s">
        <v>540</v>
      </c>
      <c r="AY2384" s="294">
        <v>0</v>
      </c>
      <c r="AZ2384" s="294">
        <v>0</v>
      </c>
      <c r="BA2384" s="295" t="s">
        <v>206</v>
      </c>
      <c r="BB2384" s="296">
        <v>0</v>
      </c>
      <c r="BC2384" s="297">
        <v>0</v>
      </c>
      <c r="BD2384" s="297">
        <v>0</v>
      </c>
      <c r="BE2384" s="299" t="s">
        <v>2334</v>
      </c>
      <c r="BF2384" s="299" t="s">
        <v>2335</v>
      </c>
      <c r="BG2384" s="296">
        <v>0</v>
      </c>
      <c r="BH2384" s="296">
        <v>0</v>
      </c>
      <c r="BI2384" s="296">
        <v>0</v>
      </c>
      <c r="BJ2384" s="296">
        <v>0</v>
      </c>
      <c r="BK2384" s="296">
        <v>0</v>
      </c>
      <c r="BL2384" s="296">
        <v>0</v>
      </c>
      <c r="BM2384" s="300">
        <v>0</v>
      </c>
      <c r="BN2384" s="23">
        <v>0</v>
      </c>
      <c r="BO2384" s="23">
        <v>0</v>
      </c>
      <c r="BP2384" s="23">
        <v>0</v>
      </c>
      <c r="BQ2384" s="23">
        <v>0</v>
      </c>
      <c r="BR2384" s="23">
        <v>0</v>
      </c>
      <c r="BS2384" s="23">
        <v>0</v>
      </c>
      <c r="BT2384" s="23">
        <v>0</v>
      </c>
      <c r="BU2384" s="23">
        <v>0</v>
      </c>
      <c r="BV2384" s="23"/>
      <c r="BW2384" s="23"/>
      <c r="BX2384" s="23"/>
      <c r="BY2384" s="23"/>
      <c r="BZ2384" s="23"/>
    </row>
    <row r="2385" spans="1:78" s="5" customFormat="1" ht="20.100000000000001" customHeight="1">
      <c r="C2385" s="294">
        <v>77007007</v>
      </c>
      <c r="D2385" s="311" t="s">
        <v>766</v>
      </c>
      <c r="E2385" s="312" t="s">
        <v>767</v>
      </c>
      <c r="F2385" s="313">
        <v>1</v>
      </c>
      <c r="G2385" s="313">
        <v>0</v>
      </c>
      <c r="H2385" s="314">
        <v>0</v>
      </c>
      <c r="I2385" s="315">
        <v>0</v>
      </c>
      <c r="J2385" s="316">
        <v>1</v>
      </c>
      <c r="K2385" s="316">
        <v>0</v>
      </c>
      <c r="L2385" s="316">
        <v>0</v>
      </c>
      <c r="M2385" s="314">
        <v>0</v>
      </c>
      <c r="N2385" s="314">
        <v>0</v>
      </c>
      <c r="O2385" s="314">
        <v>2</v>
      </c>
      <c r="P2385" s="314">
        <v>1</v>
      </c>
      <c r="Q2385" s="314">
        <v>0.2</v>
      </c>
      <c r="R2385" s="314">
        <v>0</v>
      </c>
      <c r="S2385" s="249">
        <v>0</v>
      </c>
      <c r="T2385" s="314">
        <v>0</v>
      </c>
      <c r="U2385" s="314">
        <v>1</v>
      </c>
      <c r="V2385" s="313">
        <v>1</v>
      </c>
      <c r="W2385" s="314">
        <v>0</v>
      </c>
      <c r="X2385" s="314">
        <v>1</v>
      </c>
      <c r="Y2385" s="19">
        <v>0</v>
      </c>
      <c r="Z2385" s="314">
        <v>150</v>
      </c>
      <c r="AA2385" s="314">
        <v>1</v>
      </c>
      <c r="AB2385" s="314">
        <v>0</v>
      </c>
      <c r="AC2385" s="314">
        <v>0</v>
      </c>
      <c r="AD2385" s="314">
        <v>0</v>
      </c>
      <c r="AE2385" s="314">
        <v>1</v>
      </c>
      <c r="AF2385" s="314">
        <v>12</v>
      </c>
      <c r="AG2385" s="314">
        <v>2</v>
      </c>
      <c r="AH2385" s="314" t="s">
        <v>219</v>
      </c>
      <c r="AI2385" s="249">
        <v>0</v>
      </c>
      <c r="AJ2385" s="249">
        <v>2</v>
      </c>
      <c r="AK2385" s="249">
        <v>0</v>
      </c>
      <c r="AL2385" s="249">
        <v>1.5</v>
      </c>
      <c r="AM2385" s="314">
        <v>0</v>
      </c>
      <c r="AN2385" s="314">
        <v>0</v>
      </c>
      <c r="AO2385" s="314">
        <v>0</v>
      </c>
      <c r="AP2385" s="314">
        <v>1.5</v>
      </c>
      <c r="AQ2385" s="314">
        <v>1600</v>
      </c>
      <c r="AR2385" s="314">
        <v>1</v>
      </c>
      <c r="AS2385" s="314">
        <v>15</v>
      </c>
      <c r="AT2385" s="249">
        <v>0</v>
      </c>
      <c r="AU2385" s="364" t="s">
        <v>5610</v>
      </c>
      <c r="AV2385" s="317"/>
      <c r="AW2385" s="311" t="s">
        <v>205</v>
      </c>
      <c r="AX2385" s="314" t="s">
        <v>221</v>
      </c>
      <c r="AY2385" s="316">
        <v>10000011</v>
      </c>
      <c r="AZ2385" s="316">
        <v>77005105</v>
      </c>
      <c r="BA2385" s="311" t="s">
        <v>222</v>
      </c>
      <c r="BB2385" s="314">
        <v>0</v>
      </c>
      <c r="BC2385" s="315">
        <v>0</v>
      </c>
      <c r="BD2385" s="315">
        <v>0</v>
      </c>
      <c r="BE2385" s="318" t="s">
        <v>2300</v>
      </c>
      <c r="BF2385" s="318" t="s">
        <v>2301</v>
      </c>
      <c r="BG2385" s="314">
        <v>0</v>
      </c>
      <c r="BH2385" s="314">
        <v>0</v>
      </c>
      <c r="BI2385" s="314">
        <v>0</v>
      </c>
      <c r="BJ2385" s="314">
        <v>0</v>
      </c>
      <c r="BK2385" s="314">
        <v>0</v>
      </c>
      <c r="BL2385" s="314">
        <v>0</v>
      </c>
      <c r="BM2385" s="313">
        <v>0</v>
      </c>
      <c r="BN2385" s="249">
        <v>0</v>
      </c>
      <c r="BO2385" s="249">
        <v>0</v>
      </c>
      <c r="BP2385" s="249">
        <v>0</v>
      </c>
      <c r="BQ2385" s="249">
        <v>0</v>
      </c>
      <c r="BR2385" s="249">
        <v>0</v>
      </c>
      <c r="BS2385" s="249">
        <v>0</v>
      </c>
      <c r="BT2385" s="249">
        <v>0</v>
      </c>
      <c r="BU2385" s="249">
        <v>0</v>
      </c>
      <c r="BV2385" s="23"/>
      <c r="BW2385" s="23"/>
      <c r="BX2385" s="23"/>
      <c r="BY2385" s="23"/>
      <c r="BZ2385" s="23"/>
    </row>
    <row r="2386" spans="1:78" ht="19.5" customHeight="1">
      <c r="A2386" s="140"/>
      <c r="B2386" s="140"/>
      <c r="C2386" s="74">
        <v>77008001</v>
      </c>
      <c r="D2386" s="71" t="s">
        <v>5611</v>
      </c>
      <c r="E2386" s="71" t="s">
        <v>5612</v>
      </c>
      <c r="F2386" s="72">
        <v>1</v>
      </c>
      <c r="G2386" s="72">
        <v>63021101</v>
      </c>
      <c r="H2386" s="72">
        <v>0</v>
      </c>
      <c r="I2386" s="75">
        <v>0</v>
      </c>
      <c r="J2386" s="74">
        <v>1</v>
      </c>
      <c r="K2386" s="72">
        <v>0</v>
      </c>
      <c r="L2386" s="72">
        <v>0</v>
      </c>
      <c r="M2386" s="72">
        <v>0</v>
      </c>
      <c r="N2386" s="72">
        <v>0</v>
      </c>
      <c r="O2386" s="72">
        <v>1</v>
      </c>
      <c r="P2386" s="72">
        <v>0</v>
      </c>
      <c r="Q2386" s="72">
        <v>0</v>
      </c>
      <c r="R2386" s="72">
        <v>0</v>
      </c>
      <c r="S2386" s="73">
        <v>0</v>
      </c>
      <c r="T2386" s="72">
        <v>0</v>
      </c>
      <c r="U2386" s="72">
        <v>1</v>
      </c>
      <c r="V2386" s="72">
        <v>1</v>
      </c>
      <c r="W2386" s="72">
        <v>0</v>
      </c>
      <c r="X2386" s="72">
        <v>3</v>
      </c>
      <c r="Y2386" s="19">
        <v>0</v>
      </c>
      <c r="Z2386" s="72">
        <v>0</v>
      </c>
      <c r="AA2386" s="72">
        <v>0</v>
      </c>
      <c r="AB2386" s="72">
        <v>0</v>
      </c>
      <c r="AC2386" s="72">
        <v>0</v>
      </c>
      <c r="AD2386" s="72">
        <v>0</v>
      </c>
      <c r="AE2386" s="72">
        <v>0</v>
      </c>
      <c r="AF2386" s="72">
        <v>16</v>
      </c>
      <c r="AG2386" s="72">
        <v>1</v>
      </c>
      <c r="AH2386" s="93">
        <v>2</v>
      </c>
      <c r="AI2386" s="73">
        <v>2</v>
      </c>
      <c r="AJ2386" s="73">
        <v>2</v>
      </c>
      <c r="AK2386" s="73">
        <v>0</v>
      </c>
      <c r="AL2386" s="73">
        <v>3</v>
      </c>
      <c r="AM2386" s="72">
        <v>0</v>
      </c>
      <c r="AN2386" s="72">
        <v>0</v>
      </c>
      <c r="AO2386" s="72">
        <v>0</v>
      </c>
      <c r="AP2386" s="72">
        <v>0.2</v>
      </c>
      <c r="AQ2386" s="72">
        <v>3000</v>
      </c>
      <c r="AR2386" s="72">
        <v>0.2</v>
      </c>
      <c r="AS2386" s="72">
        <v>8</v>
      </c>
      <c r="AT2386" s="73">
        <v>0</v>
      </c>
      <c r="AU2386" s="344" t="s">
        <v>5613</v>
      </c>
      <c r="AV2386" s="72"/>
      <c r="AW2386" s="71" t="s">
        <v>204</v>
      </c>
      <c r="AX2386" s="72" t="s">
        <v>540</v>
      </c>
      <c r="AY2386" s="74">
        <v>10000001</v>
      </c>
      <c r="AZ2386" s="74">
        <v>77005201</v>
      </c>
      <c r="BA2386" s="71" t="s">
        <v>592</v>
      </c>
      <c r="BB2386" s="72">
        <v>0</v>
      </c>
      <c r="BC2386" s="73">
        <v>0</v>
      </c>
      <c r="BD2386" s="73">
        <v>0</v>
      </c>
      <c r="BE2386" s="114" t="s">
        <v>5614</v>
      </c>
      <c r="BF2386" s="114" t="s">
        <v>5615</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20.100000000000001" customHeight="1">
      <c r="A2387" s="140"/>
      <c r="B2387" s="140"/>
      <c r="C2387" s="74">
        <v>77008002</v>
      </c>
      <c r="D2387" s="71" t="s">
        <v>5616</v>
      </c>
      <c r="E2387" s="160" t="s">
        <v>1202</v>
      </c>
      <c r="F2387" s="90">
        <v>1</v>
      </c>
      <c r="G2387" s="72">
        <v>63021101</v>
      </c>
      <c r="H2387" s="74">
        <v>0</v>
      </c>
      <c r="I2387" s="75">
        <v>0</v>
      </c>
      <c r="J2387" s="74">
        <v>1</v>
      </c>
      <c r="K2387" s="72">
        <v>0</v>
      </c>
      <c r="L2387" s="74">
        <v>0</v>
      </c>
      <c r="M2387" s="72">
        <v>0</v>
      </c>
      <c r="N2387" s="72">
        <v>0</v>
      </c>
      <c r="O2387" s="72">
        <v>1</v>
      </c>
      <c r="P2387" s="72">
        <v>0</v>
      </c>
      <c r="Q2387" s="72">
        <v>0</v>
      </c>
      <c r="R2387" s="72">
        <v>0</v>
      </c>
      <c r="S2387" s="73">
        <v>0</v>
      </c>
      <c r="T2387" s="72">
        <v>0</v>
      </c>
      <c r="U2387" s="72">
        <v>1</v>
      </c>
      <c r="V2387" s="72">
        <v>1</v>
      </c>
      <c r="W2387" s="72">
        <v>0</v>
      </c>
      <c r="X2387" s="72">
        <v>1</v>
      </c>
      <c r="Y2387" s="19">
        <v>0</v>
      </c>
      <c r="Z2387" s="72">
        <v>0</v>
      </c>
      <c r="AA2387" s="72">
        <v>0</v>
      </c>
      <c r="AB2387" s="72">
        <v>0</v>
      </c>
      <c r="AC2387" s="72">
        <v>0</v>
      </c>
      <c r="AD2387" s="72">
        <v>0</v>
      </c>
      <c r="AE2387" s="72">
        <v>0</v>
      </c>
      <c r="AF2387" s="72">
        <v>9</v>
      </c>
      <c r="AG2387" s="72">
        <v>1</v>
      </c>
      <c r="AH2387" s="72">
        <v>4</v>
      </c>
      <c r="AI2387" s="73">
        <v>2</v>
      </c>
      <c r="AJ2387" s="73">
        <v>1</v>
      </c>
      <c r="AK2387" s="73">
        <v>0</v>
      </c>
      <c r="AL2387" s="73">
        <v>8</v>
      </c>
      <c r="AM2387" s="72">
        <v>0</v>
      </c>
      <c r="AN2387" s="72">
        <v>0</v>
      </c>
      <c r="AO2387" s="72">
        <v>0</v>
      </c>
      <c r="AP2387" s="72">
        <v>0</v>
      </c>
      <c r="AQ2387" s="72">
        <v>6000</v>
      </c>
      <c r="AR2387" s="72">
        <v>0.2</v>
      </c>
      <c r="AS2387" s="72">
        <v>0</v>
      </c>
      <c r="AT2387" s="73">
        <v>0</v>
      </c>
      <c r="AU2387" s="322" t="s">
        <v>5568</v>
      </c>
      <c r="AV2387" s="93"/>
      <c r="AW2387" s="88" t="s">
        <v>204</v>
      </c>
      <c r="AX2387" s="72" t="s">
        <v>551</v>
      </c>
      <c r="AY2387" s="74">
        <v>10000001</v>
      </c>
      <c r="AZ2387" s="74">
        <v>77005203</v>
      </c>
      <c r="BA2387" s="71" t="s">
        <v>321</v>
      </c>
      <c r="BB2387" s="72">
        <v>1</v>
      </c>
      <c r="BC2387" s="75">
        <v>0</v>
      </c>
      <c r="BD2387" s="75">
        <v>0</v>
      </c>
      <c r="BE2387" s="76" t="s">
        <v>5617</v>
      </c>
      <c r="BF2387" s="76" t="s">
        <v>5618</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ht="20.100000000000001" customHeight="1">
      <c r="A2388" s="140"/>
      <c r="B2388" s="140"/>
      <c r="C2388" s="74">
        <v>77008003</v>
      </c>
      <c r="D2388" s="71" t="s">
        <v>5619</v>
      </c>
      <c r="E2388" s="160" t="s">
        <v>5620</v>
      </c>
      <c r="F2388" s="90">
        <v>1</v>
      </c>
      <c r="G2388" s="72">
        <v>63021101</v>
      </c>
      <c r="H2388" s="74">
        <v>0</v>
      </c>
      <c r="I2388" s="75">
        <v>0</v>
      </c>
      <c r="J2388" s="74">
        <v>1</v>
      </c>
      <c r="K2388" s="72">
        <v>0</v>
      </c>
      <c r="L2388" s="74">
        <v>0</v>
      </c>
      <c r="M2388" s="72">
        <v>0</v>
      </c>
      <c r="N2388" s="72">
        <v>0</v>
      </c>
      <c r="O2388" s="72">
        <v>1</v>
      </c>
      <c r="P2388" s="72">
        <v>0</v>
      </c>
      <c r="Q2388" s="72">
        <v>0</v>
      </c>
      <c r="R2388" s="72">
        <v>0</v>
      </c>
      <c r="S2388" s="73">
        <v>0</v>
      </c>
      <c r="T2388" s="72">
        <v>0</v>
      </c>
      <c r="U2388" s="72">
        <v>1</v>
      </c>
      <c r="V2388" s="72">
        <v>1</v>
      </c>
      <c r="W2388" s="72">
        <v>0</v>
      </c>
      <c r="X2388" s="72">
        <v>2</v>
      </c>
      <c r="Y2388" s="19">
        <v>0</v>
      </c>
      <c r="Z2388" s="72">
        <v>0</v>
      </c>
      <c r="AA2388" s="72">
        <v>0</v>
      </c>
      <c r="AB2388" s="72">
        <v>0</v>
      </c>
      <c r="AC2388" s="72">
        <v>0</v>
      </c>
      <c r="AD2388" s="72">
        <v>0</v>
      </c>
      <c r="AE2388" s="72">
        <v>0</v>
      </c>
      <c r="AF2388" s="72">
        <v>12</v>
      </c>
      <c r="AG2388" s="72">
        <v>1</v>
      </c>
      <c r="AH2388" s="72">
        <v>4</v>
      </c>
      <c r="AI2388" s="73">
        <v>2</v>
      </c>
      <c r="AJ2388" s="73">
        <v>1</v>
      </c>
      <c r="AK2388" s="73">
        <v>0</v>
      </c>
      <c r="AL2388" s="73">
        <v>7</v>
      </c>
      <c r="AM2388" s="72">
        <v>0</v>
      </c>
      <c r="AN2388" s="72">
        <v>0</v>
      </c>
      <c r="AO2388" s="72">
        <v>0</v>
      </c>
      <c r="AP2388" s="74">
        <v>0.2</v>
      </c>
      <c r="AQ2388" s="72">
        <v>1000</v>
      </c>
      <c r="AR2388" s="72">
        <v>0.4</v>
      </c>
      <c r="AS2388" s="72">
        <v>0</v>
      </c>
      <c r="AT2388" s="73">
        <v>0</v>
      </c>
      <c r="AU2388" s="72">
        <v>97050203</v>
      </c>
      <c r="AV2388" s="72"/>
      <c r="AW2388" s="71" t="s">
        <v>204</v>
      </c>
      <c r="AX2388" s="72" t="s">
        <v>551</v>
      </c>
      <c r="AY2388" s="74">
        <v>0</v>
      </c>
      <c r="AZ2388" s="74">
        <v>77005207</v>
      </c>
      <c r="BA2388" s="71" t="s">
        <v>206</v>
      </c>
      <c r="BB2388" s="72">
        <v>0</v>
      </c>
      <c r="BC2388" s="75">
        <v>0</v>
      </c>
      <c r="BD2388" s="75">
        <v>0</v>
      </c>
      <c r="BE2388" s="76" t="s">
        <v>5621</v>
      </c>
      <c r="BF2388" s="76" t="s">
        <v>5622</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330" t="s">
        <v>5623</v>
      </c>
      <c r="BV2388" s="23"/>
      <c r="BW2388" s="23"/>
      <c r="BX2388" s="23"/>
      <c r="BY2388" s="23"/>
      <c r="BZ2388" s="23"/>
    </row>
    <row r="2389" spans="1:78" ht="20.100000000000001" customHeight="1">
      <c r="A2389" s="140"/>
      <c r="B2389" s="140"/>
      <c r="C2389" s="74">
        <v>77008004</v>
      </c>
      <c r="D2389" s="71" t="s">
        <v>5624</v>
      </c>
      <c r="E2389" s="160" t="s">
        <v>5625</v>
      </c>
      <c r="F2389" s="90">
        <v>1</v>
      </c>
      <c r="G2389" s="72">
        <v>63021101</v>
      </c>
      <c r="H2389" s="74">
        <v>0</v>
      </c>
      <c r="I2389" s="75">
        <v>0</v>
      </c>
      <c r="J2389" s="74">
        <v>1</v>
      </c>
      <c r="K2389" s="72">
        <v>0</v>
      </c>
      <c r="L2389" s="74">
        <v>0</v>
      </c>
      <c r="M2389" s="72">
        <v>0</v>
      </c>
      <c r="N2389" s="72">
        <v>0</v>
      </c>
      <c r="O2389" s="72">
        <v>1</v>
      </c>
      <c r="P2389" s="72">
        <v>0</v>
      </c>
      <c r="Q2389" s="72">
        <v>0</v>
      </c>
      <c r="R2389" s="72">
        <v>0</v>
      </c>
      <c r="S2389" s="73">
        <v>0</v>
      </c>
      <c r="T2389" s="72">
        <v>0</v>
      </c>
      <c r="U2389" s="72">
        <v>1</v>
      </c>
      <c r="V2389" s="72">
        <v>1</v>
      </c>
      <c r="W2389" s="72">
        <v>0</v>
      </c>
      <c r="X2389" s="72">
        <v>0</v>
      </c>
      <c r="Y2389" s="19">
        <v>0</v>
      </c>
      <c r="Z2389" s="72">
        <v>0</v>
      </c>
      <c r="AA2389" s="72">
        <v>0</v>
      </c>
      <c r="AB2389" s="72">
        <v>0</v>
      </c>
      <c r="AC2389" s="72">
        <v>0</v>
      </c>
      <c r="AD2389" s="72">
        <v>0</v>
      </c>
      <c r="AE2389" s="72">
        <v>0</v>
      </c>
      <c r="AF2389" s="72">
        <v>24</v>
      </c>
      <c r="AG2389" s="72">
        <v>1</v>
      </c>
      <c r="AH2389" s="72">
        <v>3</v>
      </c>
      <c r="AI2389" s="73">
        <v>0</v>
      </c>
      <c r="AJ2389" s="73">
        <v>0</v>
      </c>
      <c r="AK2389" s="73">
        <v>0</v>
      </c>
      <c r="AL2389" s="73">
        <v>1.5</v>
      </c>
      <c r="AM2389" s="72">
        <v>0</v>
      </c>
      <c r="AN2389" s="72">
        <v>0</v>
      </c>
      <c r="AO2389" s="72">
        <v>0</v>
      </c>
      <c r="AP2389" s="74">
        <v>0.1</v>
      </c>
      <c r="AQ2389" s="72">
        <v>3000</v>
      </c>
      <c r="AR2389" s="72">
        <v>0.1</v>
      </c>
      <c r="AS2389" s="72">
        <v>0</v>
      </c>
      <c r="AT2389" s="73">
        <v>97050202</v>
      </c>
      <c r="AU2389" s="344" t="s">
        <v>204</v>
      </c>
      <c r="AV2389" s="72"/>
      <c r="AW2389" s="71" t="s">
        <v>204</v>
      </c>
      <c r="AX2389" s="72" t="s">
        <v>551</v>
      </c>
      <c r="AY2389" s="74">
        <v>0</v>
      </c>
      <c r="AZ2389" s="74">
        <v>77005204</v>
      </c>
      <c r="BA2389" s="71" t="s">
        <v>206</v>
      </c>
      <c r="BB2389" s="72">
        <v>0</v>
      </c>
      <c r="BC2389" s="75">
        <v>0</v>
      </c>
      <c r="BD2389" s="75">
        <v>0</v>
      </c>
      <c r="BE2389" s="76" t="s">
        <v>5626</v>
      </c>
      <c r="BF2389" s="76" t="s">
        <v>5627</v>
      </c>
      <c r="BG2389" s="72">
        <v>0</v>
      </c>
      <c r="BH2389" s="72">
        <v>0</v>
      </c>
      <c r="BI2389" s="72">
        <v>0</v>
      </c>
      <c r="BJ2389" s="72">
        <v>0</v>
      </c>
      <c r="BK2389" s="72">
        <v>0</v>
      </c>
      <c r="BL2389" s="72">
        <v>0</v>
      </c>
      <c r="BM2389" s="90">
        <v>0</v>
      </c>
      <c r="BN2389" s="73">
        <v>0</v>
      </c>
      <c r="BO2389" s="73">
        <v>0</v>
      </c>
      <c r="BP2389" s="73">
        <v>0</v>
      </c>
      <c r="BQ2389" s="73">
        <v>0</v>
      </c>
      <c r="BR2389" s="73">
        <v>0</v>
      </c>
      <c r="BS2389" s="73">
        <v>0</v>
      </c>
      <c r="BT2389" s="73">
        <v>0</v>
      </c>
      <c r="BU2389" s="73">
        <v>0</v>
      </c>
      <c r="BV2389" s="23"/>
      <c r="BW2389" s="23"/>
      <c r="BX2389" s="23"/>
      <c r="BY2389" s="23"/>
      <c r="BZ2389" s="23"/>
    </row>
    <row r="2390" spans="1:78" ht="19.5" customHeight="1">
      <c r="A2390" s="140"/>
      <c r="B2390" s="140"/>
      <c r="C2390" s="74">
        <v>77008005</v>
      </c>
      <c r="D2390" s="71" t="s">
        <v>2332</v>
      </c>
      <c r="E2390" s="71" t="s">
        <v>2333</v>
      </c>
      <c r="F2390" s="74">
        <v>1</v>
      </c>
      <c r="G2390" s="74">
        <v>0</v>
      </c>
      <c r="H2390" s="74">
        <v>0</v>
      </c>
      <c r="I2390" s="75">
        <v>0</v>
      </c>
      <c r="J2390" s="74">
        <v>1</v>
      </c>
      <c r="K2390" s="74">
        <v>0</v>
      </c>
      <c r="L2390" s="74">
        <v>0</v>
      </c>
      <c r="M2390" s="72">
        <v>0</v>
      </c>
      <c r="N2390" s="72">
        <v>0</v>
      </c>
      <c r="O2390" s="72">
        <v>2</v>
      </c>
      <c r="P2390" s="72">
        <v>3</v>
      </c>
      <c r="Q2390" s="72">
        <v>0.2</v>
      </c>
      <c r="R2390" s="72">
        <v>0</v>
      </c>
      <c r="S2390" s="73">
        <v>0</v>
      </c>
      <c r="T2390" s="72">
        <v>0</v>
      </c>
      <c r="U2390" s="72">
        <v>1</v>
      </c>
      <c r="V2390" s="72">
        <v>2</v>
      </c>
      <c r="W2390" s="72">
        <v>0</v>
      </c>
      <c r="X2390" s="72">
        <v>2</v>
      </c>
      <c r="Y2390" s="19">
        <v>0</v>
      </c>
      <c r="Z2390" s="72">
        <v>0</v>
      </c>
      <c r="AA2390" s="72">
        <v>1</v>
      </c>
      <c r="AB2390" s="72">
        <v>0</v>
      </c>
      <c r="AC2390" s="72">
        <v>0</v>
      </c>
      <c r="AD2390" s="72">
        <v>1</v>
      </c>
      <c r="AE2390" s="72">
        <v>1</v>
      </c>
      <c r="AF2390" s="72">
        <v>0</v>
      </c>
      <c r="AG2390" s="72">
        <v>1</v>
      </c>
      <c r="AH2390" s="72">
        <v>3</v>
      </c>
      <c r="AI2390" s="73">
        <v>1</v>
      </c>
      <c r="AJ2390" s="73">
        <v>1</v>
      </c>
      <c r="AK2390" s="73">
        <v>0</v>
      </c>
      <c r="AL2390" s="73">
        <v>3</v>
      </c>
      <c r="AM2390" s="72">
        <v>0</v>
      </c>
      <c r="AN2390" s="72">
        <v>0</v>
      </c>
      <c r="AO2390" s="72">
        <v>0</v>
      </c>
      <c r="AP2390" s="72">
        <v>0</v>
      </c>
      <c r="AQ2390" s="72">
        <v>2000</v>
      </c>
      <c r="AR2390" s="72">
        <v>0.4</v>
      </c>
      <c r="AS2390" s="72">
        <v>0</v>
      </c>
      <c r="AT2390" s="73">
        <v>0</v>
      </c>
      <c r="AU2390" s="322" t="s">
        <v>5568</v>
      </c>
      <c r="AV2390" s="93"/>
      <c r="AW2390" s="88" t="s">
        <v>204</v>
      </c>
      <c r="AX2390" s="72" t="s">
        <v>540</v>
      </c>
      <c r="AY2390" s="74">
        <v>0</v>
      </c>
      <c r="AZ2390" s="74">
        <v>77005207</v>
      </c>
      <c r="BA2390" s="71" t="s">
        <v>206</v>
      </c>
      <c r="BB2390" s="72">
        <v>0</v>
      </c>
      <c r="BC2390" s="75">
        <v>0</v>
      </c>
      <c r="BD2390" s="75">
        <v>0</v>
      </c>
      <c r="BE2390" s="76" t="s">
        <v>2427</v>
      </c>
      <c r="BF2390" s="76" t="s">
        <v>2428</v>
      </c>
      <c r="BG2390" s="72">
        <v>0</v>
      </c>
      <c r="BH2390" s="72">
        <v>0</v>
      </c>
      <c r="BI2390" s="72">
        <v>0</v>
      </c>
      <c r="BJ2390" s="72">
        <v>0</v>
      </c>
      <c r="BK2390" s="72">
        <v>0</v>
      </c>
      <c r="BL2390" s="72">
        <v>0</v>
      </c>
      <c r="BM2390" s="90">
        <v>0</v>
      </c>
      <c r="BN2390" s="73">
        <v>0</v>
      </c>
      <c r="BO2390" s="73">
        <v>0</v>
      </c>
      <c r="BP2390" s="73">
        <v>0</v>
      </c>
      <c r="BQ2390" s="73">
        <v>0</v>
      </c>
      <c r="BR2390" s="73">
        <v>0</v>
      </c>
      <c r="BS2390" s="73">
        <v>0</v>
      </c>
      <c r="BT2390" s="73">
        <v>0</v>
      </c>
      <c r="BU2390" s="73">
        <v>0</v>
      </c>
      <c r="BV2390" s="23"/>
      <c r="BW2390" s="23"/>
      <c r="BX2390" s="23"/>
      <c r="BY2390" s="23"/>
      <c r="BZ2390" s="23"/>
    </row>
    <row r="2391" spans="1:78" ht="19.5" customHeight="1">
      <c r="A2391" s="140"/>
      <c r="B2391" s="140"/>
      <c r="C2391" s="74">
        <v>77008006</v>
      </c>
      <c r="D2391" s="71" t="s">
        <v>2429</v>
      </c>
      <c r="E2391" s="71" t="s">
        <v>2430</v>
      </c>
      <c r="F2391" s="74">
        <v>1</v>
      </c>
      <c r="G2391" s="72">
        <v>0</v>
      </c>
      <c r="H2391" s="74">
        <v>0</v>
      </c>
      <c r="I2391" s="75">
        <v>0</v>
      </c>
      <c r="J2391" s="74">
        <v>1</v>
      </c>
      <c r="K2391" s="74">
        <v>0</v>
      </c>
      <c r="L2391" s="74">
        <v>0</v>
      </c>
      <c r="M2391" s="72">
        <v>0</v>
      </c>
      <c r="N2391" s="72">
        <v>0</v>
      </c>
      <c r="O2391" s="72">
        <v>2</v>
      </c>
      <c r="P2391" s="72">
        <v>16</v>
      </c>
      <c r="Q2391" s="72">
        <v>1</v>
      </c>
      <c r="R2391" s="72">
        <v>0</v>
      </c>
      <c r="S2391" s="73">
        <v>0</v>
      </c>
      <c r="T2391" s="72">
        <v>0</v>
      </c>
      <c r="U2391" s="72">
        <v>1</v>
      </c>
      <c r="V2391" s="72">
        <v>2</v>
      </c>
      <c r="W2391" s="72">
        <v>0</v>
      </c>
      <c r="X2391" s="72">
        <v>1.5</v>
      </c>
      <c r="Y2391" s="19">
        <v>0</v>
      </c>
      <c r="Z2391" s="72">
        <v>0</v>
      </c>
      <c r="AA2391" s="72">
        <v>0</v>
      </c>
      <c r="AB2391" s="72">
        <v>0</v>
      </c>
      <c r="AC2391" s="72">
        <v>0</v>
      </c>
      <c r="AD2391" s="72">
        <v>0</v>
      </c>
      <c r="AE2391" s="72">
        <v>1</v>
      </c>
      <c r="AF2391" s="72">
        <v>0</v>
      </c>
      <c r="AG2391" s="72">
        <v>1</v>
      </c>
      <c r="AH2391" s="72">
        <v>2</v>
      </c>
      <c r="AI2391" s="73">
        <v>0</v>
      </c>
      <c r="AJ2391" s="73">
        <v>2</v>
      </c>
      <c r="AK2391" s="73">
        <v>0</v>
      </c>
      <c r="AL2391" s="73">
        <v>2</v>
      </c>
      <c r="AM2391" s="72">
        <v>0</v>
      </c>
      <c r="AN2391" s="72">
        <v>0</v>
      </c>
      <c r="AO2391" s="72">
        <v>0</v>
      </c>
      <c r="AP2391" s="72">
        <v>0</v>
      </c>
      <c r="AQ2391" s="72">
        <v>5000</v>
      </c>
      <c r="AR2391" s="72">
        <v>0</v>
      </c>
      <c r="AS2391" s="72">
        <v>15</v>
      </c>
      <c r="AT2391" s="92">
        <v>0</v>
      </c>
      <c r="AU2391" s="322" t="s">
        <v>5568</v>
      </c>
      <c r="AV2391" s="93"/>
      <c r="AW2391" s="71" t="s">
        <v>204</v>
      </c>
      <c r="AX2391" s="72" t="s">
        <v>540</v>
      </c>
      <c r="AY2391" s="74">
        <v>10000007</v>
      </c>
      <c r="AZ2391" s="74">
        <v>77005205</v>
      </c>
      <c r="BA2391" s="71" t="s">
        <v>592</v>
      </c>
      <c r="BB2391" s="72" t="s">
        <v>2431</v>
      </c>
      <c r="BC2391" s="75">
        <v>0</v>
      </c>
      <c r="BD2391" s="75">
        <v>1</v>
      </c>
      <c r="BE2391" s="76" t="s">
        <v>2432</v>
      </c>
      <c r="BF2391" s="76" t="s">
        <v>2433</v>
      </c>
      <c r="BG2391" s="72">
        <v>0</v>
      </c>
      <c r="BH2391" s="72">
        <v>0</v>
      </c>
      <c r="BI2391" s="72">
        <v>0</v>
      </c>
      <c r="BJ2391" s="72">
        <v>0</v>
      </c>
      <c r="BK2391" s="72">
        <v>0</v>
      </c>
      <c r="BL2391" s="72">
        <v>0</v>
      </c>
      <c r="BM2391" s="90">
        <v>0</v>
      </c>
      <c r="BN2391" s="73">
        <v>0</v>
      </c>
      <c r="BO2391" s="73">
        <v>0</v>
      </c>
      <c r="BP2391" s="73">
        <v>0</v>
      </c>
      <c r="BQ2391" s="73">
        <v>0</v>
      </c>
      <c r="BR2391" s="73">
        <v>0</v>
      </c>
      <c r="BS2391" s="73">
        <v>0</v>
      </c>
      <c r="BT2391" s="73">
        <v>0</v>
      </c>
      <c r="BU2391" s="73">
        <v>0</v>
      </c>
      <c r="BV2391" s="23"/>
      <c r="BW2391" s="23"/>
      <c r="BX2391" s="23"/>
      <c r="BY2391" s="23"/>
      <c r="BZ2391" s="23"/>
    </row>
    <row r="2392" spans="1:78" s="1" customFormat="1" ht="19.5" customHeight="1">
      <c r="A2392" s="218"/>
      <c r="B2392" s="218"/>
      <c r="C2392" s="74">
        <v>77008007</v>
      </c>
      <c r="D2392" s="71" t="s">
        <v>2434</v>
      </c>
      <c r="E2392" s="71" t="s">
        <v>2435</v>
      </c>
      <c r="F2392" s="74">
        <v>1</v>
      </c>
      <c r="G2392" s="74">
        <v>0</v>
      </c>
      <c r="H2392" s="74">
        <v>0</v>
      </c>
      <c r="I2392" s="75">
        <v>0</v>
      </c>
      <c r="J2392" s="74">
        <v>1</v>
      </c>
      <c r="K2392" s="74">
        <v>0</v>
      </c>
      <c r="L2392" s="74">
        <v>0</v>
      </c>
      <c r="M2392" s="72">
        <v>0</v>
      </c>
      <c r="N2392" s="72">
        <v>0</v>
      </c>
      <c r="O2392" s="72">
        <v>2</v>
      </c>
      <c r="P2392" s="72">
        <v>3</v>
      </c>
      <c r="Q2392" s="72">
        <v>0.2</v>
      </c>
      <c r="R2392" s="72">
        <v>0</v>
      </c>
      <c r="S2392" s="73">
        <v>0</v>
      </c>
      <c r="T2392" s="72">
        <v>0</v>
      </c>
      <c r="U2392" s="72">
        <v>1</v>
      </c>
      <c r="V2392" s="72">
        <v>2</v>
      </c>
      <c r="W2392" s="72">
        <v>0</v>
      </c>
      <c r="X2392" s="72">
        <v>1.5</v>
      </c>
      <c r="Y2392" s="19">
        <v>0</v>
      </c>
      <c r="Z2392" s="72">
        <v>0</v>
      </c>
      <c r="AA2392" s="72">
        <v>1</v>
      </c>
      <c r="AB2392" s="72">
        <v>0</v>
      </c>
      <c r="AC2392" s="72">
        <v>0</v>
      </c>
      <c r="AD2392" s="72">
        <v>1</v>
      </c>
      <c r="AE2392" s="72">
        <v>1</v>
      </c>
      <c r="AF2392" s="72">
        <v>12</v>
      </c>
      <c r="AG2392" s="72">
        <v>1</v>
      </c>
      <c r="AH2392" s="72">
        <v>3</v>
      </c>
      <c r="AI2392" s="73">
        <v>1</v>
      </c>
      <c r="AJ2392" s="73">
        <v>1</v>
      </c>
      <c r="AK2392" s="73">
        <v>0</v>
      </c>
      <c r="AL2392" s="73">
        <v>3</v>
      </c>
      <c r="AM2392" s="72">
        <v>0</v>
      </c>
      <c r="AN2392" s="72">
        <v>0</v>
      </c>
      <c r="AO2392" s="72">
        <v>0</v>
      </c>
      <c r="AP2392" s="72">
        <v>0</v>
      </c>
      <c r="AQ2392" s="72">
        <v>2000</v>
      </c>
      <c r="AR2392" s="72">
        <v>0.3</v>
      </c>
      <c r="AS2392" s="72">
        <v>0</v>
      </c>
      <c r="AT2392" s="73">
        <v>0</v>
      </c>
      <c r="AU2392" s="322" t="s">
        <v>5628</v>
      </c>
      <c r="AV2392" s="93"/>
      <c r="AW2392" s="88" t="s">
        <v>204</v>
      </c>
      <c r="AX2392" s="72" t="s">
        <v>540</v>
      </c>
      <c r="AY2392" s="74">
        <v>0</v>
      </c>
      <c r="AZ2392" s="74">
        <v>77005202</v>
      </c>
      <c r="BA2392" s="71" t="s">
        <v>206</v>
      </c>
      <c r="BB2392" s="72">
        <v>0</v>
      </c>
      <c r="BC2392" s="75">
        <v>0</v>
      </c>
      <c r="BD2392" s="75">
        <v>0</v>
      </c>
      <c r="BE2392" s="76" t="s">
        <v>2334</v>
      </c>
      <c r="BF2392" s="76" t="s">
        <v>2335</v>
      </c>
      <c r="BG2392" s="72">
        <v>0</v>
      </c>
      <c r="BH2392" s="72">
        <v>0</v>
      </c>
      <c r="BI2392" s="72">
        <v>0</v>
      </c>
      <c r="BJ2392" s="72">
        <v>0</v>
      </c>
      <c r="BK2392" s="72">
        <v>0</v>
      </c>
      <c r="BL2392" s="72">
        <v>0</v>
      </c>
      <c r="BM2392" s="90">
        <v>0</v>
      </c>
      <c r="BN2392" s="73">
        <v>0</v>
      </c>
      <c r="BO2392" s="73">
        <v>0</v>
      </c>
      <c r="BP2392" s="73">
        <v>0</v>
      </c>
      <c r="BQ2392" s="73">
        <v>0</v>
      </c>
      <c r="BR2392" s="73">
        <v>0</v>
      </c>
      <c r="BS2392" s="73">
        <v>0</v>
      </c>
      <c r="BT2392" s="73">
        <v>0</v>
      </c>
      <c r="BU2392" s="73">
        <v>0</v>
      </c>
      <c r="BV2392" s="23"/>
      <c r="BW2392" s="23"/>
      <c r="BX2392" s="23"/>
      <c r="BY2392" s="23"/>
      <c r="BZ2392" s="23"/>
    </row>
    <row r="2393" spans="1:78" ht="19.5" customHeight="1">
      <c r="A2393" s="140"/>
      <c r="B2393" s="140"/>
      <c r="C2393" s="107">
        <v>77009001</v>
      </c>
      <c r="D2393" s="110" t="s">
        <v>2437</v>
      </c>
      <c r="E2393" s="110" t="s">
        <v>2438</v>
      </c>
      <c r="F2393" s="100">
        <v>1</v>
      </c>
      <c r="G2393" s="100">
        <v>63021101</v>
      </c>
      <c r="H2393" s="100">
        <v>0</v>
      </c>
      <c r="I2393" s="105">
        <v>0</v>
      </c>
      <c r="J2393" s="107">
        <v>1</v>
      </c>
      <c r="K2393" s="100">
        <v>0</v>
      </c>
      <c r="L2393" s="100">
        <v>0</v>
      </c>
      <c r="M2393" s="100">
        <v>0</v>
      </c>
      <c r="N2393" s="100">
        <v>0</v>
      </c>
      <c r="O2393" s="100">
        <v>1</v>
      </c>
      <c r="P2393" s="100">
        <v>0</v>
      </c>
      <c r="Q2393" s="100">
        <v>0</v>
      </c>
      <c r="R2393" s="100">
        <v>0</v>
      </c>
      <c r="S2393" s="99">
        <v>0</v>
      </c>
      <c r="T2393" s="100">
        <v>0</v>
      </c>
      <c r="U2393" s="100">
        <v>1</v>
      </c>
      <c r="V2393" s="100">
        <v>1</v>
      </c>
      <c r="W2393" s="100">
        <v>0</v>
      </c>
      <c r="X2393" s="100">
        <v>1</v>
      </c>
      <c r="Y2393" s="19">
        <v>0</v>
      </c>
      <c r="Z2393" s="100">
        <v>0</v>
      </c>
      <c r="AA2393" s="100">
        <v>0</v>
      </c>
      <c r="AB2393" s="100">
        <v>0</v>
      </c>
      <c r="AC2393" s="100">
        <v>0</v>
      </c>
      <c r="AD2393" s="100">
        <v>0</v>
      </c>
      <c r="AE2393" s="100">
        <v>0</v>
      </c>
      <c r="AF2393" s="100">
        <v>6</v>
      </c>
      <c r="AG2393" s="100">
        <v>1</v>
      </c>
      <c r="AH2393" s="118">
        <v>6</v>
      </c>
      <c r="AI2393" s="99">
        <v>2</v>
      </c>
      <c r="AJ2393" s="99">
        <v>1</v>
      </c>
      <c r="AK2393" s="99">
        <v>0</v>
      </c>
      <c r="AL2393" s="99">
        <v>8</v>
      </c>
      <c r="AM2393" s="100">
        <v>0</v>
      </c>
      <c r="AN2393" s="100">
        <v>0</v>
      </c>
      <c r="AO2393" s="100">
        <v>0</v>
      </c>
      <c r="AP2393" s="100">
        <v>0.2</v>
      </c>
      <c r="AQ2393" s="100">
        <v>5000</v>
      </c>
      <c r="AR2393" s="100">
        <v>0.2</v>
      </c>
      <c r="AS2393" s="100">
        <v>0</v>
      </c>
      <c r="AT2393" s="99">
        <v>0</v>
      </c>
      <c r="AU2393" s="100">
        <v>97050301</v>
      </c>
      <c r="AV2393" s="100"/>
      <c r="AW2393" s="110" t="s">
        <v>204</v>
      </c>
      <c r="AX2393" s="100" t="s">
        <v>540</v>
      </c>
      <c r="AY2393" s="107">
        <v>10000001</v>
      </c>
      <c r="AZ2393" s="107">
        <v>77005301</v>
      </c>
      <c r="BA2393" s="110" t="s">
        <v>2439</v>
      </c>
      <c r="BB2393" s="100" t="s">
        <v>5629</v>
      </c>
      <c r="BC2393" s="99">
        <v>0</v>
      </c>
      <c r="BD2393" s="99">
        <v>0</v>
      </c>
      <c r="BE2393" s="136" t="s">
        <v>5630</v>
      </c>
      <c r="BF2393" s="136" t="s">
        <v>5631</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ht="20.100000000000001" customHeight="1">
      <c r="A2394" s="140"/>
      <c r="B2394" s="140"/>
      <c r="C2394" s="107">
        <v>77009002</v>
      </c>
      <c r="D2394" s="110" t="s">
        <v>5632</v>
      </c>
      <c r="E2394" s="303" t="s">
        <v>5633</v>
      </c>
      <c r="F2394" s="97">
        <v>1</v>
      </c>
      <c r="G2394" s="100">
        <v>63021101</v>
      </c>
      <c r="H2394" s="107">
        <v>0</v>
      </c>
      <c r="I2394" s="105">
        <v>0</v>
      </c>
      <c r="J2394" s="107">
        <v>1</v>
      </c>
      <c r="K2394" s="100">
        <v>0</v>
      </c>
      <c r="L2394" s="107">
        <v>0</v>
      </c>
      <c r="M2394" s="100">
        <v>0</v>
      </c>
      <c r="N2394" s="100">
        <v>0</v>
      </c>
      <c r="O2394" s="100">
        <v>1</v>
      </c>
      <c r="P2394" s="100">
        <v>0</v>
      </c>
      <c r="Q2394" s="100">
        <v>0</v>
      </c>
      <c r="R2394" s="100">
        <v>0</v>
      </c>
      <c r="S2394" s="99">
        <v>0</v>
      </c>
      <c r="T2394" s="100">
        <v>0</v>
      </c>
      <c r="U2394" s="100">
        <v>1</v>
      </c>
      <c r="V2394" s="100">
        <v>1</v>
      </c>
      <c r="W2394" s="100">
        <v>0</v>
      </c>
      <c r="X2394" s="100">
        <v>2</v>
      </c>
      <c r="Y2394" s="19">
        <v>0</v>
      </c>
      <c r="Z2394" s="100">
        <v>0</v>
      </c>
      <c r="AA2394" s="100">
        <v>0</v>
      </c>
      <c r="AB2394" s="100">
        <v>0</v>
      </c>
      <c r="AC2394" s="100">
        <v>0</v>
      </c>
      <c r="AD2394" s="100">
        <v>0</v>
      </c>
      <c r="AE2394" s="100">
        <v>0</v>
      </c>
      <c r="AF2394" s="100">
        <v>9</v>
      </c>
      <c r="AG2394" s="100">
        <v>1</v>
      </c>
      <c r="AH2394" s="100">
        <v>3</v>
      </c>
      <c r="AI2394" s="99">
        <v>3</v>
      </c>
      <c r="AJ2394" s="99">
        <v>0</v>
      </c>
      <c r="AK2394" s="99">
        <v>0</v>
      </c>
      <c r="AL2394" s="99">
        <v>1.5</v>
      </c>
      <c r="AM2394" s="100">
        <v>0</v>
      </c>
      <c r="AN2394" s="100">
        <v>0</v>
      </c>
      <c r="AO2394" s="100">
        <v>0</v>
      </c>
      <c r="AP2394" s="100">
        <v>0.2</v>
      </c>
      <c r="AQ2394" s="100">
        <v>2000</v>
      </c>
      <c r="AR2394" s="100">
        <v>0.4</v>
      </c>
      <c r="AS2394" s="100">
        <v>0</v>
      </c>
      <c r="AT2394" s="99">
        <v>0</v>
      </c>
      <c r="AU2394" s="327" t="s">
        <v>5634</v>
      </c>
      <c r="AV2394" s="118"/>
      <c r="AW2394" s="104" t="s">
        <v>204</v>
      </c>
      <c r="AX2394" s="100" t="s">
        <v>551</v>
      </c>
      <c r="AY2394" s="107">
        <v>10000001</v>
      </c>
      <c r="AZ2394" s="107">
        <v>77005302</v>
      </c>
      <c r="BA2394" s="110" t="s">
        <v>206</v>
      </c>
      <c r="BB2394" s="100" t="s">
        <v>5635</v>
      </c>
      <c r="BC2394" s="105">
        <v>0</v>
      </c>
      <c r="BD2394" s="105">
        <v>0</v>
      </c>
      <c r="BE2394" s="111" t="s">
        <v>5636</v>
      </c>
      <c r="BF2394" s="111" t="s">
        <v>5637</v>
      </c>
      <c r="BG2394" s="100">
        <v>0</v>
      </c>
      <c r="BH2394" s="100">
        <v>0</v>
      </c>
      <c r="BI2394" s="100">
        <v>0</v>
      </c>
      <c r="BJ2394" s="100">
        <v>0</v>
      </c>
      <c r="BK2394" s="100">
        <v>0</v>
      </c>
      <c r="BL2394" s="100">
        <v>0</v>
      </c>
      <c r="BM2394" s="97">
        <v>0</v>
      </c>
      <c r="BN2394" s="99">
        <v>0</v>
      </c>
      <c r="BO2394" s="99">
        <v>0</v>
      </c>
      <c r="BP2394" s="99">
        <v>0</v>
      </c>
      <c r="BQ2394" s="99">
        <v>0</v>
      </c>
      <c r="BR2394" s="99">
        <v>0</v>
      </c>
      <c r="BS2394" s="99">
        <v>1</v>
      </c>
      <c r="BT2394" s="99">
        <v>0</v>
      </c>
      <c r="BU2394" s="99">
        <v>0</v>
      </c>
      <c r="BV2394" s="23"/>
      <c r="BW2394" s="23"/>
      <c r="BX2394" s="23"/>
      <c r="BY2394" s="23"/>
      <c r="BZ2394" s="23"/>
    </row>
    <row r="2395" spans="1:78" ht="20.100000000000001" customHeight="1">
      <c r="A2395" s="140"/>
      <c r="B2395" s="140"/>
      <c r="C2395" s="107">
        <v>77009003</v>
      </c>
      <c r="D2395" s="110" t="s">
        <v>2448</v>
      </c>
      <c r="E2395" s="303" t="s">
        <v>2449</v>
      </c>
      <c r="F2395" s="97">
        <v>1</v>
      </c>
      <c r="G2395" s="100">
        <v>63021101</v>
      </c>
      <c r="H2395" s="107">
        <v>0</v>
      </c>
      <c r="I2395" s="105">
        <v>0</v>
      </c>
      <c r="J2395" s="107">
        <v>1</v>
      </c>
      <c r="K2395" s="100">
        <v>0</v>
      </c>
      <c r="L2395" s="107">
        <v>0</v>
      </c>
      <c r="M2395" s="100">
        <v>0</v>
      </c>
      <c r="N2395" s="100">
        <v>0</v>
      </c>
      <c r="O2395" s="100">
        <v>1</v>
      </c>
      <c r="P2395" s="100">
        <v>0</v>
      </c>
      <c r="Q2395" s="100">
        <v>0</v>
      </c>
      <c r="R2395" s="100">
        <v>0</v>
      </c>
      <c r="S2395" s="99">
        <v>0</v>
      </c>
      <c r="T2395" s="100">
        <v>0</v>
      </c>
      <c r="U2395" s="100">
        <v>1</v>
      </c>
      <c r="V2395" s="100">
        <v>1</v>
      </c>
      <c r="W2395" s="100">
        <v>0</v>
      </c>
      <c r="X2395" s="100">
        <v>2</v>
      </c>
      <c r="Y2395" s="19">
        <v>0</v>
      </c>
      <c r="Z2395" s="100">
        <v>0</v>
      </c>
      <c r="AA2395" s="100">
        <v>0</v>
      </c>
      <c r="AB2395" s="100">
        <v>0</v>
      </c>
      <c r="AC2395" s="100">
        <v>0</v>
      </c>
      <c r="AD2395" s="100">
        <v>0</v>
      </c>
      <c r="AE2395" s="100">
        <v>0</v>
      </c>
      <c r="AF2395" s="100">
        <v>9</v>
      </c>
      <c r="AG2395" s="100">
        <v>1</v>
      </c>
      <c r="AH2395" s="100">
        <v>3</v>
      </c>
      <c r="AI2395" s="99">
        <v>0</v>
      </c>
      <c r="AJ2395" s="99">
        <v>0</v>
      </c>
      <c r="AK2395" s="99">
        <v>0</v>
      </c>
      <c r="AL2395" s="99">
        <v>1.5</v>
      </c>
      <c r="AM2395" s="100">
        <v>0</v>
      </c>
      <c r="AN2395" s="100">
        <v>0</v>
      </c>
      <c r="AO2395" s="100">
        <v>0</v>
      </c>
      <c r="AP2395" s="107">
        <v>0.2</v>
      </c>
      <c r="AQ2395" s="100">
        <v>3000</v>
      </c>
      <c r="AR2395" s="100">
        <v>0.2</v>
      </c>
      <c r="AS2395" s="100">
        <v>0</v>
      </c>
      <c r="AT2395" s="99">
        <v>0</v>
      </c>
      <c r="AU2395" s="100">
        <v>0</v>
      </c>
      <c r="AV2395" s="100"/>
      <c r="AW2395" s="110" t="s">
        <v>204</v>
      </c>
      <c r="AX2395" s="100" t="s">
        <v>551</v>
      </c>
      <c r="AY2395" s="107">
        <v>0</v>
      </c>
      <c r="AZ2395" s="107">
        <v>77005303</v>
      </c>
      <c r="BA2395" s="110" t="s">
        <v>5638</v>
      </c>
      <c r="BB2395" s="100">
        <v>90005004</v>
      </c>
      <c r="BC2395" s="105">
        <v>0</v>
      </c>
      <c r="BD2395" s="105">
        <v>0</v>
      </c>
      <c r="BE2395" s="111" t="s">
        <v>5639</v>
      </c>
      <c r="BF2395" s="111" t="s">
        <v>5640</v>
      </c>
      <c r="BG2395" s="100">
        <v>0</v>
      </c>
      <c r="BH2395" s="100">
        <v>0</v>
      </c>
      <c r="BI2395" s="100">
        <v>0</v>
      </c>
      <c r="BJ2395" s="100">
        <v>0</v>
      </c>
      <c r="BK2395" s="100">
        <v>0</v>
      </c>
      <c r="BL2395" s="100">
        <v>0</v>
      </c>
      <c r="BM2395" s="97">
        <v>0</v>
      </c>
      <c r="BN2395" s="99">
        <v>0</v>
      </c>
      <c r="BO2395" s="99">
        <v>0</v>
      </c>
      <c r="BP2395" s="99">
        <v>0</v>
      </c>
      <c r="BQ2395" s="99">
        <v>0</v>
      </c>
      <c r="BR2395" s="99">
        <v>0</v>
      </c>
      <c r="BS2395" s="99">
        <v>0</v>
      </c>
      <c r="BT2395" s="99">
        <v>0</v>
      </c>
      <c r="BU2395" s="99">
        <v>0</v>
      </c>
      <c r="BV2395" s="23"/>
      <c r="BW2395" s="23"/>
      <c r="BX2395" s="23"/>
      <c r="BY2395" s="23"/>
      <c r="BZ2395" s="23"/>
    </row>
    <row r="2396" spans="1:78" ht="20.100000000000001" customHeight="1">
      <c r="A2396" s="140"/>
      <c r="B2396" s="140"/>
      <c r="C2396" s="107">
        <v>77009004</v>
      </c>
      <c r="D2396" s="110" t="s">
        <v>2455</v>
      </c>
      <c r="E2396" s="303" t="s">
        <v>2456</v>
      </c>
      <c r="F2396" s="97">
        <v>1</v>
      </c>
      <c r="G2396" s="100">
        <v>63021101</v>
      </c>
      <c r="H2396" s="107">
        <v>0</v>
      </c>
      <c r="I2396" s="105">
        <v>0</v>
      </c>
      <c r="J2396" s="107">
        <v>1</v>
      </c>
      <c r="K2396" s="100">
        <v>0</v>
      </c>
      <c r="L2396" s="107">
        <v>0</v>
      </c>
      <c r="M2396" s="100">
        <v>0</v>
      </c>
      <c r="N2396" s="100">
        <v>0</v>
      </c>
      <c r="O2396" s="100">
        <v>1</v>
      </c>
      <c r="P2396" s="100">
        <v>0</v>
      </c>
      <c r="Q2396" s="100">
        <v>0</v>
      </c>
      <c r="R2396" s="100">
        <v>0</v>
      </c>
      <c r="S2396" s="99">
        <v>0</v>
      </c>
      <c r="T2396" s="100">
        <v>0</v>
      </c>
      <c r="U2396" s="100">
        <v>1</v>
      </c>
      <c r="V2396" s="100">
        <v>1</v>
      </c>
      <c r="W2396" s="100">
        <v>0</v>
      </c>
      <c r="X2396" s="100">
        <v>0</v>
      </c>
      <c r="Y2396" s="19">
        <v>0</v>
      </c>
      <c r="Z2396" s="100">
        <v>0</v>
      </c>
      <c r="AA2396" s="100">
        <v>0</v>
      </c>
      <c r="AB2396" s="100">
        <v>0</v>
      </c>
      <c r="AC2396" s="100">
        <v>0</v>
      </c>
      <c r="AD2396" s="100">
        <v>0</v>
      </c>
      <c r="AE2396" s="100">
        <v>0</v>
      </c>
      <c r="AF2396" s="100">
        <v>24</v>
      </c>
      <c r="AG2396" s="100">
        <v>0</v>
      </c>
      <c r="AH2396" s="100">
        <v>0</v>
      </c>
      <c r="AI2396" s="99">
        <v>0</v>
      </c>
      <c r="AJ2396" s="99">
        <v>0</v>
      </c>
      <c r="AK2396" s="99">
        <v>0</v>
      </c>
      <c r="AL2396" s="99">
        <v>1.5</v>
      </c>
      <c r="AM2396" s="100">
        <v>0</v>
      </c>
      <c r="AN2396" s="100">
        <v>0</v>
      </c>
      <c r="AO2396" s="100">
        <v>0</v>
      </c>
      <c r="AP2396" s="107">
        <v>0.2</v>
      </c>
      <c r="AQ2396" s="100">
        <v>3000</v>
      </c>
      <c r="AR2396" s="100">
        <v>0.2</v>
      </c>
      <c r="AS2396" s="100">
        <v>0</v>
      </c>
      <c r="AT2396" s="99">
        <v>0</v>
      </c>
      <c r="AU2396" s="100">
        <v>0</v>
      </c>
      <c r="AV2396" s="100"/>
      <c r="AW2396" s="110" t="s">
        <v>204</v>
      </c>
      <c r="AX2396" s="100" t="s">
        <v>551</v>
      </c>
      <c r="AY2396" s="107">
        <v>0</v>
      </c>
      <c r="AZ2396" s="107">
        <v>0</v>
      </c>
      <c r="BA2396" s="110" t="s">
        <v>2457</v>
      </c>
      <c r="BB2396" s="328" t="s">
        <v>5641</v>
      </c>
      <c r="BC2396" s="105">
        <v>0</v>
      </c>
      <c r="BD2396" s="105">
        <v>0</v>
      </c>
      <c r="BE2396" s="111" t="s">
        <v>5642</v>
      </c>
      <c r="BF2396" s="111" t="s">
        <v>5643</v>
      </c>
      <c r="BG2396" s="100">
        <v>0</v>
      </c>
      <c r="BH2396" s="100">
        <v>0</v>
      </c>
      <c r="BI2396" s="100">
        <v>0</v>
      </c>
      <c r="BJ2396" s="100">
        <v>0</v>
      </c>
      <c r="BK2396" s="100">
        <v>0</v>
      </c>
      <c r="BL2396" s="100">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ht="20.100000000000001" customHeight="1">
      <c r="A2397" s="140"/>
      <c r="B2397" s="140"/>
      <c r="C2397" s="107">
        <v>77009005</v>
      </c>
      <c r="D2397" s="110" t="s">
        <v>606</v>
      </c>
      <c r="E2397" s="303" t="s">
        <v>607</v>
      </c>
      <c r="F2397" s="97">
        <v>1</v>
      </c>
      <c r="G2397" s="100">
        <v>63021101</v>
      </c>
      <c r="H2397" s="107">
        <v>0</v>
      </c>
      <c r="I2397" s="105">
        <v>0</v>
      </c>
      <c r="J2397" s="107">
        <v>1</v>
      </c>
      <c r="K2397" s="100">
        <v>0</v>
      </c>
      <c r="L2397" s="107">
        <v>0</v>
      </c>
      <c r="M2397" s="100">
        <v>0</v>
      </c>
      <c r="N2397" s="100">
        <v>0</v>
      </c>
      <c r="O2397" s="100">
        <v>1</v>
      </c>
      <c r="P2397" s="100">
        <v>0</v>
      </c>
      <c r="Q2397" s="100">
        <v>0</v>
      </c>
      <c r="R2397" s="100">
        <v>0</v>
      </c>
      <c r="S2397" s="99">
        <v>0</v>
      </c>
      <c r="T2397" s="100">
        <v>0</v>
      </c>
      <c r="U2397" s="100">
        <v>1</v>
      </c>
      <c r="V2397" s="100">
        <v>1</v>
      </c>
      <c r="W2397" s="100">
        <v>0</v>
      </c>
      <c r="X2397" s="100">
        <v>0</v>
      </c>
      <c r="Y2397" s="19">
        <v>0</v>
      </c>
      <c r="Z2397" s="100">
        <v>0</v>
      </c>
      <c r="AA2397" s="100">
        <v>0</v>
      </c>
      <c r="AB2397" s="100">
        <v>0</v>
      </c>
      <c r="AC2397" s="100">
        <v>0</v>
      </c>
      <c r="AD2397" s="100">
        <v>0</v>
      </c>
      <c r="AE2397" s="100">
        <v>0</v>
      </c>
      <c r="AF2397" s="100">
        <v>24</v>
      </c>
      <c r="AG2397" s="100">
        <v>0</v>
      </c>
      <c r="AH2397" s="100">
        <v>0</v>
      </c>
      <c r="AI2397" s="99">
        <v>0</v>
      </c>
      <c r="AJ2397" s="99">
        <v>0</v>
      </c>
      <c r="AK2397" s="99">
        <v>0</v>
      </c>
      <c r="AL2397" s="99">
        <v>1.5</v>
      </c>
      <c r="AM2397" s="100">
        <v>0</v>
      </c>
      <c r="AN2397" s="100">
        <v>0</v>
      </c>
      <c r="AO2397" s="100">
        <v>0</v>
      </c>
      <c r="AP2397" s="107">
        <v>0.2</v>
      </c>
      <c r="AQ2397" s="100">
        <v>3000</v>
      </c>
      <c r="AR2397" s="100">
        <v>0.2</v>
      </c>
      <c r="AS2397" s="100">
        <v>0</v>
      </c>
      <c r="AT2397" s="99">
        <v>0</v>
      </c>
      <c r="AU2397" s="100" t="s">
        <v>204</v>
      </c>
      <c r="AV2397" s="100"/>
      <c r="AW2397" s="110" t="s">
        <v>204</v>
      </c>
      <c r="AX2397" s="100" t="s">
        <v>551</v>
      </c>
      <c r="AY2397" s="107">
        <v>0</v>
      </c>
      <c r="AZ2397" s="107">
        <v>0</v>
      </c>
      <c r="BA2397" s="110" t="s">
        <v>2473</v>
      </c>
      <c r="BB2397" s="328" t="s">
        <v>5644</v>
      </c>
      <c r="BC2397" s="105">
        <v>0</v>
      </c>
      <c r="BD2397" s="105">
        <v>0</v>
      </c>
      <c r="BE2397" s="111" t="s">
        <v>2475</v>
      </c>
      <c r="BF2397" s="111" t="s">
        <v>2476</v>
      </c>
      <c r="BG2397" s="100">
        <v>0</v>
      </c>
      <c r="BH2397" s="100">
        <v>0</v>
      </c>
      <c r="BI2397" s="100">
        <v>0</v>
      </c>
      <c r="BJ2397" s="100">
        <v>0</v>
      </c>
      <c r="BK2397" s="100">
        <v>0</v>
      </c>
      <c r="BL2397" s="100">
        <v>0</v>
      </c>
      <c r="BM2397" s="97">
        <v>0</v>
      </c>
      <c r="BN2397" s="99">
        <v>0</v>
      </c>
      <c r="BO2397" s="99">
        <v>0</v>
      </c>
      <c r="BP2397" s="99">
        <v>0</v>
      </c>
      <c r="BQ2397" s="99">
        <v>0</v>
      </c>
      <c r="BR2397" s="99">
        <v>0</v>
      </c>
      <c r="BS2397" s="99">
        <v>0</v>
      </c>
      <c r="BT2397" s="99">
        <v>0</v>
      </c>
      <c r="BU2397" s="99">
        <v>0</v>
      </c>
      <c r="BV2397" s="23"/>
      <c r="BW2397" s="23"/>
      <c r="BX2397" s="23"/>
      <c r="BY2397" s="23"/>
      <c r="BZ2397" s="23"/>
    </row>
    <row r="2398" spans="1:78" s="2" customFormat="1" ht="20.100000000000001" customHeight="1">
      <c r="A2398" s="6"/>
      <c r="B2398" s="6"/>
      <c r="C2398" s="107">
        <v>77009006</v>
      </c>
      <c r="D2398" s="104" t="s">
        <v>2477</v>
      </c>
      <c r="E2398" s="104" t="s">
        <v>2478</v>
      </c>
      <c r="F2398" s="100">
        <v>1</v>
      </c>
      <c r="G2398" s="100">
        <v>0</v>
      </c>
      <c r="H2398" s="107">
        <v>0</v>
      </c>
      <c r="I2398" s="105">
        <v>0</v>
      </c>
      <c r="J2398" s="100">
        <v>1</v>
      </c>
      <c r="K2398" s="100">
        <v>0</v>
      </c>
      <c r="L2398" s="100">
        <v>0</v>
      </c>
      <c r="M2398" s="107">
        <v>0</v>
      </c>
      <c r="N2398" s="107">
        <v>0</v>
      </c>
      <c r="O2398" s="107">
        <v>2</v>
      </c>
      <c r="P2398" s="107">
        <v>16</v>
      </c>
      <c r="Q2398" s="107">
        <v>10</v>
      </c>
      <c r="R2398" s="107">
        <v>0</v>
      </c>
      <c r="S2398" s="99">
        <v>0</v>
      </c>
      <c r="T2398" s="105">
        <v>0</v>
      </c>
      <c r="U2398" s="100">
        <v>1</v>
      </c>
      <c r="V2398" s="107">
        <v>2</v>
      </c>
      <c r="W2398" s="107">
        <v>0</v>
      </c>
      <c r="X2398" s="107">
        <v>2.6</v>
      </c>
      <c r="Y2398" s="19">
        <v>0</v>
      </c>
      <c r="Z2398" s="107">
        <v>0</v>
      </c>
      <c r="AA2398" s="107">
        <v>1</v>
      </c>
      <c r="AB2398" s="107">
        <v>0</v>
      </c>
      <c r="AC2398" s="107">
        <v>0</v>
      </c>
      <c r="AD2398" s="107">
        <v>0</v>
      </c>
      <c r="AE2398" s="107">
        <v>0</v>
      </c>
      <c r="AF2398" s="107">
        <v>0</v>
      </c>
      <c r="AG2398" s="107">
        <v>2</v>
      </c>
      <c r="AH2398" s="107" t="s">
        <v>219</v>
      </c>
      <c r="AI2398" s="99">
        <v>0</v>
      </c>
      <c r="AJ2398" s="99">
        <v>2</v>
      </c>
      <c r="AK2398" s="99">
        <v>0</v>
      </c>
      <c r="AL2398" s="99">
        <v>3</v>
      </c>
      <c r="AM2398" s="107">
        <v>0</v>
      </c>
      <c r="AN2398" s="107">
        <v>0</v>
      </c>
      <c r="AO2398" s="107">
        <v>0</v>
      </c>
      <c r="AP2398" s="107">
        <v>1</v>
      </c>
      <c r="AQ2398" s="107">
        <v>2000</v>
      </c>
      <c r="AR2398" s="107">
        <v>1</v>
      </c>
      <c r="AS2398" s="107">
        <v>0</v>
      </c>
      <c r="AT2398" s="99">
        <v>0</v>
      </c>
      <c r="AU2398" s="107">
        <v>97050303</v>
      </c>
      <c r="AV2398" s="107"/>
      <c r="AW2398" s="104" t="s">
        <v>293</v>
      </c>
      <c r="AX2398" s="107" t="s">
        <v>540</v>
      </c>
      <c r="AY2398" s="107">
        <v>10000015</v>
      </c>
      <c r="AZ2398" s="107">
        <v>77005304</v>
      </c>
      <c r="BA2398" s="110" t="s">
        <v>206</v>
      </c>
      <c r="BB2398" s="104">
        <v>0</v>
      </c>
      <c r="BC2398" s="105">
        <v>0</v>
      </c>
      <c r="BD2398" s="105">
        <v>0</v>
      </c>
      <c r="BE2398" s="139" t="s">
        <v>2479</v>
      </c>
      <c r="BF2398" s="139" t="s">
        <v>2480</v>
      </c>
      <c r="BG2398" s="107">
        <v>0</v>
      </c>
      <c r="BH2398" s="100">
        <v>0</v>
      </c>
      <c r="BI2398" s="107">
        <v>0</v>
      </c>
      <c r="BJ2398" s="107">
        <v>0</v>
      </c>
      <c r="BK2398" s="107">
        <v>0</v>
      </c>
      <c r="BL2398" s="107">
        <v>0</v>
      </c>
      <c r="BM2398" s="97">
        <v>0</v>
      </c>
      <c r="BN2398" s="99">
        <v>1</v>
      </c>
      <c r="BO2398" s="99">
        <v>0</v>
      </c>
      <c r="BP2398" s="99">
        <v>0</v>
      </c>
      <c r="BQ2398" s="99">
        <v>0</v>
      </c>
      <c r="BR2398" s="99">
        <v>0</v>
      </c>
      <c r="BS2398" s="99">
        <v>0</v>
      </c>
      <c r="BT2398" s="99">
        <v>0</v>
      </c>
      <c r="BU2398" s="99">
        <v>0</v>
      </c>
      <c r="BV2398" s="23"/>
      <c r="BW2398" s="23"/>
      <c r="BX2398" s="23"/>
      <c r="BY2398" s="23"/>
      <c r="BZ2398" s="23"/>
    </row>
    <row r="2399" spans="1:78" ht="19.5" customHeight="1">
      <c r="A2399" s="140"/>
      <c r="B2399" s="140"/>
      <c r="C2399" s="107">
        <v>77009007</v>
      </c>
      <c r="D2399" s="110" t="s">
        <v>1271</v>
      </c>
      <c r="E2399" s="110" t="s">
        <v>1272</v>
      </c>
      <c r="F2399" s="100">
        <v>1</v>
      </c>
      <c r="G2399" s="100">
        <v>0</v>
      </c>
      <c r="H2399" s="100">
        <v>0</v>
      </c>
      <c r="I2399" s="105">
        <v>0</v>
      </c>
      <c r="J2399" s="107">
        <v>1</v>
      </c>
      <c r="K2399" s="107">
        <v>0</v>
      </c>
      <c r="L2399" s="107">
        <v>0</v>
      </c>
      <c r="M2399" s="100">
        <v>0</v>
      </c>
      <c r="N2399" s="100">
        <v>0</v>
      </c>
      <c r="O2399" s="100">
        <v>2</v>
      </c>
      <c r="P2399" s="100">
        <v>1</v>
      </c>
      <c r="Q2399" s="100">
        <v>0.2</v>
      </c>
      <c r="R2399" s="100">
        <v>0</v>
      </c>
      <c r="S2399" s="99">
        <v>0</v>
      </c>
      <c r="T2399" s="100">
        <v>0</v>
      </c>
      <c r="U2399" s="100">
        <v>1</v>
      </c>
      <c r="V2399" s="100">
        <v>1</v>
      </c>
      <c r="W2399" s="100">
        <v>0</v>
      </c>
      <c r="X2399" s="100">
        <v>0</v>
      </c>
      <c r="Y2399" s="19">
        <v>0</v>
      </c>
      <c r="Z2399" s="100">
        <v>0</v>
      </c>
      <c r="AA2399" s="100">
        <v>1</v>
      </c>
      <c r="AB2399" s="100">
        <v>0</v>
      </c>
      <c r="AC2399" s="100">
        <v>0</v>
      </c>
      <c r="AD2399" s="100">
        <v>0</v>
      </c>
      <c r="AE2399" s="100">
        <v>1</v>
      </c>
      <c r="AF2399" s="100">
        <v>12</v>
      </c>
      <c r="AG2399" s="100">
        <v>2</v>
      </c>
      <c r="AH2399" s="100" t="s">
        <v>219</v>
      </c>
      <c r="AI2399" s="99">
        <v>0</v>
      </c>
      <c r="AJ2399" s="99">
        <v>2</v>
      </c>
      <c r="AK2399" s="99">
        <v>0</v>
      </c>
      <c r="AL2399" s="99">
        <v>1.5</v>
      </c>
      <c r="AM2399" s="100">
        <v>0</v>
      </c>
      <c r="AN2399" s="100">
        <v>0</v>
      </c>
      <c r="AO2399" s="100">
        <v>0</v>
      </c>
      <c r="AP2399" s="100">
        <v>0.3</v>
      </c>
      <c r="AQ2399" s="100">
        <v>300</v>
      </c>
      <c r="AR2399" s="100">
        <v>0</v>
      </c>
      <c r="AS2399" s="100">
        <v>15</v>
      </c>
      <c r="AT2399" s="99">
        <v>0</v>
      </c>
      <c r="AU2399" s="118">
        <v>0</v>
      </c>
      <c r="AV2399" s="118"/>
      <c r="AW2399" s="110" t="s">
        <v>204</v>
      </c>
      <c r="AX2399" s="100" t="s">
        <v>221</v>
      </c>
      <c r="AY2399" s="107">
        <v>0</v>
      </c>
      <c r="AZ2399" s="107">
        <v>0</v>
      </c>
      <c r="BA2399" s="137" t="s">
        <v>222</v>
      </c>
      <c r="BB2399" s="100">
        <v>1</v>
      </c>
      <c r="BC2399" s="105">
        <v>0</v>
      </c>
      <c r="BD2399" s="105">
        <v>0</v>
      </c>
      <c r="BE2399" s="111" t="s">
        <v>2481</v>
      </c>
      <c r="BF2399" s="111" t="s">
        <v>2482</v>
      </c>
      <c r="BG2399" s="100">
        <v>0</v>
      </c>
      <c r="BH2399" s="100">
        <v>0</v>
      </c>
      <c r="BI2399" s="100">
        <v>0</v>
      </c>
      <c r="BJ2399" s="100">
        <v>0</v>
      </c>
      <c r="BK2399" s="100">
        <v>0</v>
      </c>
      <c r="BL2399" s="100">
        <v>0</v>
      </c>
      <c r="BM2399" s="97">
        <v>0</v>
      </c>
      <c r="BN2399" s="99">
        <v>0</v>
      </c>
      <c r="BO2399" s="99">
        <v>0</v>
      </c>
      <c r="BP2399" s="99">
        <v>0</v>
      </c>
      <c r="BQ2399" s="99">
        <v>0</v>
      </c>
      <c r="BR2399" s="99">
        <v>0</v>
      </c>
      <c r="BS2399" s="99">
        <v>1</v>
      </c>
      <c r="BT2399" s="99">
        <v>77009008</v>
      </c>
      <c r="BU2399" s="99">
        <v>0</v>
      </c>
      <c r="BV2399" s="23"/>
      <c r="BW2399" s="23"/>
      <c r="BX2399" s="23"/>
      <c r="BY2399" s="23"/>
      <c r="BZ2399" s="23"/>
    </row>
    <row r="2400" spans="1:78" ht="19.5" customHeight="1">
      <c r="A2400" s="140"/>
      <c r="B2400" s="140"/>
      <c r="C2400" s="107">
        <v>77009008</v>
      </c>
      <c r="D2400" s="104" t="s">
        <v>1271</v>
      </c>
      <c r="E2400" s="104" t="s">
        <v>1272</v>
      </c>
      <c r="F2400" s="100">
        <v>1</v>
      </c>
      <c r="G2400" s="100">
        <v>0</v>
      </c>
      <c r="H2400" s="107">
        <v>0</v>
      </c>
      <c r="I2400" s="105">
        <v>0</v>
      </c>
      <c r="J2400" s="100">
        <v>1</v>
      </c>
      <c r="K2400" s="100">
        <v>0</v>
      </c>
      <c r="L2400" s="100">
        <v>0</v>
      </c>
      <c r="M2400" s="107">
        <v>0</v>
      </c>
      <c r="N2400" s="107">
        <v>0</v>
      </c>
      <c r="O2400" s="107">
        <v>2</v>
      </c>
      <c r="P2400" s="107">
        <v>1</v>
      </c>
      <c r="Q2400" s="107">
        <v>1</v>
      </c>
      <c r="R2400" s="107">
        <v>0</v>
      </c>
      <c r="S2400" s="99">
        <v>0</v>
      </c>
      <c r="T2400" s="105">
        <v>0</v>
      </c>
      <c r="U2400" s="100">
        <v>1</v>
      </c>
      <c r="V2400" s="107">
        <v>1</v>
      </c>
      <c r="W2400" s="107">
        <v>0</v>
      </c>
      <c r="X2400" s="107">
        <v>1.5</v>
      </c>
      <c r="Y2400" s="19">
        <v>0</v>
      </c>
      <c r="Z2400" s="107">
        <v>0</v>
      </c>
      <c r="AA2400" s="107">
        <v>1</v>
      </c>
      <c r="AB2400" s="107">
        <v>0</v>
      </c>
      <c r="AC2400" s="107">
        <v>0</v>
      </c>
      <c r="AD2400" s="107">
        <v>0</v>
      </c>
      <c r="AE2400" s="107">
        <v>0</v>
      </c>
      <c r="AF2400" s="107">
        <v>0</v>
      </c>
      <c r="AG2400" s="107">
        <v>1</v>
      </c>
      <c r="AH2400" s="138">
        <v>4</v>
      </c>
      <c r="AI2400" s="99">
        <v>0</v>
      </c>
      <c r="AJ2400" s="99">
        <v>1</v>
      </c>
      <c r="AK2400" s="99">
        <v>0</v>
      </c>
      <c r="AL2400" s="99">
        <v>5</v>
      </c>
      <c r="AM2400" s="107">
        <v>0</v>
      </c>
      <c r="AN2400" s="107">
        <v>1</v>
      </c>
      <c r="AO2400" s="107">
        <v>0</v>
      </c>
      <c r="AP2400" s="107">
        <v>0.6</v>
      </c>
      <c r="AQ2400" s="107">
        <v>2000</v>
      </c>
      <c r="AR2400" s="107">
        <v>0.6</v>
      </c>
      <c r="AS2400" s="107">
        <v>0</v>
      </c>
      <c r="AT2400" s="99">
        <v>0</v>
      </c>
      <c r="AU2400" s="107">
        <v>97050301</v>
      </c>
      <c r="AV2400" s="107"/>
      <c r="AW2400" s="104" t="s">
        <v>293</v>
      </c>
      <c r="AX2400" s="107" t="s">
        <v>551</v>
      </c>
      <c r="AY2400" s="107">
        <v>10001005</v>
      </c>
      <c r="AZ2400" s="107">
        <v>77005305</v>
      </c>
      <c r="BA2400" s="104" t="s">
        <v>206</v>
      </c>
      <c r="BB2400" s="104">
        <v>0</v>
      </c>
      <c r="BC2400" s="105">
        <v>0</v>
      </c>
      <c r="BD2400" s="105">
        <v>0</v>
      </c>
      <c r="BE2400" s="139" t="s">
        <v>1275</v>
      </c>
      <c r="BF2400" s="139" t="s">
        <v>1276</v>
      </c>
      <c r="BG2400" s="107">
        <v>0</v>
      </c>
      <c r="BH2400" s="100">
        <v>0</v>
      </c>
      <c r="BI2400" s="107">
        <v>0</v>
      </c>
      <c r="BJ2400" s="107">
        <v>0</v>
      </c>
      <c r="BK2400" s="107">
        <v>0</v>
      </c>
      <c r="BL2400" s="107">
        <v>0</v>
      </c>
      <c r="BM2400" s="97">
        <v>0</v>
      </c>
      <c r="BN2400" s="99">
        <v>0</v>
      </c>
      <c r="BO2400" s="99">
        <v>0</v>
      </c>
      <c r="BP2400" s="99">
        <v>0</v>
      </c>
      <c r="BQ2400" s="99">
        <v>0</v>
      </c>
      <c r="BR2400" s="99">
        <v>0</v>
      </c>
      <c r="BS2400" s="99">
        <v>0</v>
      </c>
      <c r="BT2400" s="99">
        <v>0</v>
      </c>
      <c r="BU2400" s="99">
        <v>0</v>
      </c>
      <c r="BV2400" s="23"/>
      <c r="BW2400" s="23"/>
      <c r="BX2400" s="23"/>
      <c r="BY2400" s="23"/>
      <c r="BZ2400" s="23"/>
    </row>
    <row r="2401" spans="1:78" ht="20.100000000000001" customHeight="1">
      <c r="A2401" s="140"/>
      <c r="B2401" s="140"/>
      <c r="C2401" s="74">
        <v>77010001</v>
      </c>
      <c r="D2401" s="71" t="s">
        <v>3095</v>
      </c>
      <c r="E2401" s="160" t="s">
        <v>3096</v>
      </c>
      <c r="F2401" s="90">
        <v>1</v>
      </c>
      <c r="G2401" s="72">
        <v>63021101</v>
      </c>
      <c r="H2401" s="74">
        <v>0</v>
      </c>
      <c r="I2401" s="75">
        <v>0</v>
      </c>
      <c r="J2401" s="74">
        <v>1</v>
      </c>
      <c r="K2401" s="72">
        <v>0</v>
      </c>
      <c r="L2401" s="74">
        <v>0</v>
      </c>
      <c r="M2401" s="72">
        <v>0</v>
      </c>
      <c r="N2401" s="72">
        <v>0</v>
      </c>
      <c r="O2401" s="72">
        <v>2</v>
      </c>
      <c r="P2401" s="72">
        <v>7</v>
      </c>
      <c r="Q2401" s="72">
        <v>0.15</v>
      </c>
      <c r="R2401" s="72">
        <v>0</v>
      </c>
      <c r="S2401" s="73">
        <v>0</v>
      </c>
      <c r="T2401" s="72">
        <v>0</v>
      </c>
      <c r="U2401" s="72">
        <v>1</v>
      </c>
      <c r="V2401" s="72">
        <v>1</v>
      </c>
      <c r="W2401" s="72">
        <v>0</v>
      </c>
      <c r="X2401" s="72">
        <v>0</v>
      </c>
      <c r="Y2401" s="19">
        <v>0</v>
      </c>
      <c r="Z2401" s="72">
        <v>0</v>
      </c>
      <c r="AA2401" s="72">
        <v>0</v>
      </c>
      <c r="AB2401" s="72">
        <v>0</v>
      </c>
      <c r="AC2401" s="72">
        <v>0</v>
      </c>
      <c r="AD2401" s="72">
        <v>0</v>
      </c>
      <c r="AE2401" s="72">
        <v>0</v>
      </c>
      <c r="AF2401" s="72">
        <v>0</v>
      </c>
      <c r="AG2401" s="72">
        <v>0</v>
      </c>
      <c r="AH2401" s="72">
        <v>0</v>
      </c>
      <c r="AI2401" s="73">
        <v>0</v>
      </c>
      <c r="AJ2401" s="73">
        <v>0</v>
      </c>
      <c r="AK2401" s="73">
        <v>0</v>
      </c>
      <c r="AL2401" s="73">
        <v>1.5</v>
      </c>
      <c r="AM2401" s="72">
        <v>0</v>
      </c>
      <c r="AN2401" s="72">
        <v>0</v>
      </c>
      <c r="AO2401" s="72">
        <v>0</v>
      </c>
      <c r="AP2401" s="74">
        <v>0</v>
      </c>
      <c r="AQ2401" s="72">
        <v>3000</v>
      </c>
      <c r="AR2401" s="72">
        <v>0</v>
      </c>
      <c r="AS2401" s="72">
        <v>0</v>
      </c>
      <c r="AT2401" s="73">
        <v>0</v>
      </c>
      <c r="AU2401" s="72">
        <v>97050401</v>
      </c>
      <c r="AV2401" s="72"/>
      <c r="AW2401" s="71" t="s">
        <v>204</v>
      </c>
      <c r="AX2401" s="72" t="s">
        <v>551</v>
      </c>
      <c r="AY2401" s="74">
        <v>0</v>
      </c>
      <c r="AZ2401" s="74">
        <v>0</v>
      </c>
      <c r="BA2401" s="71" t="s">
        <v>206</v>
      </c>
      <c r="BB2401" s="72">
        <v>0</v>
      </c>
      <c r="BC2401" s="75">
        <v>0</v>
      </c>
      <c r="BD2401" s="75">
        <v>0</v>
      </c>
      <c r="BE2401" s="76" t="s">
        <v>5645</v>
      </c>
      <c r="BF2401" s="76" t="s">
        <v>5646</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23">
        <v>0</v>
      </c>
      <c r="BV2401" s="23"/>
      <c r="BW2401" s="23"/>
      <c r="BX2401" s="23"/>
      <c r="BY2401" s="23"/>
      <c r="BZ2401" s="23"/>
    </row>
    <row r="2402" spans="1:78" ht="20.100000000000001" customHeight="1">
      <c r="C2402" s="74">
        <v>77010111</v>
      </c>
      <c r="D2402" s="71" t="s">
        <v>5647</v>
      </c>
      <c r="E2402" s="71" t="s">
        <v>4087</v>
      </c>
      <c r="F2402" s="21">
        <v>1</v>
      </c>
      <c r="G2402" s="74">
        <v>90002001</v>
      </c>
      <c r="H2402" s="72">
        <v>0</v>
      </c>
      <c r="I2402" s="31">
        <v>0</v>
      </c>
      <c r="J2402" s="32">
        <v>1</v>
      </c>
      <c r="K2402" s="32">
        <v>0</v>
      </c>
      <c r="L2402" s="32">
        <v>0</v>
      </c>
      <c r="M2402" s="72">
        <v>0</v>
      </c>
      <c r="N2402" s="72">
        <v>0</v>
      </c>
      <c r="O2402" s="72">
        <v>1</v>
      </c>
      <c r="P2402" s="72">
        <v>0</v>
      </c>
      <c r="Q2402" s="72">
        <v>0</v>
      </c>
      <c r="R2402" s="72">
        <v>0</v>
      </c>
      <c r="S2402" s="19">
        <v>0</v>
      </c>
      <c r="T2402" s="72">
        <v>0</v>
      </c>
      <c r="U2402" s="21">
        <v>1</v>
      </c>
      <c r="V2402" s="72">
        <v>1</v>
      </c>
      <c r="W2402" s="72">
        <v>0</v>
      </c>
      <c r="X2402" s="72">
        <v>4</v>
      </c>
      <c r="Y2402" s="19">
        <v>0</v>
      </c>
      <c r="Z2402" s="72">
        <v>0</v>
      </c>
      <c r="AA2402" s="72">
        <v>0</v>
      </c>
      <c r="AB2402" s="72">
        <v>0</v>
      </c>
      <c r="AC2402" s="72">
        <v>0</v>
      </c>
      <c r="AD2402" s="72">
        <v>0</v>
      </c>
      <c r="AE2402" s="72">
        <v>0</v>
      </c>
      <c r="AF2402" s="72">
        <v>20</v>
      </c>
      <c r="AG2402" s="72">
        <v>2</v>
      </c>
      <c r="AH2402" s="72" t="s">
        <v>633</v>
      </c>
      <c r="AI2402" s="19">
        <v>0</v>
      </c>
      <c r="AJ2402" s="19">
        <v>2</v>
      </c>
      <c r="AK2402" s="19">
        <v>0</v>
      </c>
      <c r="AL2402" s="73">
        <v>3</v>
      </c>
      <c r="AM2402" s="72">
        <v>0</v>
      </c>
      <c r="AN2402" s="72">
        <v>0</v>
      </c>
      <c r="AO2402" s="72">
        <v>10</v>
      </c>
      <c r="AP2402" s="72">
        <v>10.1</v>
      </c>
      <c r="AQ2402" s="72">
        <v>10000</v>
      </c>
      <c r="AR2402" s="72">
        <v>0</v>
      </c>
      <c r="AS2402" s="72">
        <v>0</v>
      </c>
      <c r="AT2402" s="19">
        <v>0</v>
      </c>
      <c r="AU2402" s="72">
        <v>0</v>
      </c>
      <c r="AV2402" s="72"/>
      <c r="AW2402" s="71" t="s">
        <v>293</v>
      </c>
      <c r="AX2402" s="21">
        <v>0</v>
      </c>
      <c r="AY2402" s="74">
        <v>0</v>
      </c>
      <c r="AZ2402" s="32">
        <v>77010111</v>
      </c>
      <c r="BA2402" s="71" t="s">
        <v>2519</v>
      </c>
      <c r="BB2402" s="72">
        <v>60</v>
      </c>
      <c r="BC2402" s="75">
        <v>0</v>
      </c>
      <c r="BD2402" s="75">
        <v>0</v>
      </c>
      <c r="BE2402" s="76" t="s">
        <v>636</v>
      </c>
      <c r="BF2402" s="76" t="s">
        <v>637</v>
      </c>
      <c r="BG2402" s="72">
        <v>0</v>
      </c>
      <c r="BH2402" s="21">
        <v>0</v>
      </c>
      <c r="BI2402" s="72">
        <v>0</v>
      </c>
      <c r="BJ2402" s="72">
        <v>0</v>
      </c>
      <c r="BK2402" s="72">
        <v>0</v>
      </c>
      <c r="BL2402" s="72">
        <v>0</v>
      </c>
      <c r="BM2402" s="21">
        <v>0</v>
      </c>
      <c r="BN2402" s="19">
        <v>0</v>
      </c>
      <c r="BO2402" s="19">
        <v>0</v>
      </c>
      <c r="BP2402" s="19">
        <v>0</v>
      </c>
      <c r="BQ2402" s="19">
        <v>0</v>
      </c>
      <c r="BR2402" s="19">
        <v>0</v>
      </c>
      <c r="BS2402" s="19">
        <v>0</v>
      </c>
      <c r="BT2402" s="19">
        <v>0</v>
      </c>
      <c r="BU2402" s="23">
        <v>0</v>
      </c>
      <c r="BV2402" s="23"/>
      <c r="BW2402" s="23"/>
      <c r="BX2402" s="23"/>
      <c r="BY2402" s="23"/>
      <c r="BZ2402" s="23"/>
    </row>
    <row r="2403" spans="1:78" s="1" customFormat="1" ht="20.100000000000001" customHeight="1">
      <c r="C2403" s="72">
        <v>77010200</v>
      </c>
      <c r="D2403" s="71" t="s">
        <v>5648</v>
      </c>
      <c r="E2403" s="71" t="s">
        <v>1444</v>
      </c>
      <c r="F2403" s="72">
        <v>0</v>
      </c>
      <c r="G2403" s="72">
        <v>62011301</v>
      </c>
      <c r="H2403" s="72">
        <v>0</v>
      </c>
      <c r="I2403" s="75">
        <v>0</v>
      </c>
      <c r="J2403" s="72">
        <v>10</v>
      </c>
      <c r="K2403" s="72">
        <v>3</v>
      </c>
      <c r="L2403" s="72">
        <v>0</v>
      </c>
      <c r="M2403" s="72">
        <v>0</v>
      </c>
      <c r="N2403" s="72">
        <v>0</v>
      </c>
      <c r="O2403" s="72">
        <v>1</v>
      </c>
      <c r="P2403" s="72">
        <v>0</v>
      </c>
      <c r="Q2403" s="72">
        <v>0</v>
      </c>
      <c r="R2403" s="72">
        <v>0</v>
      </c>
      <c r="S2403" s="73">
        <v>0</v>
      </c>
      <c r="T2403" s="72">
        <v>0</v>
      </c>
      <c r="U2403" s="72">
        <v>1</v>
      </c>
      <c r="V2403" s="72">
        <v>2</v>
      </c>
      <c r="W2403" s="72">
        <v>0</v>
      </c>
      <c r="X2403" s="72">
        <v>3</v>
      </c>
      <c r="Y2403" s="19">
        <v>0</v>
      </c>
      <c r="Z2403" s="72">
        <v>350</v>
      </c>
      <c r="AA2403" s="72">
        <v>1</v>
      </c>
      <c r="AB2403" s="72">
        <v>0</v>
      </c>
      <c r="AC2403" s="72">
        <v>0</v>
      </c>
      <c r="AD2403" s="72">
        <v>0</v>
      </c>
      <c r="AE2403" s="72">
        <v>0</v>
      </c>
      <c r="AF2403" s="72">
        <v>20</v>
      </c>
      <c r="AG2403" s="72">
        <v>1</v>
      </c>
      <c r="AH2403" s="72">
        <v>0</v>
      </c>
      <c r="AI2403" s="73">
        <v>0</v>
      </c>
      <c r="AJ2403" s="73">
        <v>101</v>
      </c>
      <c r="AK2403" s="73">
        <v>0</v>
      </c>
      <c r="AL2403" s="73">
        <v>10</v>
      </c>
      <c r="AM2403" s="72">
        <v>0</v>
      </c>
      <c r="AN2403" s="72">
        <v>0</v>
      </c>
      <c r="AO2403" s="72">
        <v>0</v>
      </c>
      <c r="AP2403" s="72">
        <v>1</v>
      </c>
      <c r="AQ2403" s="72">
        <v>1000</v>
      </c>
      <c r="AR2403" s="72">
        <v>0.4</v>
      </c>
      <c r="AS2403" s="72">
        <v>0</v>
      </c>
      <c r="AT2403" s="73">
        <v>0</v>
      </c>
      <c r="AU2403" s="72" t="s">
        <v>204</v>
      </c>
      <c r="AV2403" s="72"/>
      <c r="AW2403" s="71" t="s">
        <v>768</v>
      </c>
      <c r="AX2403" s="72" t="s">
        <v>221</v>
      </c>
      <c r="AY2403" s="74">
        <v>10000015</v>
      </c>
      <c r="AZ2403" s="74">
        <v>21000030</v>
      </c>
      <c r="BA2403" s="71" t="s">
        <v>2549</v>
      </c>
      <c r="BB2403" s="344" t="s">
        <v>5649</v>
      </c>
      <c r="BC2403" s="75">
        <v>0</v>
      </c>
      <c r="BD2403" s="75">
        <v>0</v>
      </c>
      <c r="BE2403" s="114" t="str">
        <f>"&lt;color=#D3FD3A&gt;"&amp;D2865&amp;"(法杖武器技能):\n&lt;/color&gt;"&amp;BE2865&amp;"\n\n&lt;color=#D3FD3A&gt;"&amp;D2612&amp;"(魔法书武器技能):\n&lt;/color&gt;"&amp;BE2891</f>
        <v>&lt;color=#D3FD3A&gt;(法杖武器技能):\n&lt;/color&gt;\n\n&lt;color=#D3FD3A&gt;(魔法书武器技能):\n&lt;/color&gt;</v>
      </c>
      <c r="BF2403" s="114" t="s">
        <v>1445</v>
      </c>
      <c r="BG2403" s="72">
        <v>0</v>
      </c>
      <c r="BH2403" s="72">
        <v>0</v>
      </c>
      <c r="BI2403" s="72">
        <v>0</v>
      </c>
      <c r="BJ2403" s="72">
        <v>0</v>
      </c>
      <c r="BK2403" s="72">
        <v>0</v>
      </c>
      <c r="BL2403" s="72">
        <v>0</v>
      </c>
      <c r="BM2403" s="90">
        <v>0</v>
      </c>
      <c r="BN2403" s="73">
        <v>0</v>
      </c>
      <c r="BO2403" s="73">
        <v>0</v>
      </c>
      <c r="BP2403" s="73">
        <v>0</v>
      </c>
      <c r="BQ2403" s="73">
        <v>0</v>
      </c>
      <c r="BR2403" s="73">
        <v>0</v>
      </c>
      <c r="BS2403" s="73">
        <v>0</v>
      </c>
      <c r="BT2403" s="73">
        <v>0</v>
      </c>
      <c r="BU2403" s="73">
        <v>0</v>
      </c>
      <c r="BV2403" s="23"/>
      <c r="BW2403" s="23"/>
      <c r="BX2403" s="23"/>
      <c r="BY2403" s="23"/>
      <c r="BZ2403" s="23"/>
    </row>
    <row r="2404" spans="1:78" s="1" customFormat="1" ht="20.100000000000001" customHeight="1">
      <c r="C2404" s="72">
        <v>77010201</v>
      </c>
      <c r="D2404" s="71" t="s">
        <v>5650</v>
      </c>
      <c r="E2404" s="71" t="s">
        <v>1444</v>
      </c>
      <c r="F2404" s="72">
        <v>0</v>
      </c>
      <c r="G2404" s="72">
        <v>62011301</v>
      </c>
      <c r="H2404" s="72">
        <v>0</v>
      </c>
      <c r="I2404" s="75">
        <v>0</v>
      </c>
      <c r="J2404" s="72">
        <v>10</v>
      </c>
      <c r="K2404" s="72">
        <v>3</v>
      </c>
      <c r="L2404" s="72">
        <v>0</v>
      </c>
      <c r="M2404" s="72">
        <v>0</v>
      </c>
      <c r="N2404" s="72">
        <v>0</v>
      </c>
      <c r="O2404" s="72">
        <v>2</v>
      </c>
      <c r="P2404" s="72">
        <v>1</v>
      </c>
      <c r="Q2404" s="72">
        <v>1</v>
      </c>
      <c r="R2404" s="72">
        <v>0</v>
      </c>
      <c r="S2404" s="73">
        <v>0</v>
      </c>
      <c r="T2404" s="72">
        <v>0</v>
      </c>
      <c r="U2404" s="72">
        <v>1</v>
      </c>
      <c r="V2404" s="72">
        <v>2</v>
      </c>
      <c r="W2404" s="72">
        <v>0</v>
      </c>
      <c r="X2404" s="72">
        <v>0</v>
      </c>
      <c r="Y2404" s="19">
        <v>0</v>
      </c>
      <c r="Z2404" s="72">
        <v>350</v>
      </c>
      <c r="AA2404" s="72">
        <v>1</v>
      </c>
      <c r="AB2404" s="72">
        <v>0</v>
      </c>
      <c r="AC2404" s="72">
        <v>0</v>
      </c>
      <c r="AD2404" s="72">
        <v>0</v>
      </c>
      <c r="AE2404" s="72">
        <v>0</v>
      </c>
      <c r="AF2404" s="72">
        <v>0</v>
      </c>
      <c r="AG2404" s="72">
        <v>1</v>
      </c>
      <c r="AH2404" s="72">
        <v>0</v>
      </c>
      <c r="AI2404" s="73">
        <v>0</v>
      </c>
      <c r="AJ2404" s="73">
        <v>101</v>
      </c>
      <c r="AK2404" s="73">
        <v>0</v>
      </c>
      <c r="AL2404" s="73">
        <v>10</v>
      </c>
      <c r="AM2404" s="72">
        <v>0</v>
      </c>
      <c r="AN2404" s="72">
        <v>0</v>
      </c>
      <c r="AO2404" s="72">
        <v>0</v>
      </c>
      <c r="AP2404" s="72">
        <v>1</v>
      </c>
      <c r="AQ2404" s="72">
        <v>1000</v>
      </c>
      <c r="AR2404" s="72">
        <v>0</v>
      </c>
      <c r="AS2404" s="72">
        <v>0</v>
      </c>
      <c r="AT2404" s="73">
        <v>97050404</v>
      </c>
      <c r="AU2404" s="72" t="s">
        <v>204</v>
      </c>
      <c r="AV2404" s="72"/>
      <c r="AW2404" s="71" t="s">
        <v>204</v>
      </c>
      <c r="AX2404" s="72">
        <v>0</v>
      </c>
      <c r="AY2404" s="74">
        <v>0</v>
      </c>
      <c r="AZ2404" s="74">
        <v>0</v>
      </c>
      <c r="BA2404" s="71" t="s">
        <v>206</v>
      </c>
      <c r="BB2404" s="72">
        <v>0</v>
      </c>
      <c r="BC2404" s="75">
        <v>0</v>
      </c>
      <c r="BD2404" s="75">
        <v>0</v>
      </c>
      <c r="BE2404" s="114" t="str">
        <f>"&lt;color=#D3FD3A&gt;"&amp;D2866&amp;"(法杖武器技能):\n&lt;/color&gt;"&amp;BE2866&amp;"\n\n&lt;color=#D3FD3A&gt;"&amp;D2613&amp;"(魔法书武器技能):\n&lt;/color&gt;"&amp;BE2892</f>
        <v>&lt;color=#D3FD3A&gt;(法杖武器技能):\n&lt;/color&gt;\n\n&lt;color=#D3FD3A&gt;(魔法书武器技能):\n&lt;/color&gt;</v>
      </c>
      <c r="BF2404" s="114" t="s">
        <v>1445</v>
      </c>
      <c r="BG2404" s="72">
        <v>0</v>
      </c>
      <c r="BH2404" s="72">
        <v>0</v>
      </c>
      <c r="BI2404" s="72">
        <v>0</v>
      </c>
      <c r="BJ2404" s="72">
        <v>0</v>
      </c>
      <c r="BK2404" s="72">
        <v>0</v>
      </c>
      <c r="BL2404" s="72">
        <v>0</v>
      </c>
      <c r="BM2404" s="90">
        <v>0</v>
      </c>
      <c r="BN2404" s="73">
        <v>0</v>
      </c>
      <c r="BO2404" s="73">
        <v>0</v>
      </c>
      <c r="BP2404" s="73">
        <v>0</v>
      </c>
      <c r="BQ2404" s="73">
        <v>0</v>
      </c>
      <c r="BR2404" s="73">
        <v>0</v>
      </c>
      <c r="BS2404" s="73">
        <v>0</v>
      </c>
      <c r="BT2404" s="73">
        <v>0</v>
      </c>
      <c r="BU2404" s="73">
        <v>0</v>
      </c>
      <c r="BV2404" s="23"/>
      <c r="BW2404" s="23"/>
      <c r="BX2404" s="23"/>
      <c r="BY2404" s="23"/>
      <c r="BZ2404" s="23"/>
    </row>
    <row r="2405" spans="1:78" ht="19.5" customHeight="1">
      <c r="A2405" s="140"/>
      <c r="B2405" s="140"/>
      <c r="C2405" s="72">
        <v>77010202</v>
      </c>
      <c r="D2405" s="71" t="s">
        <v>5651</v>
      </c>
      <c r="E2405" s="71" t="s">
        <v>2430</v>
      </c>
      <c r="F2405" s="74">
        <v>1</v>
      </c>
      <c r="G2405" s="72">
        <v>62011301</v>
      </c>
      <c r="H2405" s="74">
        <v>0</v>
      </c>
      <c r="I2405" s="75">
        <v>0</v>
      </c>
      <c r="J2405" s="74">
        <v>1</v>
      </c>
      <c r="K2405" s="74">
        <v>0</v>
      </c>
      <c r="L2405" s="74">
        <v>0</v>
      </c>
      <c r="M2405" s="72">
        <v>0</v>
      </c>
      <c r="N2405" s="72">
        <v>0</v>
      </c>
      <c r="O2405" s="72">
        <v>1</v>
      </c>
      <c r="P2405" s="72">
        <v>0</v>
      </c>
      <c r="Q2405" s="72">
        <v>1</v>
      </c>
      <c r="R2405" s="72">
        <v>0</v>
      </c>
      <c r="S2405" s="73">
        <v>0</v>
      </c>
      <c r="T2405" s="72">
        <v>0</v>
      </c>
      <c r="U2405" s="72">
        <v>1</v>
      </c>
      <c r="V2405" s="72">
        <v>2</v>
      </c>
      <c r="W2405" s="72">
        <v>0</v>
      </c>
      <c r="X2405" s="72">
        <v>1.5</v>
      </c>
      <c r="Y2405" s="19">
        <v>0</v>
      </c>
      <c r="Z2405" s="72">
        <v>0</v>
      </c>
      <c r="AA2405" s="72">
        <v>0</v>
      </c>
      <c r="AB2405" s="72">
        <v>0</v>
      </c>
      <c r="AC2405" s="72">
        <v>0</v>
      </c>
      <c r="AD2405" s="72">
        <v>0</v>
      </c>
      <c r="AE2405" s="72">
        <v>1</v>
      </c>
      <c r="AF2405" s="72">
        <v>0</v>
      </c>
      <c r="AG2405" s="72">
        <v>1</v>
      </c>
      <c r="AH2405" s="72">
        <v>2</v>
      </c>
      <c r="AI2405" s="73">
        <v>0</v>
      </c>
      <c r="AJ2405" s="73">
        <v>2</v>
      </c>
      <c r="AK2405" s="73">
        <v>0</v>
      </c>
      <c r="AL2405" s="73">
        <v>2</v>
      </c>
      <c r="AM2405" s="72">
        <v>0</v>
      </c>
      <c r="AN2405" s="72">
        <v>0</v>
      </c>
      <c r="AO2405" s="72">
        <v>0</v>
      </c>
      <c r="AP2405" s="72">
        <v>0</v>
      </c>
      <c r="AQ2405" s="72">
        <v>5000</v>
      </c>
      <c r="AR2405" s="72">
        <v>0</v>
      </c>
      <c r="AS2405" s="72">
        <v>15</v>
      </c>
      <c r="AT2405" s="92">
        <v>0</v>
      </c>
      <c r="AU2405" s="322" t="s">
        <v>5568</v>
      </c>
      <c r="AV2405" s="93"/>
      <c r="AW2405" s="71" t="s">
        <v>204</v>
      </c>
      <c r="AX2405" s="72" t="s">
        <v>540</v>
      </c>
      <c r="AY2405" s="74">
        <v>10000007</v>
      </c>
      <c r="AZ2405" s="74">
        <v>77005205</v>
      </c>
      <c r="BA2405" s="71" t="s">
        <v>592</v>
      </c>
      <c r="BB2405" s="72" t="s">
        <v>2431</v>
      </c>
      <c r="BC2405" s="75">
        <v>0</v>
      </c>
      <c r="BD2405" s="75">
        <v>1</v>
      </c>
      <c r="BE2405" s="76" t="s">
        <v>2432</v>
      </c>
      <c r="BF2405" s="76" t="s">
        <v>2433</v>
      </c>
      <c r="BG2405" s="72">
        <v>0</v>
      </c>
      <c r="BH2405" s="72">
        <v>0</v>
      </c>
      <c r="BI2405" s="72">
        <v>0</v>
      </c>
      <c r="BJ2405" s="72">
        <v>0</v>
      </c>
      <c r="BK2405" s="72">
        <v>0</v>
      </c>
      <c r="BL2405" s="72">
        <v>0</v>
      </c>
      <c r="BM2405" s="90">
        <v>0</v>
      </c>
      <c r="BN2405" s="73">
        <v>0</v>
      </c>
      <c r="BO2405" s="73">
        <v>0</v>
      </c>
      <c r="BP2405" s="73">
        <v>0</v>
      </c>
      <c r="BQ2405" s="73">
        <v>0</v>
      </c>
      <c r="BR2405" s="73">
        <v>0</v>
      </c>
      <c r="BS2405" s="73">
        <v>0</v>
      </c>
      <c r="BT2405" s="73">
        <v>0</v>
      </c>
      <c r="BU2405" s="73">
        <v>0</v>
      </c>
      <c r="BV2405" s="23"/>
      <c r="BW2405" s="23"/>
      <c r="BX2405" s="23" t="s">
        <v>5652</v>
      </c>
      <c r="BY2405" s="23"/>
      <c r="BZ2405" s="23"/>
    </row>
    <row r="2406" spans="1:78" ht="19.5" customHeight="1">
      <c r="A2406" s="140"/>
      <c r="B2406" s="140"/>
      <c r="C2406" s="72">
        <v>77010203</v>
      </c>
      <c r="D2406" s="71" t="s">
        <v>5653</v>
      </c>
      <c r="E2406" s="71" t="s">
        <v>2430</v>
      </c>
      <c r="F2406" s="74">
        <v>1</v>
      </c>
      <c r="G2406" s="72">
        <v>62011301</v>
      </c>
      <c r="H2406" s="74">
        <v>0</v>
      </c>
      <c r="I2406" s="75">
        <v>0</v>
      </c>
      <c r="J2406" s="74">
        <v>1</v>
      </c>
      <c r="K2406" s="74">
        <v>0</v>
      </c>
      <c r="L2406" s="74">
        <v>0</v>
      </c>
      <c r="M2406" s="72">
        <v>0</v>
      </c>
      <c r="N2406" s="72">
        <v>0</v>
      </c>
      <c r="O2406" s="72">
        <v>9</v>
      </c>
      <c r="P2406" s="72">
        <v>0</v>
      </c>
      <c r="Q2406" s="72">
        <v>1</v>
      </c>
      <c r="R2406" s="72">
        <v>0</v>
      </c>
      <c r="S2406" s="73">
        <v>0</v>
      </c>
      <c r="T2406" s="72">
        <v>0</v>
      </c>
      <c r="U2406" s="72">
        <v>1</v>
      </c>
      <c r="V2406" s="72">
        <v>2</v>
      </c>
      <c r="W2406" s="72">
        <v>0</v>
      </c>
      <c r="X2406" s="72">
        <v>0</v>
      </c>
      <c r="Y2406" s="19">
        <v>0</v>
      </c>
      <c r="Z2406" s="72">
        <v>0</v>
      </c>
      <c r="AA2406" s="72">
        <v>0</v>
      </c>
      <c r="AB2406" s="72">
        <v>0</v>
      </c>
      <c r="AC2406" s="72">
        <v>0</v>
      </c>
      <c r="AD2406" s="72">
        <v>0</v>
      </c>
      <c r="AE2406" s="72">
        <v>1</v>
      </c>
      <c r="AF2406" s="72">
        <v>0</v>
      </c>
      <c r="AG2406" s="72">
        <v>1</v>
      </c>
      <c r="AH2406" s="72">
        <v>0</v>
      </c>
      <c r="AI2406" s="73">
        <v>0</v>
      </c>
      <c r="AJ2406" s="73">
        <v>0</v>
      </c>
      <c r="AK2406" s="73">
        <v>0</v>
      </c>
      <c r="AL2406" s="73">
        <v>2</v>
      </c>
      <c r="AM2406" s="72">
        <v>0</v>
      </c>
      <c r="AN2406" s="72">
        <v>0</v>
      </c>
      <c r="AO2406" s="72">
        <v>0</v>
      </c>
      <c r="AP2406" s="72">
        <v>0</v>
      </c>
      <c r="AQ2406" s="72">
        <v>5000</v>
      </c>
      <c r="AR2406" s="72">
        <v>0</v>
      </c>
      <c r="AS2406" s="72">
        <v>0</v>
      </c>
      <c r="AT2406" s="92">
        <v>0</v>
      </c>
      <c r="AU2406" s="93">
        <v>0</v>
      </c>
      <c r="AV2406" s="93"/>
      <c r="AW2406" s="71" t="s">
        <v>204</v>
      </c>
      <c r="AX2406" s="72">
        <v>0</v>
      </c>
      <c r="AY2406" s="74">
        <v>0</v>
      </c>
      <c r="AZ2406" s="74">
        <v>0</v>
      </c>
      <c r="BA2406" s="71" t="s">
        <v>206</v>
      </c>
      <c r="BB2406" s="72">
        <v>0</v>
      </c>
      <c r="BC2406" s="75">
        <v>0</v>
      </c>
      <c r="BD2406" s="75">
        <v>1</v>
      </c>
      <c r="BE2406" s="76" t="s">
        <v>2432</v>
      </c>
      <c r="BF2406" s="76" t="s">
        <v>2433</v>
      </c>
      <c r="BG2406" s="72">
        <v>0</v>
      </c>
      <c r="BH2406" s="72">
        <v>0</v>
      </c>
      <c r="BI2406" s="72">
        <v>0</v>
      </c>
      <c r="BJ2406" s="72">
        <v>0</v>
      </c>
      <c r="BK2406" s="72">
        <v>0</v>
      </c>
      <c r="BL2406" s="72">
        <v>0</v>
      </c>
      <c r="BM2406" s="90">
        <v>0</v>
      </c>
      <c r="BN2406" s="73">
        <v>0</v>
      </c>
      <c r="BO2406" s="73">
        <v>0</v>
      </c>
      <c r="BP2406" s="73">
        <v>0</v>
      </c>
      <c r="BQ2406" s="73">
        <v>0</v>
      </c>
      <c r="BR2406" s="73">
        <v>0</v>
      </c>
      <c r="BS2406" s="73">
        <v>0</v>
      </c>
      <c r="BT2406" s="73">
        <v>0</v>
      </c>
      <c r="BU2406" s="73">
        <v>0</v>
      </c>
      <c r="BV2406" s="23"/>
      <c r="BW2406" s="23"/>
      <c r="BX2406" s="23" t="s">
        <v>5654</v>
      </c>
      <c r="BY2406" s="23"/>
      <c r="BZ2406" s="23">
        <v>1</v>
      </c>
    </row>
  </sheetData>
  <autoFilter ref="BA1:BA2406" xr:uid="{00000000-0009-0000-0000-000000000000}"/>
  <phoneticPr fontId="47" type="noConversion"/>
  <pageMargins left="0.69930555555555596" right="0.69930555555555596" top="0.75" bottom="0.75" header="0.3" footer="0.3"/>
  <pageSetup orientation="portrait" r:id="rId1"/>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2026-07-20T07:13:58Z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2052-12.1.0.24034</vt:lpwstr>
  </property>
  <property fmtid="{D5CDD505-2E9C-101B-9397-08002B2CF9AE}" pid="4" name="ICV">
    <vt:lpwstr>FCFFDC0558BD49789FA1FADFEB6AAAE6_12</vt:lpwstr>
  </property>
  <property fmtid="{D5CDD505-2E9C-101B-9397-08002B2CF9AE}" pid="5" name="CalculationRule">
    <vt:i4>0</vt:i4>
  </property>
</Properties>
</file>