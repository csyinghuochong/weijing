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ECD2F2A9-7A12-4026-A14C-EF2197FB7FF4}"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SkillProto!$BA$1:$BA$2405</definedName>
  </definedNames>
  <calcPr calcId="191029"/>
</workbook>
</file>

<file path=xl/calcChain.xml><?xml version="1.0" encoding="utf-8"?>
<calcChain xmlns="http://schemas.openxmlformats.org/spreadsheetml/2006/main">
  <c r="BE2403" i="1" l="1"/>
  <c r="BE2402" i="1"/>
  <c r="BE2260" i="1"/>
  <c r="BE2257" i="1"/>
  <c r="BE2251" i="1"/>
  <c r="BE2250" i="1"/>
  <c r="BE2249" i="1"/>
  <c r="H2249" i="1"/>
  <c r="J2232"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1191" i="1"/>
  <c r="BE538" i="1" s="1"/>
  <c r="BE1190" i="1"/>
  <c r="BE1189" i="1"/>
  <c r="BE1188" i="1"/>
  <c r="BE1187" i="1"/>
  <c r="BE1186" i="1"/>
  <c r="BE1185" i="1"/>
  <c r="BE1184" i="1"/>
  <c r="BE1183" i="1"/>
  <c r="BE1182" i="1"/>
  <c r="BE1181" i="1"/>
  <c r="BE1180" i="1"/>
  <c r="BE527" i="1" s="1"/>
  <c r="BE1179" i="1"/>
  <c r="BE526" i="1" s="1"/>
  <c r="BE1178" i="1"/>
  <c r="BE1177" i="1"/>
  <c r="BE1176" i="1"/>
  <c r="BE1175" i="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518" i="1" s="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507" i="1" s="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BE499" i="1" s="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BE479" i="1" s="1"/>
  <c r="H764" i="1"/>
  <c r="BE763" i="1"/>
  <c r="BE762" i="1"/>
  <c r="BE761" i="1"/>
  <c r="BE760" i="1"/>
  <c r="H760" i="1"/>
  <c r="BE759" i="1"/>
  <c r="H759" i="1"/>
  <c r="BE758" i="1"/>
  <c r="H758" i="1"/>
  <c r="BE757" i="1"/>
  <c r="BE756" i="1"/>
  <c r="BE477" i="1" s="1"/>
  <c r="BE755" i="1"/>
  <c r="BE476" i="1" s="1"/>
  <c r="BE754" i="1"/>
  <c r="H754" i="1"/>
  <c r="BE753" i="1"/>
  <c r="H753" i="1"/>
  <c r="BE752" i="1"/>
  <c r="H752" i="1"/>
  <c r="BE751" i="1"/>
  <c r="BE750" i="1"/>
  <c r="BE749" i="1"/>
  <c r="BE748" i="1"/>
  <c r="H748" i="1"/>
  <c r="BE747" i="1"/>
  <c r="BE468" i="1" s="1"/>
  <c r="H747" i="1"/>
  <c r="BE746" i="1"/>
  <c r="H746" i="1"/>
  <c r="BE745" i="1"/>
  <c r="BE744" i="1"/>
  <c r="BE743" i="1"/>
  <c r="BE742" i="1"/>
  <c r="H742" i="1"/>
  <c r="BE741" i="1"/>
  <c r="H741" i="1"/>
  <c r="BE740" i="1"/>
  <c r="BE467" i="1" s="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450" i="1" s="1"/>
  <c r="BE629" i="1"/>
  <c r="BE628" i="1"/>
  <c r="BE466" i="1" s="1"/>
  <c r="BE627" i="1"/>
  <c r="BE626" i="1"/>
  <c r="BE625" i="1"/>
  <c r="BE624" i="1"/>
  <c r="BE623" i="1"/>
  <c r="BE622" i="1"/>
  <c r="BE621" i="1"/>
  <c r="BE620" i="1"/>
  <c r="BE619" i="1"/>
  <c r="BE618" i="1"/>
  <c r="BE456" i="1" s="1"/>
  <c r="BE617" i="1"/>
  <c r="BE455" i="1" s="1"/>
  <c r="BE616" i="1"/>
  <c r="BE454" i="1" s="1"/>
  <c r="BE615" i="1"/>
  <c r="BE614" i="1"/>
  <c r="BE613" i="1"/>
  <c r="BE612" i="1"/>
  <c r="BE611" i="1"/>
  <c r="BE537" i="1"/>
  <c r="BE536" i="1"/>
  <c r="BE535" i="1"/>
  <c r="BE534" i="1"/>
  <c r="BE533" i="1"/>
  <c r="BE531" i="1"/>
  <c r="BE530" i="1"/>
  <c r="BE529" i="1"/>
  <c r="BE528" i="1"/>
  <c r="BE525" i="1"/>
  <c r="BE524" i="1"/>
  <c r="BE523" i="1"/>
  <c r="BE522" i="1"/>
  <c r="BE521" i="1"/>
  <c r="BE520" i="1"/>
  <c r="BE519" i="1"/>
  <c r="BE516" i="1"/>
  <c r="BE515" i="1"/>
  <c r="BE514" i="1"/>
  <c r="BE513" i="1"/>
  <c r="BE512" i="1"/>
  <c r="BE511" i="1"/>
  <c r="BE510" i="1"/>
  <c r="BE509" i="1"/>
  <c r="BE508" i="1"/>
  <c r="BE504" i="1"/>
  <c r="BE503" i="1"/>
  <c r="BE502" i="1"/>
  <c r="BE501" i="1"/>
  <c r="BE500" i="1"/>
  <c r="BE498" i="1"/>
  <c r="BE497" i="1"/>
  <c r="BE496" i="1"/>
  <c r="BE495" i="1"/>
  <c r="BE494" i="1"/>
  <c r="BE493" i="1"/>
  <c r="BE492" i="1"/>
  <c r="BE491" i="1"/>
  <c r="BE490" i="1"/>
  <c r="BE489" i="1"/>
  <c r="BE488" i="1"/>
  <c r="BE487" i="1"/>
  <c r="BE486" i="1"/>
  <c r="BE485" i="1"/>
  <c r="BE484" i="1"/>
  <c r="BE483" i="1"/>
  <c r="BE482" i="1"/>
  <c r="BE481" i="1"/>
  <c r="BE478" i="1"/>
  <c r="BE475" i="1"/>
  <c r="BE474" i="1"/>
  <c r="BE473" i="1"/>
  <c r="BE472" i="1"/>
  <c r="BE471" i="1"/>
  <c r="BE470" i="1"/>
  <c r="BE469" i="1"/>
  <c r="BE465" i="1"/>
  <c r="BE464" i="1"/>
  <c r="BE463" i="1"/>
  <c r="BE462" i="1"/>
  <c r="BE461" i="1"/>
  <c r="BE460" i="1"/>
  <c r="BE459" i="1"/>
  <c r="BE458" i="1"/>
  <c r="BE457" i="1"/>
  <c r="BE453" i="1"/>
  <c r="BE452" i="1"/>
  <c r="BE451"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<sst xmlns="http://schemas.openxmlformats.org/spreadsheetml/2006/main" count="18804" uniqueCount="5780">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</sst>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5"/>
  <sheetViews>
    <sheetView showGridLines="0" tabSelected="1" workbookViewId="0">
      <pane xSplit="4" ySplit="5" topLeftCell="BE1419" activePane="bottomRight" state="frozen"/>
      <selection pane="topRight"/>
      <selection pane="bottomLeft"/>
      <selection pane="bottomRight" activeCell="BE1432" sqref="BE143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1672</v>
      </c>
      <c r="AU641" s="337"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1672</v>
      </c>
      <c r="AU642" s="337"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1672</v>
      </c>
      <c r="AU643" s="337"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1672</v>
      </c>
      <c r="AU644" s="337"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1672</v>
      </c>
      <c r="AU645" s="337"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1672</v>
      </c>
      <c r="AU646" s="337"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39"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39"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39"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39"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39"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39"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1749</v>
      </c>
      <c r="AU689" s="19" t="s">
        <v>204</v>
      </c>
      <c r="AV689" s="19"/>
      <c r="AW689" s="20" t="s">
        <v>205</v>
      </c>
      <c r="AX689" s="19" t="s">
        <v>1415</v>
      </c>
      <c r="AY689" s="19">
        <v>0</v>
      </c>
      <c r="AZ689" s="19">
        <v>21020020</v>
      </c>
      <c r="BA689" s="20" t="s">
        <v>206</v>
      </c>
      <c r="BB689" s="20">
        <v>0</v>
      </c>
      <c r="BC689" s="19">
        <v>0</v>
      </c>
      <c r="BD689" s="19">
        <v>0</v>
      </c>
      <c r="BE689" s="186" t="s">
        <v>1750</v>
      </c>
      <c r="BF689" s="186" t="s">
        <v>1751</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1749</v>
      </c>
      <c r="AU690" s="19" t="s">
        <v>204</v>
      </c>
      <c r="AV690" s="19"/>
      <c r="AW690" s="20" t="s">
        <v>205</v>
      </c>
      <c r="AX690" s="19" t="s">
        <v>1415</v>
      </c>
      <c r="AY690" s="19">
        <v>0</v>
      </c>
      <c r="AZ690" s="19">
        <v>21020020</v>
      </c>
      <c r="BA690" s="20" t="s">
        <v>206</v>
      </c>
      <c r="BB690" s="20">
        <v>0</v>
      </c>
      <c r="BC690" s="19">
        <v>0</v>
      </c>
      <c r="BD690" s="19">
        <v>0</v>
      </c>
      <c r="BE690" s="186" t="s">
        <v>1750</v>
      </c>
      <c r="BF690" s="186" t="s">
        <v>1751</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1752</v>
      </c>
      <c r="AU691" s="19" t="s">
        <v>204</v>
      </c>
      <c r="AV691" s="19"/>
      <c r="AW691" s="20" t="s">
        <v>205</v>
      </c>
      <c r="AX691" s="19" t="s">
        <v>1415</v>
      </c>
      <c r="AY691" s="19">
        <v>0</v>
      </c>
      <c r="AZ691" s="19">
        <v>21020020</v>
      </c>
      <c r="BA691" s="20" t="s">
        <v>206</v>
      </c>
      <c r="BB691" s="20">
        <v>0</v>
      </c>
      <c r="BC691" s="19">
        <v>0</v>
      </c>
      <c r="BD691" s="19">
        <v>0</v>
      </c>
      <c r="BE691" s="186" t="s">
        <v>1753</v>
      </c>
      <c r="BF691" s="186" t="s">
        <v>1754</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1755</v>
      </c>
      <c r="AU692" s="19" t="s">
        <v>204</v>
      </c>
      <c r="AV692" s="19"/>
      <c r="AW692" s="20" t="s">
        <v>205</v>
      </c>
      <c r="AX692" s="19" t="s">
        <v>1415</v>
      </c>
      <c r="AY692" s="19">
        <v>0</v>
      </c>
      <c r="AZ692" s="19">
        <v>21020020</v>
      </c>
      <c r="BA692" s="20" t="s">
        <v>206</v>
      </c>
      <c r="BB692" s="20">
        <v>0</v>
      </c>
      <c r="BC692" s="19">
        <v>0</v>
      </c>
      <c r="BD692" s="19">
        <v>0</v>
      </c>
      <c r="BE692" s="186" t="s">
        <v>1756</v>
      </c>
      <c r="BF692" s="186" t="s">
        <v>1757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1758</v>
      </c>
      <c r="AU693" s="19" t="s">
        <v>204</v>
      </c>
      <c r="AV693" s="19"/>
      <c r="AW693" s="20" t="s">
        <v>205</v>
      </c>
      <c r="AX693" s="19" t="s">
        <v>1415</v>
      </c>
      <c r="AY693" s="19">
        <v>0</v>
      </c>
      <c r="AZ693" s="19">
        <v>21020020</v>
      </c>
      <c r="BA693" s="20" t="s">
        <v>206</v>
      </c>
      <c r="BB693" s="20">
        <v>0</v>
      </c>
      <c r="BC693" s="19">
        <v>0</v>
      </c>
      <c r="BD693" s="19">
        <v>0</v>
      </c>
      <c r="BE693" s="186" t="s">
        <v>1759</v>
      </c>
      <c r="BF693" s="186" t="s">
        <v>1760</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1761</v>
      </c>
      <c r="AU694" s="19" t="s">
        <v>204</v>
      </c>
      <c r="AV694" s="19"/>
      <c r="AW694" s="20" t="s">
        <v>205</v>
      </c>
      <c r="AX694" s="19" t="s">
        <v>1415</v>
      </c>
      <c r="AY694" s="19">
        <v>0</v>
      </c>
      <c r="AZ694" s="19">
        <v>21020020</v>
      </c>
      <c r="BA694" s="20" t="s">
        <v>206</v>
      </c>
      <c r="BB694" s="20">
        <v>0</v>
      </c>
      <c r="BC694" s="19">
        <v>0</v>
      </c>
      <c r="BD694" s="19">
        <v>0</v>
      </c>
      <c r="BE694" s="186" t="s">
        <v>1762</v>
      </c>
      <c r="BF694" s="186" t="s">
        <v>1763</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5" t="str">
        <f t="shared" si="36"/>
        <v>立即对目标范围内的怪物每秒多次造成120%攻击伤害+800点固定伤害,并使目标眩晕,持续2秒</v>
      </c>
      <c r="BF698" s="185"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5" t="str">
        <f t="shared" si="36"/>
        <v>立即对目标范围内的怪物每秒多次造成130%攻击伤害+1150点固定伤害,并使目标眩晕,持续2秒</v>
      </c>
      <c r="BF699" s="185"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5" t="str">
        <f t="shared" si="36"/>
        <v>立即对目标范围内的怪物每秒多次造成140%攻击伤害+1550点固定伤害,并使目标眩晕,持续2秒</v>
      </c>
      <c r="BF700" s="185"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5" t="str">
        <f t="shared" si="36"/>
        <v>立即对目标范围内的怪物每秒多次造成150%攻击伤害+2050点固定伤害,并使目标眩晕,持续2秒</v>
      </c>
      <c r="BF701" s="185"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1781</v>
      </c>
      <c r="AV702" s="21"/>
      <c r="AW702" s="30" t="s">
        <v>1772</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1781</v>
      </c>
      <c r="AV703" s="21"/>
      <c r="AW703" s="30" t="s">
        <v>1772</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1781</v>
      </c>
      <c r="AV704" s="21"/>
      <c r="AW704" s="30" t="s">
        <v>1772</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1780</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1781</v>
      </c>
      <c r="AV705" s="21"/>
      <c r="AW705" s="30" t="s">
        <v>1772</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1781</v>
      </c>
      <c r="AV706" s="21"/>
      <c r="AW706" s="30" t="s">
        <v>1772</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1781</v>
      </c>
      <c r="AV707" s="21"/>
      <c r="AW707" s="30" t="s">
        <v>1772</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3" t="str">
        <f t="shared" si="39"/>
        <v>立即对目标范围内的怪物造成250%攻击伤害+1500点固定伤害,并附带1秒眩晕效果</v>
      </c>
      <c r="BF709" s="183"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3" t="str">
        <f t="shared" si="39"/>
        <v>立即对目标范围内的怪物造成250%攻击伤害+2000点固定伤害,并附带1秒眩晕效果</v>
      </c>
      <c r="BF710" s="183"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1787</v>
      </c>
      <c r="E711" s="42" t="s">
        <v>1788</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3" t="str">
        <f t="shared" si="39"/>
        <v>立即对目标范围内的怪物造成250%攻击伤害+2500点固定伤害,并附带1秒眩晕效果</v>
      </c>
      <c r="BF711" s="183"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3" t="str">
        <f t="shared" si="39"/>
        <v>立即对目标范围内的怪物造成250%攻击伤害+3000点固定伤害,并附带1秒眩晕效果</v>
      </c>
      <c r="BF712" s="183"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3" t="str">
        <f t="shared" si="39"/>
        <v>立即对目标范围内的怪物造成250%攻击伤害+3500点固定伤害,并附带1秒眩晕效果</v>
      </c>
      <c r="BF713" s="183"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1798</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1798</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1798</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1796</v>
      </c>
      <c r="E717" s="35" t="s">
        <v>1797</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1798</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1798</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1798</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1806</v>
      </c>
      <c r="AU720" s="19" t="s">
        <v>204</v>
      </c>
      <c r="AV720" s="19"/>
      <c r="AW720" s="20" t="s">
        <v>1807</v>
      </c>
      <c r="AX720" s="19" t="s">
        <v>1415</v>
      </c>
      <c r="AY720" s="19">
        <v>0</v>
      </c>
      <c r="AZ720" s="19">
        <v>21030020</v>
      </c>
      <c r="BA720" s="20" t="s">
        <v>206</v>
      </c>
      <c r="BB720" s="20" t="s">
        <v>204</v>
      </c>
      <c r="BC720" s="19">
        <v>0</v>
      </c>
      <c r="BD720" s="19">
        <v>0</v>
      </c>
      <c r="BE720" s="186" t="s">
        <v>1808</v>
      </c>
      <c r="BF720" s="186" t="s">
        <v>1809</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1810</v>
      </c>
      <c r="AU721" s="19" t="s">
        <v>204</v>
      </c>
      <c r="AV721" s="19"/>
      <c r="AW721" s="20" t="s">
        <v>1807</v>
      </c>
      <c r="AX721" s="19" t="s">
        <v>1415</v>
      </c>
      <c r="AY721" s="19">
        <v>0</v>
      </c>
      <c r="AZ721" s="19">
        <v>21030020</v>
      </c>
      <c r="BA721" s="20" t="s">
        <v>206</v>
      </c>
      <c r="BB721" s="20" t="s">
        <v>204</v>
      </c>
      <c r="BC721" s="19">
        <v>0</v>
      </c>
      <c r="BD721" s="19">
        <v>0</v>
      </c>
      <c r="BE721" s="186" t="s">
        <v>1811</v>
      </c>
      <c r="BF721" s="186" t="s">
        <v>1812</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1813</v>
      </c>
      <c r="AU722" s="19" t="s">
        <v>204</v>
      </c>
      <c r="AV722" s="19"/>
      <c r="AW722" s="20" t="s">
        <v>1807</v>
      </c>
      <c r="AX722" s="19" t="s">
        <v>1415</v>
      </c>
      <c r="AY722" s="19">
        <v>0</v>
      </c>
      <c r="AZ722" s="19">
        <v>21030020</v>
      </c>
      <c r="BA722" s="20" t="s">
        <v>206</v>
      </c>
      <c r="BB722" s="20" t="s">
        <v>204</v>
      </c>
      <c r="BC722" s="19">
        <v>0</v>
      </c>
      <c r="BD722" s="19">
        <v>0</v>
      </c>
      <c r="BE722" s="186" t="s">
        <v>1814</v>
      </c>
      <c r="BF722" s="186" t="s">
        <v>1815</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1816</v>
      </c>
      <c r="AU723" s="19" t="s">
        <v>204</v>
      </c>
      <c r="AV723" s="19"/>
      <c r="AW723" s="20" t="s">
        <v>1807</v>
      </c>
      <c r="AX723" s="19" t="s">
        <v>1415</v>
      </c>
      <c r="AY723" s="19">
        <v>0</v>
      </c>
      <c r="AZ723" s="19">
        <v>21030020</v>
      </c>
      <c r="BA723" s="20" t="s">
        <v>206</v>
      </c>
      <c r="BB723" s="20" t="s">
        <v>204</v>
      </c>
      <c r="BC723" s="19">
        <v>0</v>
      </c>
      <c r="BD723" s="19">
        <v>0</v>
      </c>
      <c r="BE723" s="186" t="s">
        <v>1817</v>
      </c>
      <c r="BF723" s="186" t="s">
        <v>1818</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1819</v>
      </c>
      <c r="AU724" s="19" t="s">
        <v>204</v>
      </c>
      <c r="AV724" s="19"/>
      <c r="AW724" s="20" t="s">
        <v>1807</v>
      </c>
      <c r="AX724" s="19" t="s">
        <v>1415</v>
      </c>
      <c r="AY724" s="19">
        <v>0</v>
      </c>
      <c r="AZ724" s="19">
        <v>21030020</v>
      </c>
      <c r="BA724" s="20" t="s">
        <v>206</v>
      </c>
      <c r="BB724" s="20" t="s">
        <v>204</v>
      </c>
      <c r="BC724" s="19">
        <v>0</v>
      </c>
      <c r="BD724" s="19">
        <v>0</v>
      </c>
      <c r="BE724" s="186" t="s">
        <v>1820</v>
      </c>
      <c r="BF724" s="186" t="s">
        <v>1821</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1822</v>
      </c>
      <c r="AU725" s="19" t="s">
        <v>204</v>
      </c>
      <c r="AV725" s="19"/>
      <c r="AW725" s="20" t="s">
        <v>1807</v>
      </c>
      <c r="AX725" s="19" t="s">
        <v>1415</v>
      </c>
      <c r="AY725" s="19">
        <v>0</v>
      </c>
      <c r="AZ725" s="19">
        <v>21030020</v>
      </c>
      <c r="BA725" s="20" t="s">
        <v>206</v>
      </c>
      <c r="BB725" s="20" t="s">
        <v>204</v>
      </c>
      <c r="BC725" s="19">
        <v>0</v>
      </c>
      <c r="BD725" s="19">
        <v>0</v>
      </c>
      <c r="BE725" s="186" t="s">
        <v>1823</v>
      </c>
      <c r="BF725" s="186" t="s">
        <v>1824</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1827</v>
      </c>
      <c r="AV726" s="32">
        <v>90001079</v>
      </c>
      <c r="AW726" s="35" t="s">
        <v>205</v>
      </c>
      <c r="AX726" s="32" t="s">
        <v>1047</v>
      </c>
      <c r="AY726" s="32">
        <v>10004004</v>
      </c>
      <c r="AZ726" s="32">
        <v>21030030</v>
      </c>
      <c r="BA726" s="35" t="s">
        <v>1828</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1829</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1827</v>
      </c>
      <c r="AV727" s="32">
        <v>90001079</v>
      </c>
      <c r="AW727" s="35" t="s">
        <v>205</v>
      </c>
      <c r="AX727" s="32" t="s">
        <v>1047</v>
      </c>
      <c r="AY727" s="32">
        <v>10004004</v>
      </c>
      <c r="AZ727" s="32">
        <v>21030030</v>
      </c>
      <c r="BA727" s="35" t="s">
        <v>1828</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1829</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1827</v>
      </c>
      <c r="AV728" s="32">
        <v>90001079</v>
      </c>
      <c r="AW728" s="35" t="s">
        <v>205</v>
      </c>
      <c r="AX728" s="32" t="s">
        <v>1047</v>
      </c>
      <c r="AY728" s="32">
        <v>10004004</v>
      </c>
      <c r="AZ728" s="32">
        <v>21030030</v>
      </c>
      <c r="BA728" s="35" t="s">
        <v>1828</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1830</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1827</v>
      </c>
      <c r="AV729" s="32">
        <v>90001079</v>
      </c>
      <c r="AW729" s="35" t="s">
        <v>205</v>
      </c>
      <c r="AX729" s="32" t="s">
        <v>1047</v>
      </c>
      <c r="AY729" s="32">
        <v>10004004</v>
      </c>
      <c r="AZ729" s="32">
        <v>21030030</v>
      </c>
      <c r="BA729" s="35" t="s">
        <v>1828</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1831</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1827</v>
      </c>
      <c r="AV730" s="32">
        <v>90001079</v>
      </c>
      <c r="AW730" s="35" t="s">
        <v>205</v>
      </c>
      <c r="AX730" s="32" t="s">
        <v>1047</v>
      </c>
      <c r="AY730" s="32">
        <v>10004004</v>
      </c>
      <c r="AZ730" s="32">
        <v>21030030</v>
      </c>
      <c r="BA730" s="35" t="s">
        <v>1828</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1832</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1827</v>
      </c>
      <c r="AV731" s="32">
        <v>90001079</v>
      </c>
      <c r="AW731" s="35" t="s">
        <v>205</v>
      </c>
      <c r="AX731" s="32" t="s">
        <v>1047</v>
      </c>
      <c r="AY731" s="32">
        <v>10004004</v>
      </c>
      <c r="AZ731" s="32">
        <v>21030030</v>
      </c>
      <c r="BA731" s="35" t="s">
        <v>1828</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1833</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1834</v>
      </c>
      <c r="AV732" s="32"/>
      <c r="AW732" s="35" t="s">
        <v>204</v>
      </c>
      <c r="AX732" s="32">
        <v>0</v>
      </c>
      <c r="AY732" s="32">
        <v>0</v>
      </c>
      <c r="AZ732" s="32">
        <v>0</v>
      </c>
      <c r="BA732" s="35" t="s">
        <v>206</v>
      </c>
      <c r="BB732" s="35">
        <v>0</v>
      </c>
      <c r="BC732" s="31">
        <v>0</v>
      </c>
      <c r="BD732" s="31">
        <v>0</v>
      </c>
      <c r="BE732" s="185" t="s">
        <v>1835</v>
      </c>
      <c r="BF732" s="185"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1839</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1839</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1841</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1843</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1845</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1847</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1851</v>
      </c>
      <c r="BF739" s="185"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1882</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1882</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1882</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1882</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1882</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1882</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1897</v>
      </c>
      <c r="BF782" s="189"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1897</v>
      </c>
      <c r="BF783" s="189"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1899</v>
      </c>
      <c r="BF784" s="189"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1901</v>
      </c>
      <c r="BF785" s="189"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1903</v>
      </c>
      <c r="BF787" s="189"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1905</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1905</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1906</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1907</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1908</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1909</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1910</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1910</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1910</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1910</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1910</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1910</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1957</v>
      </c>
      <c r="AV817" s="19"/>
      <c r="AW817" s="20" t="s">
        <v>262</v>
      </c>
      <c r="AX817" s="19" t="s">
        <v>1854</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1957</v>
      </c>
      <c r="AV818" s="19"/>
      <c r="AW818" s="20" t="s">
        <v>262</v>
      </c>
      <c r="AX818" s="19" t="s">
        <v>1854</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1957</v>
      </c>
      <c r="AV819" s="19"/>
      <c r="AW819" s="20" t="s">
        <v>262</v>
      </c>
      <c r="AX819" s="19" t="s">
        <v>1854</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1955</v>
      </c>
      <c r="E820" s="20" t="s">
        <v>1956</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1957</v>
      </c>
      <c r="AV820" s="19"/>
      <c r="AW820" s="20" t="s">
        <v>262</v>
      </c>
      <c r="AX820" s="19" t="s">
        <v>1854</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1957</v>
      </c>
      <c r="AV821" s="19"/>
      <c r="AW821" s="20" t="s">
        <v>262</v>
      </c>
      <c r="AX821" s="19" t="s">
        <v>1854</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1957</v>
      </c>
      <c r="AV822" s="19"/>
      <c r="AW822" s="20" t="s">
        <v>262</v>
      </c>
      <c r="AX822" s="19" t="s">
        <v>1854</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1972</v>
      </c>
      <c r="AV829" s="32"/>
      <c r="AW829" s="20" t="s">
        <v>262</v>
      </c>
      <c r="AX829" s="19" t="s">
        <v>1973</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1972</v>
      </c>
      <c r="AV830" s="32"/>
      <c r="AW830" s="20" t="s">
        <v>262</v>
      </c>
      <c r="AX830" s="19" t="s">
        <v>1973</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1976</v>
      </c>
      <c r="AV831" s="32"/>
      <c r="AW831" s="20" t="s">
        <v>262</v>
      </c>
      <c r="AX831" s="19" t="s">
        <v>1973</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1978</v>
      </c>
      <c r="AV832" s="32"/>
      <c r="AW832" s="20" t="s">
        <v>262</v>
      </c>
      <c r="AX832" s="19" t="s">
        <v>1973</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1980</v>
      </c>
      <c r="AV833" s="32"/>
      <c r="AW833" s="20" t="s">
        <v>262</v>
      </c>
      <c r="AX833" s="19" t="s">
        <v>1973</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1982</v>
      </c>
      <c r="AV834" s="32"/>
      <c r="AW834" s="20" t="s">
        <v>262</v>
      </c>
      <c r="AX834" s="19" t="s">
        <v>1973</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39" t="s">
        <v>1989</v>
      </c>
      <c r="AV840" s="32"/>
      <c r="AW840" s="35" t="s">
        <v>205</v>
      </c>
      <c r="AX840" s="32" t="s">
        <v>1986</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39" t="s">
        <v>1989</v>
      </c>
      <c r="AV841" s="32"/>
      <c r="AW841" s="35" t="s">
        <v>205</v>
      </c>
      <c r="AX841" s="32" t="s">
        <v>1986</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39" t="s">
        <v>1989</v>
      </c>
      <c r="AV842" s="32"/>
      <c r="AW842" s="35" t="s">
        <v>205</v>
      </c>
      <c r="AX842" s="32" t="s">
        <v>1986</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39" t="s">
        <v>1989</v>
      </c>
      <c r="AV843" s="32"/>
      <c r="AW843" s="35" t="s">
        <v>205</v>
      </c>
      <c r="AX843" s="32" t="s">
        <v>1986</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39" t="s">
        <v>1989</v>
      </c>
      <c r="AV844" s="32"/>
      <c r="AW844" s="35" t="s">
        <v>205</v>
      </c>
      <c r="AX844" s="32" t="s">
        <v>1986</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39" t="s">
        <v>1989</v>
      </c>
      <c r="AV845" s="32"/>
      <c r="AW845" s="35" t="s">
        <v>205</v>
      </c>
      <c r="AX845" s="32" t="s">
        <v>1986</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1997</v>
      </c>
      <c r="BF846" s="183"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1997</v>
      </c>
      <c r="BF847" s="183"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1999</v>
      </c>
      <c r="BF848" s="183"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1995</v>
      </c>
      <c r="E849" s="42" t="s">
        <v>1996</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2001</v>
      </c>
      <c r="BF849" s="183"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2003</v>
      </c>
      <c r="BF850" s="183"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2005</v>
      </c>
      <c r="BF851" s="183"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2027</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2027</v>
      </c>
      <c r="AV865" s="19"/>
      <c r="AW865" s="35" t="s">
        <v>205</v>
      </c>
      <c r="AX865" s="32" t="s">
        <v>1473</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2027</v>
      </c>
      <c r="AV866" s="19"/>
      <c r="AW866" s="35" t="s">
        <v>205</v>
      </c>
      <c r="AX866" s="32" t="s">
        <v>1473</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2027</v>
      </c>
      <c r="AV867" s="19"/>
      <c r="AW867" s="35" t="s">
        <v>205</v>
      </c>
      <c r="AX867" s="32" t="s">
        <v>1473</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2027</v>
      </c>
      <c r="AV868" s="19"/>
      <c r="AW868" s="35" t="s">
        <v>205</v>
      </c>
      <c r="AX868" s="32" t="s">
        <v>1473</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2027</v>
      </c>
      <c r="AV869" s="19"/>
      <c r="AW869" s="35" t="s">
        <v>205</v>
      </c>
      <c r="AX869" s="32" t="s">
        <v>1473</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2050</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2050</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2051</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2052</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2053</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2054</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2055</v>
      </c>
      <c r="E882" s="205"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1862</v>
      </c>
      <c r="AY882" s="176">
        <v>10003002</v>
      </c>
      <c r="AZ882" s="176">
        <v>21200110</v>
      </c>
      <c r="BA882" s="205" t="s">
        <v>2057</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2055</v>
      </c>
      <c r="E883" s="205"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1862</v>
      </c>
      <c r="AY883" s="176">
        <v>10003002</v>
      </c>
      <c r="AZ883" s="176">
        <v>21200110</v>
      </c>
      <c r="BA883" s="205" t="s">
        <v>2057</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2055</v>
      </c>
      <c r="E884" s="205"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1862</v>
      </c>
      <c r="AY884" s="176">
        <v>10003002</v>
      </c>
      <c r="AZ884" s="176">
        <v>21200110</v>
      </c>
      <c r="BA884" s="205" t="s">
        <v>2057</v>
      </c>
      <c r="BB884" s="205">
        <v>0</v>
      </c>
      <c r="BC884" s="175">
        <v>0</v>
      </c>
      <c r="BD884" s="175">
        <v>0</v>
      </c>
      <c r="BE884" s="203" t="str">
        <f t="shared" si="81"/>
        <v>对目标方向投掷2个光球,对触碰的单位造成造成150%攻击伤害+950点固定伤害,此光球再移动到一定位置后会再原始路径返回</v>
      </c>
      <c r="BF884" s="203"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2055</v>
      </c>
      <c r="E885" s="205"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1862</v>
      </c>
      <c r="AY885" s="176">
        <v>10003002</v>
      </c>
      <c r="AZ885" s="176">
        <v>21200110</v>
      </c>
      <c r="BA885" s="205" t="s">
        <v>2057</v>
      </c>
      <c r="BB885" s="205">
        <v>0</v>
      </c>
      <c r="BC885" s="175">
        <v>0</v>
      </c>
      <c r="BD885" s="175">
        <v>0</v>
      </c>
      <c r="BE885" s="203" t="str">
        <f t="shared" si="81"/>
        <v>对目标方向投掷2个光球,对触碰的单位造成造成170%攻击伤害+1500点固定伤害,此光球再移动到一定位置后会再原始路径返回</v>
      </c>
      <c r="BF885" s="203"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2055</v>
      </c>
      <c r="E886" s="205"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1862</v>
      </c>
      <c r="AY886" s="176">
        <v>10003002</v>
      </c>
      <c r="AZ886" s="176">
        <v>21200110</v>
      </c>
      <c r="BA886" s="205" t="s">
        <v>2057</v>
      </c>
      <c r="BB886" s="205">
        <v>0</v>
      </c>
      <c r="BC886" s="175">
        <v>0</v>
      </c>
      <c r="BD886" s="175">
        <v>0</v>
      </c>
      <c r="BE886" s="203" t="str">
        <f t="shared" si="81"/>
        <v>对目标方向投掷2个光球,对触碰的单位造成造成190%攻击伤害+2250点固定伤害,此光球再移动到一定位置后会再原始路径返回</v>
      </c>
      <c r="BF886" s="203"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2055</v>
      </c>
      <c r="E887" s="205"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1862</v>
      </c>
      <c r="AY887" s="176">
        <v>10003002</v>
      </c>
      <c r="AZ887" s="176">
        <v>21200110</v>
      </c>
      <c r="BA887" s="205" t="s">
        <v>2057</v>
      </c>
      <c r="BB887" s="205">
        <v>0</v>
      </c>
      <c r="BC887" s="175">
        <v>0</v>
      </c>
      <c r="BD887" s="175">
        <v>0</v>
      </c>
      <c r="BE887" s="203" t="str">
        <f t="shared" si="81"/>
        <v>对目标方向投掷2个光球,对触碰的单位造成造成210%攻击伤害+3000点固定伤害,此光球再移动到一定位置后会再原始路径返回</v>
      </c>
      <c r="BF887" s="203"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2063</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2" t="s">
        <v>2065</v>
      </c>
      <c r="BC888" s="175">
        <v>0</v>
      </c>
      <c r="BD888" s="175">
        <v>0</v>
      </c>
      <c r="BE888" s="207" t="s">
        <v>2066</v>
      </c>
      <c r="BF888" s="207"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2063</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2"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2063</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2"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2063</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2"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2063</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2"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2063</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2" t="s">
        <v>2077</v>
      </c>
      <c r="BC893" s="175">
        <v>0</v>
      </c>
      <c r="BD893" s="175">
        <v>0</v>
      </c>
      <c r="BE893" s="207" t="s">
        <v>2078</v>
      </c>
      <c r="BF893" s="207"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2095</v>
      </c>
      <c r="BF898" s="208"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2063</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2" t="s">
        <v>2103</v>
      </c>
      <c r="BC901" s="175">
        <v>0</v>
      </c>
      <c r="BD901" s="175">
        <v>0</v>
      </c>
      <c r="BE901" s="207" t="s">
        <v>2104</v>
      </c>
      <c r="BF901" s="207"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2063</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2"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2063</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2"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2063</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2"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2063</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2"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2063</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2" t="s">
        <v>2115</v>
      </c>
      <c r="BC906" s="175">
        <v>0</v>
      </c>
      <c r="BD906" s="175">
        <v>0</v>
      </c>
      <c r="BE906" s="207" t="s">
        <v>2116</v>
      </c>
      <c r="BF906" s="207"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2118</v>
      </c>
      <c r="E907" s="205"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2118</v>
      </c>
      <c r="E908" s="205"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2118</v>
      </c>
      <c r="E909" s="205"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2118</v>
      </c>
      <c r="E910" s="205"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2118</v>
      </c>
      <c r="E911" s="205"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2118</v>
      </c>
      <c r="E912" s="205"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2125</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2127</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2125</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2127</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2125</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2127</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2125</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2127</v>
      </c>
      <c r="BC916" s="175">
        <v>0</v>
      </c>
      <c r="BD916" s="175">
        <v>0</v>
      </c>
      <c r="BE916" s="203" t="str">
        <f t="shared" si="87"/>
        <v>对前方扇形范围进行散射,造成225%攻击伤害+2250点固定伤害,并对目标触发1秒眩晕</v>
      </c>
      <c r="BF916" s="203"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2125</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2127</v>
      </c>
      <c r="BC917" s="175">
        <v>0</v>
      </c>
      <c r="BD917" s="175">
        <v>0</v>
      </c>
      <c r="BE917" s="203" t="str">
        <f t="shared" si="87"/>
        <v>对前方扇形范围进行散射,造成250%攻击伤害+3250点固定伤害,并对目标触发1秒眩晕</v>
      </c>
      <c r="BF917" s="203"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2125</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2127</v>
      </c>
      <c r="BC918" s="175">
        <v>0</v>
      </c>
      <c r="BD918" s="175">
        <v>0</v>
      </c>
      <c r="BE918" s="203" t="str">
        <f t="shared" si="87"/>
        <v>对前方扇形范围进行散射,造成275%攻击伤害+4250点固定伤害,并对目标触发1秒眩晕</v>
      </c>
      <c r="BF918" s="203"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2133</v>
      </c>
      <c r="E919" s="205"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2133</v>
      </c>
      <c r="E920" s="205"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2133</v>
      </c>
      <c r="E921" s="205"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2133</v>
      </c>
      <c r="E922" s="205"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2133</v>
      </c>
      <c r="E923" s="205"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2133</v>
      </c>
      <c r="E924" s="205"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2140</v>
      </c>
      <c r="E925" s="205"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2142</v>
      </c>
      <c r="BC925" s="174">
        <v>0</v>
      </c>
      <c r="BD925" s="174">
        <v>0</v>
      </c>
      <c r="BE925" s="211" t="s">
        <v>2143</v>
      </c>
      <c r="BF925" s="211"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2140</v>
      </c>
      <c r="E926" s="205"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2140</v>
      </c>
      <c r="E927" s="205"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2140</v>
      </c>
      <c r="E928" s="205" t="s">
        <v>2141</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2140</v>
      </c>
      <c r="E929" s="205"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2140</v>
      </c>
      <c r="E930" s="205"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2154</v>
      </c>
      <c r="BC930" s="174">
        <v>0</v>
      </c>
      <c r="BD930" s="174">
        <v>0</v>
      </c>
      <c r="BE930" s="211" t="s">
        <v>2155</v>
      </c>
      <c r="BF930" s="211"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2164</v>
      </c>
      <c r="E936" s="205"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2166</v>
      </c>
      <c r="BC936" s="174">
        <v>0</v>
      </c>
      <c r="BD936" s="174">
        <v>0</v>
      </c>
      <c r="BE936" s="211" t="s">
        <v>2167</v>
      </c>
      <c r="BF936" s="211"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2164</v>
      </c>
      <c r="E937" s="205"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2164</v>
      </c>
      <c r="E938" s="205"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2164</v>
      </c>
      <c r="E939" s="205"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2164</v>
      </c>
      <c r="E940" s="205"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2164</v>
      </c>
      <c r="E941" s="205"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2178</v>
      </c>
      <c r="BC941" s="174">
        <v>0</v>
      </c>
      <c r="BD941" s="174">
        <v>0</v>
      </c>
      <c r="BE941" s="211" t="s">
        <v>2179</v>
      </c>
      <c r="BF941" s="211"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2188</v>
      </c>
      <c r="E947" s="205"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2188</v>
      </c>
      <c r="E948" s="205"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2188</v>
      </c>
      <c r="E949" s="205"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1716</v>
      </c>
      <c r="AX949" s="176" t="s">
        <v>1415</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2188</v>
      </c>
      <c r="E950" s="205"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1716</v>
      </c>
      <c r="AX950" s="176" t="s">
        <v>1415</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2188</v>
      </c>
      <c r="E951" s="205"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1716</v>
      </c>
      <c r="AX951" s="176" t="s">
        <v>1415</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2188</v>
      </c>
      <c r="E952" s="205"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1716</v>
      </c>
      <c r="AX952" s="176" t="s">
        <v>1415</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2195</v>
      </c>
      <c r="E953" s="205"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5" t="s">
        <v>2197</v>
      </c>
      <c r="BB953" s="343" t="s">
        <v>2198</v>
      </c>
      <c r="BC953" s="174">
        <v>0</v>
      </c>
      <c r="BD953" s="174">
        <v>0</v>
      </c>
      <c r="BE953" s="211" t="s">
        <v>2199</v>
      </c>
      <c r="BF953" s="211"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2195</v>
      </c>
      <c r="E954" s="205"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5" t="s">
        <v>2197</v>
      </c>
      <c r="BB954" s="343"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2195</v>
      </c>
      <c r="E955" s="205"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5" t="s">
        <v>2197</v>
      </c>
      <c r="BB955" s="343"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2195</v>
      </c>
      <c r="E956" s="205"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5" t="s">
        <v>2197</v>
      </c>
      <c r="BB956" s="343"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2195</v>
      </c>
      <c r="E957" s="205"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5" t="s">
        <v>2197</v>
      </c>
      <c r="BB957" s="343"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2195</v>
      </c>
      <c r="E958" s="205"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5" t="s">
        <v>2197</v>
      </c>
      <c r="BB958" s="343" t="s">
        <v>2210</v>
      </c>
      <c r="BC958" s="174">
        <v>0</v>
      </c>
      <c r="BD958" s="174">
        <v>0</v>
      </c>
      <c r="BE958" s="211" t="s">
        <v>2211</v>
      </c>
      <c r="BF958" s="211"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2228</v>
      </c>
      <c r="E962" s="212" t="s">
        <v>2229</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2230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2228</v>
      </c>
      <c r="E963" s="212" t="s">
        <v>2229</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2230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2228</v>
      </c>
      <c r="E964" s="212" t="s">
        <v>2229</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2231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2228</v>
      </c>
      <c r="E965" s="212" t="s">
        <v>2229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2232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2228</v>
      </c>
      <c r="E966" s="212" t="s">
        <v>2229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2233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2228</v>
      </c>
      <c r="E967" s="212" t="s">
        <v>2229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2234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2235</v>
      </c>
      <c r="E968" s="202"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2237</v>
      </c>
      <c r="AY968" s="176">
        <v>10000007</v>
      </c>
      <c r="AZ968" s="176">
        <v>21202020</v>
      </c>
      <c r="BA968" s="205" t="s">
        <v>592</v>
      </c>
      <c r="BB968" s="175" t="s">
        <v>2127</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2235</v>
      </c>
      <c r="E969" s="202"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2237</v>
      </c>
      <c r="AY969" s="176">
        <v>10000007</v>
      </c>
      <c r="AZ969" s="176">
        <v>21202020</v>
      </c>
      <c r="BA969" s="205" t="s">
        <v>592</v>
      </c>
      <c r="BB969" s="175" t="s">
        <v>2127</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2235</v>
      </c>
      <c r="E970" s="202"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2237</v>
      </c>
      <c r="AY970" s="176">
        <v>10000007</v>
      </c>
      <c r="AZ970" s="176">
        <v>21202020</v>
      </c>
      <c r="BA970" s="205" t="s">
        <v>592</v>
      </c>
      <c r="BB970" s="175" t="s">
        <v>2127</v>
      </c>
      <c r="BC970" s="174">
        <v>0</v>
      </c>
      <c r="BD970" s="174">
        <v>0</v>
      </c>
      <c r="BE970" s="213" t="str">
        <f t="shared" si="100"/>
        <v>每次向前方释放5个烈焰飓风，每个飓风可以对目标造成225%攻击伤害+1500点固定伤害,并使目标造成眩晕效果,持续1秒</v>
      </c>
      <c r="BF970" s="213"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2235</v>
      </c>
      <c r="E971" s="202"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2237</v>
      </c>
      <c r="AY971" s="176">
        <v>10000007</v>
      </c>
      <c r="AZ971" s="176">
        <v>21202020</v>
      </c>
      <c r="BA971" s="205" t="s">
        <v>592</v>
      </c>
      <c r="BB971" s="175" t="s">
        <v>2127</v>
      </c>
      <c r="BC971" s="174">
        <v>0</v>
      </c>
      <c r="BD971" s="174">
        <v>0</v>
      </c>
      <c r="BE971" s="213" t="str">
        <f t="shared" si="100"/>
        <v>每次向前方释放5个烈焰飓风，每个飓风可以对目标造成250%攻击伤害+2250点固定伤害,并使目标造成眩晕效果,持续1秒</v>
      </c>
      <c r="BF971" s="213"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2235</v>
      </c>
      <c r="E972" s="202"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2237</v>
      </c>
      <c r="AY972" s="176">
        <v>10000007</v>
      </c>
      <c r="AZ972" s="176">
        <v>21202020</v>
      </c>
      <c r="BA972" s="205" t="s">
        <v>592</v>
      </c>
      <c r="BB972" s="175" t="s">
        <v>2127</v>
      </c>
      <c r="BC972" s="174">
        <v>0</v>
      </c>
      <c r="BD972" s="174">
        <v>0</v>
      </c>
      <c r="BE972" s="213" t="str">
        <f t="shared" si="100"/>
        <v>每次向前方释放5个烈焰飓风，每个飓风可以对目标造成275%攻击伤害+3250点固定伤害,并使目标造成眩晕效果,持续1秒</v>
      </c>
      <c r="BF972" s="213"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2235</v>
      </c>
      <c r="E973" s="202"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2237</v>
      </c>
      <c r="AY973" s="176">
        <v>10000007</v>
      </c>
      <c r="AZ973" s="176">
        <v>21202020</v>
      </c>
      <c r="BA973" s="205" t="s">
        <v>592</v>
      </c>
      <c r="BB973" s="175" t="s">
        <v>2127</v>
      </c>
      <c r="BC973" s="174">
        <v>0</v>
      </c>
      <c r="BD973" s="174">
        <v>0</v>
      </c>
      <c r="BE973" s="213" t="str">
        <f t="shared" si="100"/>
        <v>每次向前方释放5个烈焰飓风，每个飓风可以对目标造成300%攻击伤害+4250点固定伤害,并使目标造成眩晕效果,持续1秒</v>
      </c>
      <c r="BF973" s="213"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2243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2244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2245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2246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2247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2248</v>
      </c>
      <c r="E980" s="205"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2250</v>
      </c>
      <c r="AV980" s="205"/>
      <c r="AW980" s="205" t="s">
        <v>623</v>
      </c>
      <c r="AX980" s="176" t="s">
        <v>1986</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2248</v>
      </c>
      <c r="E981" s="205"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2250</v>
      </c>
      <c r="AV981" s="205"/>
      <c r="AW981" s="205" t="s">
        <v>623</v>
      </c>
      <c r="AX981" s="176" t="s">
        <v>1986</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2248</v>
      </c>
      <c r="E982" s="205"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2250</v>
      </c>
      <c r="AV982" s="205"/>
      <c r="AW982" s="205" t="s">
        <v>623</v>
      </c>
      <c r="AX982" s="176" t="s">
        <v>1986</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2248</v>
      </c>
      <c r="E983" s="205"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2250</v>
      </c>
      <c r="AV983" s="205"/>
      <c r="AW983" s="205" t="s">
        <v>623</v>
      </c>
      <c r="AX983" s="176" t="s">
        <v>1986</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2248</v>
      </c>
      <c r="E984" s="205"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2250</v>
      </c>
      <c r="AV984" s="205"/>
      <c r="AW984" s="205" t="s">
        <v>623</v>
      </c>
      <c r="AX984" s="176" t="s">
        <v>1986</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2248</v>
      </c>
      <c r="E985" s="205"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2250</v>
      </c>
      <c r="AV985" s="205"/>
      <c r="AW985" s="205" t="s">
        <v>623</v>
      </c>
      <c r="AX985" s="176" t="s">
        <v>1986</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2256</v>
      </c>
      <c r="E986" s="202"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2258</v>
      </c>
      <c r="AU986" s="343" t="s">
        <v>2259</v>
      </c>
      <c r="AV986" s="205"/>
      <c r="AW986" s="205" t="s">
        <v>1706</v>
      </c>
      <c r="AX986" s="175" t="s">
        <v>2260</v>
      </c>
      <c r="AY986" s="175" t="s">
        <v>204</v>
      </c>
      <c r="AZ986" s="175">
        <v>21203010</v>
      </c>
      <c r="BA986" s="202" t="s">
        <v>206</v>
      </c>
      <c r="BB986" s="175">
        <v>0</v>
      </c>
      <c r="BC986" s="175">
        <v>0</v>
      </c>
      <c r="BD986" s="175">
        <v>0</v>
      </c>
      <c r="BE986" s="215" t="s">
        <v>2261</v>
      </c>
      <c r="BF986" s="215"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2256</v>
      </c>
      <c r="E987" s="202"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2258</v>
      </c>
      <c r="AU987" s="343" t="s">
        <v>2259</v>
      </c>
      <c r="AV987" s="205"/>
      <c r="AW987" s="205" t="s">
        <v>1706</v>
      </c>
      <c r="AX987" s="175" t="s">
        <v>2260</v>
      </c>
      <c r="AY987" s="175" t="s">
        <v>204</v>
      </c>
      <c r="AZ987" s="175">
        <v>21203010</v>
      </c>
      <c r="BA987" s="202" t="s">
        <v>206</v>
      </c>
      <c r="BB987" s="175">
        <v>0</v>
      </c>
      <c r="BC987" s="175">
        <v>0</v>
      </c>
      <c r="BD987" s="175">
        <v>0</v>
      </c>
      <c r="BE987" s="215" t="s">
        <v>2261</v>
      </c>
      <c r="BF987" s="215"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2256</v>
      </c>
      <c r="E988" s="202"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2263</v>
      </c>
      <c r="AU988" s="343" t="s">
        <v>2264</v>
      </c>
      <c r="AV988" s="205"/>
      <c r="AW988" s="205" t="s">
        <v>1706</v>
      </c>
      <c r="AX988" s="175" t="s">
        <v>2260</v>
      </c>
      <c r="AY988" s="175" t="s">
        <v>204</v>
      </c>
      <c r="AZ988" s="175">
        <v>21203010</v>
      </c>
      <c r="BA988" s="202" t="s">
        <v>206</v>
      </c>
      <c r="BB988" s="175">
        <v>0</v>
      </c>
      <c r="BC988" s="175">
        <v>0</v>
      </c>
      <c r="BD988" s="175">
        <v>0</v>
      </c>
      <c r="BE988" s="215" t="s">
        <v>2265</v>
      </c>
      <c r="BF988" s="215"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2256</v>
      </c>
      <c r="E989" s="202" t="s">
        <v>2257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2267</v>
      </c>
      <c r="AU989" s="343" t="s">
        <v>2268</v>
      </c>
      <c r="AV989" s="205"/>
      <c r="AW989" s="205" t="s">
        <v>1706</v>
      </c>
      <c r="AX989" s="175" t="s">
        <v>2260</v>
      </c>
      <c r="AY989" s="175" t="s">
        <v>204</v>
      </c>
      <c r="AZ989" s="175">
        <v>21203010</v>
      </c>
      <c r="BA989" s="202" t="s">
        <v>206</v>
      </c>
      <c r="BB989" s="175">
        <v>0</v>
      </c>
      <c r="BC989" s="175">
        <v>0</v>
      </c>
      <c r="BD989" s="175">
        <v>0</v>
      </c>
      <c r="BE989" s="215" t="s">
        <v>2269</v>
      </c>
      <c r="BF989" s="215"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2256</v>
      </c>
      <c r="E990" s="202"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2271</v>
      </c>
      <c r="AU990" s="343" t="s">
        <v>2272</v>
      </c>
      <c r="AV990" s="205"/>
      <c r="AW990" s="205" t="s">
        <v>1706</v>
      </c>
      <c r="AX990" s="175" t="s">
        <v>2260</v>
      </c>
      <c r="AY990" s="175" t="s">
        <v>204</v>
      </c>
      <c r="AZ990" s="175">
        <v>21203010</v>
      </c>
      <c r="BA990" s="202" t="s">
        <v>206</v>
      </c>
      <c r="BB990" s="175">
        <v>0</v>
      </c>
      <c r="BC990" s="175">
        <v>0</v>
      </c>
      <c r="BD990" s="175">
        <v>0</v>
      </c>
      <c r="BE990" s="215" t="s">
        <v>2273</v>
      </c>
      <c r="BF990" s="215"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2256</v>
      </c>
      <c r="E991" s="202"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2275</v>
      </c>
      <c r="AU991" s="343" t="s">
        <v>2276</v>
      </c>
      <c r="AV991" s="205"/>
      <c r="AW991" s="205" t="s">
        <v>1706</v>
      </c>
      <c r="AX991" s="175" t="s">
        <v>2260</v>
      </c>
      <c r="AY991" s="175" t="s">
        <v>204</v>
      </c>
      <c r="AZ991" s="175">
        <v>21203010</v>
      </c>
      <c r="BA991" s="202" t="s">
        <v>206</v>
      </c>
      <c r="BB991" s="175">
        <v>0</v>
      </c>
      <c r="BC991" s="175">
        <v>0</v>
      </c>
      <c r="BD991" s="175">
        <v>0</v>
      </c>
      <c r="BE991" s="215" t="s">
        <v>2277</v>
      </c>
      <c r="BF991" s="215"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2279</v>
      </c>
      <c r="E992" s="202"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1854</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2279</v>
      </c>
      <c r="E993" s="202"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1854</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2279</v>
      </c>
      <c r="E994" s="202"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1854</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2279</v>
      </c>
      <c r="E995" s="202"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1854</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2279</v>
      </c>
      <c r="E996" s="202"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1854</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2279</v>
      </c>
      <c r="E997" s="202"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1854</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5" t="s">
        <v>2295</v>
      </c>
      <c r="BC1004" s="174">
        <v>0</v>
      </c>
      <c r="BD1004" s="174">
        <v>0</v>
      </c>
      <c r="BE1004" s="207" t="s">
        <v>2296</v>
      </c>
      <c r="BF1004" s="207"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5" t="s">
        <v>2298</v>
      </c>
      <c r="BC1005" s="174">
        <v>0</v>
      </c>
      <c r="BD1005" s="174">
        <v>0</v>
      </c>
      <c r="BE1005" s="207" t="s">
        <v>2296</v>
      </c>
      <c r="BF1005" s="207"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5" t="s">
        <v>2308</v>
      </c>
      <c r="BC1009" s="174">
        <v>0</v>
      </c>
      <c r="BD1009" s="174">
        <v>0</v>
      </c>
      <c r="BE1009" s="207" t="s">
        <v>2309</v>
      </c>
      <c r="BF1009" s="207"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2311</v>
      </c>
      <c r="E1011" s="42" t="s">
        <v>2312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7" t="s">
        <v>2314</v>
      </c>
      <c r="BF1011" s="217"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2334</v>
      </c>
      <c r="AW1017" s="35" t="s">
        <v>205</v>
      </c>
      <c r="AX1017" s="72" t="s">
        <v>540</v>
      </c>
      <c r="AY1017" s="74">
        <v>10000001</v>
      </c>
      <c r="AZ1017" s="74">
        <v>21300010</v>
      </c>
      <c r="BA1017" s="71" t="s">
        <v>592</v>
      </c>
      <c r="BB1017" s="72" t="s">
        <v>2335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2334</v>
      </c>
      <c r="AW1018" s="35" t="s">
        <v>205</v>
      </c>
      <c r="AX1018" s="72" t="s">
        <v>540</v>
      </c>
      <c r="AY1018" s="74">
        <v>10000001</v>
      </c>
      <c r="AZ1018" s="74">
        <v>21300010</v>
      </c>
      <c r="BA1018" s="71" t="s">
        <v>592</v>
      </c>
      <c r="BB1018" s="72" t="s">
        <v>2335</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2334</v>
      </c>
      <c r="AW1019" s="35" t="s">
        <v>205</v>
      </c>
      <c r="AX1019" s="72" t="s">
        <v>540</v>
      </c>
      <c r="AY1019" s="74">
        <v>10000001</v>
      </c>
      <c r="AZ1019" s="74">
        <v>21300010</v>
      </c>
      <c r="BA1019" s="71" t="s">
        <v>592</v>
      </c>
      <c r="BB1019" s="72" t="s">
        <v>2335</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2334</v>
      </c>
      <c r="AW1020" s="35" t="s">
        <v>205</v>
      </c>
      <c r="AX1020" s="72" t="s">
        <v>540</v>
      </c>
      <c r="AY1020" s="74">
        <v>10000001</v>
      </c>
      <c r="AZ1020" s="74">
        <v>21300010</v>
      </c>
      <c r="BA1020" s="71" t="s">
        <v>592</v>
      </c>
      <c r="BB1020" s="72" t="s">
        <v>2335</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2334</v>
      </c>
      <c r="AW1021" s="35" t="s">
        <v>205</v>
      </c>
      <c r="AX1021" s="72" t="s">
        <v>540</v>
      </c>
      <c r="AY1021" s="74">
        <v>10000001</v>
      </c>
      <c r="AZ1021" s="74">
        <v>21300010</v>
      </c>
      <c r="BA1021" s="71" t="s">
        <v>592</v>
      </c>
      <c r="BB1021" s="72" t="s">
        <v>2335</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2334</v>
      </c>
      <c r="AW1022" s="35" t="s">
        <v>205</v>
      </c>
      <c r="AX1022" s="72" t="s">
        <v>540</v>
      </c>
      <c r="AY1022" s="74">
        <v>10000001</v>
      </c>
      <c r="AZ1022" s="74">
        <v>21300010</v>
      </c>
      <c r="BA1022" s="71" t="s">
        <v>592</v>
      </c>
      <c r="BB1022" s="72" t="s">
        <v>2335</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2341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2343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2341</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2343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2341</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2343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2341</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2343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2341</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2343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2341</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2343</v>
      </c>
      <c r="BV1028" s="23"/>
      <c r="BW1028" s="23"/>
      <c r="BX1028" s="23"/>
      <c r="BY1028" s="23"/>
      <c r="BZ1028" s="23"/>
    </row>
    <row r="1029" spans="1:78" s="1" customFormat="1" ht="19.5" customHeight="1">
      <c r="A1029" s="218"/>
      <c r="B1029" s="218"/>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2365</v>
      </c>
      <c r="E1035" s="223" t="s">
        <v>2366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2341</v>
      </c>
      <c r="AV1035" s="228"/>
      <c r="AW1035" s="229" t="s">
        <v>204</v>
      </c>
      <c r="AX1035" s="225" t="s">
        <v>551</v>
      </c>
      <c r="AY1035" s="221">
        <v>10000001</v>
      </c>
      <c r="AZ1035" s="74">
        <v>77005002</v>
      </c>
      <c r="BA1035" s="222" t="s">
        <v>206</v>
      </c>
      <c r="BB1035" s="225">
        <v>0</v>
      </c>
      <c r="BC1035" s="226">
        <v>0</v>
      </c>
      <c r="BD1035" s="226">
        <v>0</v>
      </c>
      <c r="BE1035" s="230" t="s">
        <v>2367</v>
      </c>
      <c r="BF1035" s="230" t="s">
        <v>2368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2369</v>
      </c>
      <c r="E1036" s="223" t="s">
        <v>2370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2371</v>
      </c>
      <c r="BF1036" s="230" t="s">
        <v>2372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2373</v>
      </c>
      <c r="E1037" s="223" t="s">
        <v>2374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2341</v>
      </c>
      <c r="AV1037" s="228"/>
      <c r="AW1037" s="229" t="s">
        <v>204</v>
      </c>
      <c r="AX1037" s="225" t="s">
        <v>551</v>
      </c>
      <c r="AY1037" s="221">
        <v>10000001</v>
      </c>
      <c r="AZ1037" s="74">
        <v>77005002</v>
      </c>
      <c r="BA1037" s="222" t="s">
        <v>206</v>
      </c>
      <c r="BB1037" s="225">
        <v>0</v>
      </c>
      <c r="BC1037" s="226">
        <v>0</v>
      </c>
      <c r="BD1037" s="226">
        <v>0</v>
      </c>
      <c r="BE1037" s="230" t="s">
        <v>2367</v>
      </c>
      <c r="BF1037" s="230" t="s">
        <v>2368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2371</v>
      </c>
      <c r="BF1038" s="230" t="s">
        <v>2372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2373</v>
      </c>
      <c r="E1039" s="223" t="s">
        <v>2374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2341</v>
      </c>
      <c r="AV1039" s="228"/>
      <c r="AW1039" s="229" t="s">
        <v>204</v>
      </c>
      <c r="AX1039" s="225" t="s">
        <v>551</v>
      </c>
      <c r="AY1039" s="221">
        <v>10000001</v>
      </c>
      <c r="AZ1039" s="74">
        <v>77005002</v>
      </c>
      <c r="BA1039" s="222" t="s">
        <v>206</v>
      </c>
      <c r="BB1039" s="225">
        <v>0</v>
      </c>
      <c r="BC1039" s="226">
        <v>0</v>
      </c>
      <c r="BD1039" s="226">
        <v>0</v>
      </c>
      <c r="BE1039" s="230" t="s">
        <v>2367</v>
      </c>
      <c r="BF1039" s="230" t="s">
        <v>2368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2371</v>
      </c>
      <c r="BF1040" s="230" t="s">
        <v>2372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2373</v>
      </c>
      <c r="E1041" s="223" t="s">
        <v>2374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2341</v>
      </c>
      <c r="AV1041" s="228"/>
      <c r="AW1041" s="229" t="s">
        <v>204</v>
      </c>
      <c r="AX1041" s="225" t="s">
        <v>551</v>
      </c>
      <c r="AY1041" s="221">
        <v>10000001</v>
      </c>
      <c r="AZ1041" s="74">
        <v>77005002</v>
      </c>
      <c r="BA1041" s="222" t="s">
        <v>206</v>
      </c>
      <c r="BB1041" s="225">
        <v>0</v>
      </c>
      <c r="BC1041" s="226">
        <v>0</v>
      </c>
      <c r="BD1041" s="226">
        <v>0</v>
      </c>
      <c r="BE1041" s="230" t="s">
        <v>2367</v>
      </c>
      <c r="BF1041" s="230" t="s">
        <v>2368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2379</v>
      </c>
      <c r="AV1043" s="344" t="s">
        <v>2334</v>
      </c>
      <c r="AW1043" s="35" t="s">
        <v>205</v>
      </c>
      <c r="AX1043" s="100" t="s">
        <v>540</v>
      </c>
      <c r="AY1043" s="107">
        <v>10000001</v>
      </c>
      <c r="AZ1043" s="74">
        <v>21300110</v>
      </c>
      <c r="BA1043" s="110" t="s">
        <v>2380</v>
      </c>
      <c r="BB1043" s="100" t="s">
        <v>2381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2379</v>
      </c>
      <c r="AV1044" s="344" t="s">
        <v>2334</v>
      </c>
      <c r="AW1044" s="35" t="s">
        <v>205</v>
      </c>
      <c r="AX1044" s="100" t="s">
        <v>540</v>
      </c>
      <c r="AY1044" s="107">
        <v>10000001</v>
      </c>
      <c r="AZ1044" s="74">
        <v>21300110</v>
      </c>
      <c r="BA1044" s="110" t="s">
        <v>2380</v>
      </c>
      <c r="BB1044" s="100" t="s">
        <v>2381</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2379</v>
      </c>
      <c r="AV1045" s="344" t="s">
        <v>2334</v>
      </c>
      <c r="AW1045" s="35" t="s">
        <v>205</v>
      </c>
      <c r="AX1045" s="100" t="s">
        <v>540</v>
      </c>
      <c r="AY1045" s="107">
        <v>10000001</v>
      </c>
      <c r="AZ1045" s="74">
        <v>21300110</v>
      </c>
      <c r="BA1045" s="110" t="s">
        <v>2380</v>
      </c>
      <c r="BB1045" s="100" t="s">
        <v>2381</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2379</v>
      </c>
      <c r="AV1046" s="344" t="s">
        <v>2334</v>
      </c>
      <c r="AW1046" s="35" t="s">
        <v>205</v>
      </c>
      <c r="AX1046" s="100" t="s">
        <v>540</v>
      </c>
      <c r="AY1046" s="107">
        <v>10000001</v>
      </c>
      <c r="AZ1046" s="74">
        <v>21300110</v>
      </c>
      <c r="BA1046" s="110" t="s">
        <v>2380</v>
      </c>
      <c r="BB1046" s="100" t="s">
        <v>2381</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2379</v>
      </c>
      <c r="AV1047" s="344" t="s">
        <v>2334</v>
      </c>
      <c r="AW1047" s="35" t="s">
        <v>205</v>
      </c>
      <c r="AX1047" s="100" t="s">
        <v>540</v>
      </c>
      <c r="AY1047" s="107">
        <v>10000001</v>
      </c>
      <c r="AZ1047" s="74">
        <v>21300110</v>
      </c>
      <c r="BA1047" s="110" t="s">
        <v>2380</v>
      </c>
      <c r="BB1047" s="100" t="s">
        <v>2381</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2379</v>
      </c>
      <c r="AV1048" s="344" t="s">
        <v>2334</v>
      </c>
      <c r="AW1048" s="35" t="s">
        <v>205</v>
      </c>
      <c r="AX1048" s="100" t="s">
        <v>540</v>
      </c>
      <c r="AY1048" s="107">
        <v>10000001</v>
      </c>
      <c r="AZ1048" s="74">
        <v>21300110</v>
      </c>
      <c r="BA1048" s="110" t="s">
        <v>2380</v>
      </c>
      <c r="BB1048" s="100" t="s">
        <v>2381</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2343</v>
      </c>
      <c r="BV1049" s="23"/>
      <c r="BW1049" s="23"/>
      <c r="BX1049" s="23"/>
      <c r="BY1049" s="23"/>
      <c r="BZ1049" s="23"/>
    </row>
    <row r="1050" spans="1:78" s="1" customFormat="1" ht="20.100000000000001" customHeight="1">
      <c r="A1050" s="218"/>
      <c r="B1050" s="218"/>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2343</v>
      </c>
      <c r="BV1050" s="23"/>
      <c r="BW1050" s="23"/>
      <c r="BX1050" s="23"/>
      <c r="BY1050" s="23"/>
      <c r="BZ1050" s="23"/>
    </row>
    <row r="1051" spans="1:78" s="1" customFormat="1" ht="20.100000000000001" customHeight="1">
      <c r="A1051" s="218"/>
      <c r="B1051" s="218"/>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2343</v>
      </c>
      <c r="BV1051" s="23"/>
      <c r="BW1051" s="23"/>
      <c r="BX1051" s="23"/>
      <c r="BY1051" s="23"/>
      <c r="BZ1051" s="23"/>
    </row>
    <row r="1052" spans="1:78" s="1" customFormat="1" ht="20.100000000000001" customHeight="1">
      <c r="A1052" s="218"/>
      <c r="B1052" s="218"/>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2343</v>
      </c>
      <c r="BV1052" s="23"/>
      <c r="BW1052" s="23"/>
      <c r="BX1052" s="23"/>
      <c r="BY1052" s="23"/>
      <c r="BZ1052" s="23"/>
    </row>
    <row r="1053" spans="1:78" s="1" customFormat="1" ht="20.100000000000001" customHeight="1">
      <c r="A1053" s="218"/>
      <c r="B1053" s="218"/>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2343</v>
      </c>
      <c r="BV1053" s="23"/>
      <c r="BW1053" s="23"/>
      <c r="BX1053" s="23"/>
      <c r="BY1053" s="23"/>
      <c r="BZ1053" s="23"/>
    </row>
    <row r="1054" spans="1:78" s="1" customFormat="1" ht="20.100000000000001" customHeight="1">
      <c r="A1054" s="218"/>
      <c r="B1054" s="218"/>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2343</v>
      </c>
      <c r="BV1054" s="23"/>
      <c r="BW1054" s="23"/>
      <c r="BX1054" s="23"/>
      <c r="BY1054" s="23"/>
      <c r="BZ1054" s="23"/>
    </row>
    <row r="1055" spans="1:78" s="2" customFormat="1" ht="20.100000000000001" customHeight="1">
      <c r="A1055" s="219"/>
      <c r="B1055" s="219"/>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2334</v>
      </c>
      <c r="AW1055" s="35" t="s">
        <v>205</v>
      </c>
      <c r="AX1055" s="100" t="s">
        <v>551</v>
      </c>
      <c r="AY1055" s="107">
        <v>0</v>
      </c>
      <c r="AZ1055" s="74">
        <v>21300130</v>
      </c>
      <c r="BA1055" s="110" t="s">
        <v>2396</v>
      </c>
      <c r="BB1055" s="100" t="s">
        <v>2397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2334</v>
      </c>
      <c r="AW1056" s="35" t="s">
        <v>205</v>
      </c>
      <c r="AX1056" s="100" t="s">
        <v>551</v>
      </c>
      <c r="AY1056" s="107">
        <v>0</v>
      </c>
      <c r="AZ1056" s="74">
        <v>21300130</v>
      </c>
      <c r="BA1056" s="110" t="s">
        <v>2396</v>
      </c>
      <c r="BB1056" s="100" t="s">
        <v>2397</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2334</v>
      </c>
      <c r="AW1057" s="35" t="s">
        <v>205</v>
      </c>
      <c r="AX1057" s="100" t="s">
        <v>551</v>
      </c>
      <c r="AY1057" s="107">
        <v>0</v>
      </c>
      <c r="AZ1057" s="74">
        <v>21300130</v>
      </c>
      <c r="BA1057" s="110" t="s">
        <v>2396</v>
      </c>
      <c r="BB1057" s="100" t="s">
        <v>2397</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2334</v>
      </c>
      <c r="AW1058" s="35" t="s">
        <v>205</v>
      </c>
      <c r="AX1058" s="100" t="s">
        <v>551</v>
      </c>
      <c r="AY1058" s="107">
        <v>0</v>
      </c>
      <c r="AZ1058" s="74">
        <v>21300130</v>
      </c>
      <c r="BA1058" s="110" t="s">
        <v>2396</v>
      </c>
      <c r="BB1058" s="100" t="s">
        <v>2397</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2334</v>
      </c>
      <c r="AW1059" s="35" t="s">
        <v>205</v>
      </c>
      <c r="AX1059" s="100" t="s">
        <v>551</v>
      </c>
      <c r="AY1059" s="107">
        <v>0</v>
      </c>
      <c r="AZ1059" s="74">
        <v>21300130</v>
      </c>
      <c r="BA1059" s="110" t="s">
        <v>2396</v>
      </c>
      <c r="BB1059" s="100" t="s">
        <v>2397</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2334</v>
      </c>
      <c r="AW1060" s="35" t="s">
        <v>205</v>
      </c>
      <c r="AX1060" s="100" t="s">
        <v>551</v>
      </c>
      <c r="AY1060" s="107">
        <v>0</v>
      </c>
      <c r="AZ1060" s="74">
        <v>21300130</v>
      </c>
      <c r="BA1060" s="110" t="s">
        <v>2396</v>
      </c>
      <c r="BB1060" s="100" t="s">
        <v>2397</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2403</v>
      </c>
      <c r="E1061" s="222" t="s">
        <v>2404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2405</v>
      </c>
      <c r="BF1061" s="230" t="s">
        <v>2406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2403</v>
      </c>
      <c r="E1062" s="222" t="s">
        <v>2404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2405</v>
      </c>
      <c r="BF1062" s="230" t="s">
        <v>2406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2403</v>
      </c>
      <c r="E1063" s="222" t="s">
        <v>2404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2405</v>
      </c>
      <c r="BF1063" s="230" t="s">
        <v>2406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2403</v>
      </c>
      <c r="E1064" s="222" t="s">
        <v>2404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2405</v>
      </c>
      <c r="BF1064" s="230" t="s">
        <v>2406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2403</v>
      </c>
      <c r="E1065" s="222" t="s">
        <v>2404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2405</v>
      </c>
      <c r="BF1065" s="230" t="s">
        <v>2406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2403</v>
      </c>
      <c r="E1066" s="222" t="s">
        <v>2404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2405</v>
      </c>
      <c r="BF1066" s="230" t="s">
        <v>2406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7"/>
        <v>积蓄全身的力气,瞬移到目标区域并造成275%攻击伤害+1800点固定伤害,并附加1秒眩晕</v>
      </c>
      <c r="BF1069" s="185"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7"/>
        <v>积蓄全身的力气,瞬移到目标区域并造成300%攻击伤害+2800点固定伤害,并附加1秒眩晕</v>
      </c>
      <c r="BF1070" s="185"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7"/>
        <v>积蓄全身的力气,瞬移到目标区域并造成325%攻击伤害+4000点固定伤害,并附加1秒眩晕</v>
      </c>
      <c r="BF1071" s="185"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7"/>
        <v>积蓄全身的力气,瞬移到目标区域并造成350%攻击伤害+5200点固定伤害,并附加1秒眩晕</v>
      </c>
      <c r="BF1072" s="185"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2334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2334</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2334</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2334</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2334</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2334</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2423</v>
      </c>
      <c r="AV1079" s="344" t="s">
        <v>2334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2425</v>
      </c>
      <c r="BV1079" s="23"/>
      <c r="BW1079" s="23"/>
      <c r="BX1079" s="23"/>
      <c r="BY1079" s="23"/>
      <c r="BZ1079" s="23"/>
    </row>
    <row r="1080" spans="1:78" s="1" customFormat="1" ht="20.100000000000001" customHeight="1">
      <c r="A1080" s="218"/>
      <c r="B1080" s="218"/>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2423</v>
      </c>
      <c r="AV1080" s="344" t="s">
        <v>2334</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2426</v>
      </c>
      <c r="BV1080" s="23"/>
      <c r="BW1080" s="23"/>
      <c r="BX1080" s="23"/>
      <c r="BY1080" s="23"/>
      <c r="BZ1080" s="23"/>
    </row>
    <row r="1081" spans="1:78" s="1" customFormat="1" ht="20.100000000000001" customHeight="1">
      <c r="A1081" s="218"/>
      <c r="B1081" s="218"/>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2423</v>
      </c>
      <c r="AV1081" s="344" t="s">
        <v>2334</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2428</v>
      </c>
      <c r="BV1081" s="23"/>
      <c r="BW1081" s="23"/>
      <c r="BX1081" s="23"/>
      <c r="BY1081" s="23"/>
      <c r="BZ1081" s="23"/>
    </row>
    <row r="1082" spans="1:78" s="1" customFormat="1" ht="20.100000000000001" customHeight="1">
      <c r="A1082" s="218"/>
      <c r="B1082" s="218"/>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2423</v>
      </c>
      <c r="AV1082" s="344" t="s">
        <v>2334</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2430</v>
      </c>
      <c r="BV1082" s="23"/>
      <c r="BW1082" s="23"/>
      <c r="BX1082" s="23"/>
      <c r="BY1082" s="23"/>
      <c r="BZ1082" s="23"/>
    </row>
    <row r="1083" spans="1:78" s="1" customFormat="1" ht="20.100000000000001" customHeight="1">
      <c r="A1083" s="218"/>
      <c r="B1083" s="218"/>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2423</v>
      </c>
      <c r="AV1083" s="344" t="s">
        <v>2334</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2432</v>
      </c>
      <c r="BV1083" s="23"/>
      <c r="BW1083" s="23"/>
      <c r="BX1083" s="23"/>
      <c r="BY1083" s="23"/>
      <c r="BZ1083" s="23"/>
    </row>
    <row r="1084" spans="1:78" s="1" customFormat="1" ht="20.100000000000001" customHeight="1">
      <c r="A1084" s="218"/>
      <c r="B1084" s="218"/>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2423</v>
      </c>
      <c r="AV1084" s="344" t="s">
        <v>2334</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2434</v>
      </c>
      <c r="BV1084" s="23"/>
      <c r="BW1084" s="23"/>
      <c r="BX1084" s="23"/>
      <c r="BY1084" s="23"/>
      <c r="BZ1084" s="23"/>
    </row>
    <row r="1085" spans="1:78" s="4" customFormat="1" ht="20.100000000000001" customHeight="1">
      <c r="A1085" s="231"/>
      <c r="B1085" s="231"/>
      <c r="C1085" s="50">
        <v>64013311</v>
      </c>
      <c r="D1085" s="49" t="s">
        <v>2435</v>
      </c>
      <c r="E1085" s="49" t="s">
        <v>2436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2437</v>
      </c>
      <c r="AU1085" s="50">
        <v>0</v>
      </c>
      <c r="AV1085" s="50"/>
      <c r="AW1085" s="49" t="s">
        <v>204</v>
      </c>
      <c r="AX1085" s="50" t="s">
        <v>551</v>
      </c>
      <c r="AY1085" s="50">
        <v>0</v>
      </c>
      <c r="AZ1085" s="50">
        <v>77005103</v>
      </c>
      <c r="BA1085" s="49" t="s">
        <v>1180</v>
      </c>
      <c r="BB1085" s="346" t="s">
        <v>2438</v>
      </c>
      <c r="BC1085" s="50">
        <v>0</v>
      </c>
      <c r="BD1085" s="50">
        <v>0</v>
      </c>
      <c r="BE1085" s="52" t="s">
        <v>2439</v>
      </c>
      <c r="BF1085" s="52" t="s">
        <v>2440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2435</v>
      </c>
      <c r="E1086" s="49" t="s">
        <v>2436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2437</v>
      </c>
      <c r="AU1086" s="50">
        <v>0</v>
      </c>
      <c r="AV1086" s="50"/>
      <c r="AW1086" s="49" t="s">
        <v>204</v>
      </c>
      <c r="AX1086" s="50" t="s">
        <v>551</v>
      </c>
      <c r="AY1086" s="50">
        <v>0</v>
      </c>
      <c r="AZ1086" s="50">
        <v>77005103</v>
      </c>
      <c r="BA1086" s="49" t="s">
        <v>1180</v>
      </c>
      <c r="BB1086" s="346" t="s">
        <v>2438</v>
      </c>
      <c r="BC1086" s="50">
        <v>0</v>
      </c>
      <c r="BD1086" s="50">
        <v>0</v>
      </c>
      <c r="BE1086" s="52" t="s">
        <v>2439</v>
      </c>
      <c r="BF1086" s="52" t="s">
        <v>2440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2435</v>
      </c>
      <c r="E1087" s="49" t="s">
        <v>2436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2437</v>
      </c>
      <c r="AU1087" s="50">
        <v>0</v>
      </c>
      <c r="AV1087" s="50"/>
      <c r="AW1087" s="49" t="s">
        <v>204</v>
      </c>
      <c r="AX1087" s="50" t="s">
        <v>551</v>
      </c>
      <c r="AY1087" s="50">
        <v>0</v>
      </c>
      <c r="AZ1087" s="50">
        <v>77005103</v>
      </c>
      <c r="BA1087" s="49" t="s">
        <v>1180</v>
      </c>
      <c r="BB1087" s="346" t="s">
        <v>2438</v>
      </c>
      <c r="BC1087" s="50">
        <v>0</v>
      </c>
      <c r="BD1087" s="50">
        <v>0</v>
      </c>
      <c r="BE1087" s="52" t="s">
        <v>2439</v>
      </c>
      <c r="BF1087" s="52" t="s">
        <v>2440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2435</v>
      </c>
      <c r="E1088" s="49" t="s">
        <v>2436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2437</v>
      </c>
      <c r="AU1088" s="50">
        <v>0</v>
      </c>
      <c r="AV1088" s="50"/>
      <c r="AW1088" s="49" t="s">
        <v>204</v>
      </c>
      <c r="AX1088" s="50" t="s">
        <v>551</v>
      </c>
      <c r="AY1088" s="50">
        <v>0</v>
      </c>
      <c r="AZ1088" s="50">
        <v>77005103</v>
      </c>
      <c r="BA1088" s="49" t="s">
        <v>1180</v>
      </c>
      <c r="BB1088" s="346" t="s">
        <v>2438</v>
      </c>
      <c r="BC1088" s="50">
        <v>0</v>
      </c>
      <c r="BD1088" s="50">
        <v>0</v>
      </c>
      <c r="BE1088" s="52" t="s">
        <v>2439</v>
      </c>
      <c r="BF1088" s="52" t="s">
        <v>2440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2435</v>
      </c>
      <c r="E1089" s="49" t="s">
        <v>2436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2437</v>
      </c>
      <c r="AU1089" s="50">
        <v>0</v>
      </c>
      <c r="AV1089" s="50"/>
      <c r="AW1089" s="49" t="s">
        <v>204</v>
      </c>
      <c r="AX1089" s="50" t="s">
        <v>551</v>
      </c>
      <c r="AY1089" s="50">
        <v>0</v>
      </c>
      <c r="AZ1089" s="50">
        <v>77005103</v>
      </c>
      <c r="BA1089" s="49" t="s">
        <v>1180</v>
      </c>
      <c r="BB1089" s="346" t="s">
        <v>2438</v>
      </c>
      <c r="BC1089" s="50">
        <v>0</v>
      </c>
      <c r="BD1089" s="50">
        <v>0</v>
      </c>
      <c r="BE1089" s="52" t="s">
        <v>2439</v>
      </c>
      <c r="BF1089" s="52" t="s">
        <v>2440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2435</v>
      </c>
      <c r="E1090" s="49" t="s">
        <v>2436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2437</v>
      </c>
      <c r="AU1090" s="50">
        <v>0</v>
      </c>
      <c r="AV1090" s="50"/>
      <c r="AW1090" s="49" t="s">
        <v>204</v>
      </c>
      <c r="AX1090" s="50" t="s">
        <v>551</v>
      </c>
      <c r="AY1090" s="50">
        <v>0</v>
      </c>
      <c r="AZ1090" s="50">
        <v>77005103</v>
      </c>
      <c r="BA1090" s="49" t="s">
        <v>1180</v>
      </c>
      <c r="BB1090" s="346" t="s">
        <v>2438</v>
      </c>
      <c r="BC1090" s="50">
        <v>0</v>
      </c>
      <c r="BD1090" s="50">
        <v>0</v>
      </c>
      <c r="BE1090" s="52" t="s">
        <v>2439</v>
      </c>
      <c r="BF1090" s="52" t="s">
        <v>2440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2443</v>
      </c>
      <c r="AU1091" s="100" t="s">
        <v>204</v>
      </c>
      <c r="AV1091" s="344" t="s">
        <v>2334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2443</v>
      </c>
      <c r="AU1092" s="100" t="s">
        <v>204</v>
      </c>
      <c r="AV1092" s="344" t="s">
        <v>2334</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2443</v>
      </c>
      <c r="AU1093" s="100" t="s">
        <v>204</v>
      </c>
      <c r="AV1093" s="344" t="s">
        <v>2334</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2443</v>
      </c>
      <c r="AU1094" s="100" t="s">
        <v>204</v>
      </c>
      <c r="AV1094" s="344" t="s">
        <v>2334</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2443</v>
      </c>
      <c r="AU1095" s="100" t="s">
        <v>204</v>
      </c>
      <c r="AV1095" s="344" t="s">
        <v>2334</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2443</v>
      </c>
      <c r="AU1096" s="100" t="s">
        <v>204</v>
      </c>
      <c r="AV1096" s="344" t="s">
        <v>2334</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2449</v>
      </c>
      <c r="AV1097" s="228"/>
      <c r="AW1097" s="222" t="s">
        <v>205</v>
      </c>
      <c r="AX1097" s="225" t="s">
        <v>221</v>
      </c>
      <c r="AY1097" s="221">
        <v>0</v>
      </c>
      <c r="AZ1097" s="221">
        <v>0</v>
      </c>
      <c r="BA1097" s="234" t="s">
        <v>222</v>
      </c>
      <c r="BB1097" s="225">
        <v>0</v>
      </c>
      <c r="BC1097" s="226">
        <v>0</v>
      </c>
      <c r="BD1097" s="226">
        <v>0</v>
      </c>
      <c r="BE1097" s="230" t="s">
        <v>2450</v>
      </c>
      <c r="BF1097" s="230" t="s">
        <v>2451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2452</v>
      </c>
      <c r="E1098" s="222" t="s">
        <v>2453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2454</v>
      </c>
      <c r="BF1098" s="230" t="s">
        <v>2455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2452</v>
      </c>
      <c r="E1099" s="222" t="s">
        <v>2453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2454</v>
      </c>
      <c r="BF1099" s="230" t="s">
        <v>2455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2452</v>
      </c>
      <c r="E1100" s="222" t="s">
        <v>2453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2454</v>
      </c>
      <c r="BF1100" s="230" t="s">
        <v>2455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2452</v>
      </c>
      <c r="E1101" s="222" t="s">
        <v>2453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2454</v>
      </c>
      <c r="BF1101" s="230" t="s">
        <v>2455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2452</v>
      </c>
      <c r="E1102" s="222" t="s">
        <v>2453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2454</v>
      </c>
      <c r="BF1102" s="230" t="s">
        <v>2455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2452</v>
      </c>
      <c r="E1103" s="222" t="s">
        <v>2453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2454</v>
      </c>
      <c r="BF1103" s="230" t="s">
        <v>2455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2334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2334</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2334</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2334</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2334</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2334</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2465</v>
      </c>
      <c r="AV1110" s="344" t="s">
        <v>2334</v>
      </c>
      <c r="AW1110" s="35" t="s">
        <v>205</v>
      </c>
      <c r="AX1110" s="100" t="s">
        <v>540</v>
      </c>
      <c r="AY1110" s="107">
        <v>10000001</v>
      </c>
      <c r="AZ1110" s="107">
        <v>77005201</v>
      </c>
      <c r="BA1110" s="110" t="s">
        <v>592</v>
      </c>
      <c r="BB1110" s="72" t="s">
        <v>2466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2465</v>
      </c>
      <c r="AV1111" s="344" t="s">
        <v>2334</v>
      </c>
      <c r="AW1111" s="35" t="s">
        <v>205</v>
      </c>
      <c r="AX1111" s="100" t="s">
        <v>540</v>
      </c>
      <c r="AY1111" s="107">
        <v>10000001</v>
      </c>
      <c r="AZ1111" s="107">
        <v>77005201</v>
      </c>
      <c r="BA1111" s="110" t="s">
        <v>592</v>
      </c>
      <c r="BB1111" s="72" t="s">
        <v>2466</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2465</v>
      </c>
      <c r="AV1112" s="344" t="s">
        <v>2334</v>
      </c>
      <c r="AW1112" s="35" t="s">
        <v>205</v>
      </c>
      <c r="AX1112" s="100" t="s">
        <v>540</v>
      </c>
      <c r="AY1112" s="107">
        <v>10000001</v>
      </c>
      <c r="AZ1112" s="107">
        <v>77005201</v>
      </c>
      <c r="BA1112" s="110" t="s">
        <v>592</v>
      </c>
      <c r="BB1112" s="72" t="s">
        <v>2466</v>
      </c>
      <c r="BC1112" s="99">
        <v>0</v>
      </c>
      <c r="BD1112" s="99">
        <v>0</v>
      </c>
      <c r="BE1112" s="185" t="str">
        <f t="shared" si="122"/>
        <v>对目标区域释放移动的魔球，对敌方单位造成300%攻击伤害+1800点固定伤害,并附加1层魔法印记</v>
      </c>
      <c r="BF1112" s="185"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2465</v>
      </c>
      <c r="AV1113" s="344" t="s">
        <v>2334</v>
      </c>
      <c r="AW1113" s="35" t="s">
        <v>205</v>
      </c>
      <c r="AX1113" s="100" t="s">
        <v>540</v>
      </c>
      <c r="AY1113" s="107">
        <v>10000001</v>
      </c>
      <c r="AZ1113" s="107">
        <v>77005201</v>
      </c>
      <c r="BA1113" s="110" t="s">
        <v>592</v>
      </c>
      <c r="BB1113" s="72" t="s">
        <v>2466</v>
      </c>
      <c r="BC1113" s="99">
        <v>0</v>
      </c>
      <c r="BD1113" s="99">
        <v>0</v>
      </c>
      <c r="BE1113" s="185" t="str">
        <f t="shared" si="122"/>
        <v>对目标区域释放移动的魔球，对敌方单位造成330%攻击伤害+2800点固定伤害,并附加1层魔法印记</v>
      </c>
      <c r="BF1113" s="185"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2465</v>
      </c>
      <c r="AV1114" s="344" t="s">
        <v>2334</v>
      </c>
      <c r="AW1114" s="35" t="s">
        <v>205</v>
      </c>
      <c r="AX1114" s="100" t="s">
        <v>540</v>
      </c>
      <c r="AY1114" s="107">
        <v>10000001</v>
      </c>
      <c r="AZ1114" s="107">
        <v>77005201</v>
      </c>
      <c r="BA1114" s="110" t="s">
        <v>592</v>
      </c>
      <c r="BB1114" s="72" t="s">
        <v>2466</v>
      </c>
      <c r="BC1114" s="99">
        <v>0</v>
      </c>
      <c r="BD1114" s="99">
        <v>0</v>
      </c>
      <c r="BE1114" s="185" t="str">
        <f t="shared" si="122"/>
        <v>对目标区域释放移动的魔球，对敌方单位造成360%攻击伤害+4000点固定伤害,并附加1层魔法印记</v>
      </c>
      <c r="BF1114" s="185"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2465</v>
      </c>
      <c r="AV1115" s="344" t="s">
        <v>2334</v>
      </c>
      <c r="AW1115" s="35" t="s">
        <v>205</v>
      </c>
      <c r="AX1115" s="100" t="s">
        <v>540</v>
      </c>
      <c r="AY1115" s="107">
        <v>10000001</v>
      </c>
      <c r="AZ1115" s="107">
        <v>77005201</v>
      </c>
      <c r="BA1115" s="110" t="s">
        <v>592</v>
      </c>
      <c r="BB1115" s="72" t="s">
        <v>2466</v>
      </c>
      <c r="BC1115" s="99">
        <v>0</v>
      </c>
      <c r="BD1115" s="99">
        <v>0</v>
      </c>
      <c r="BE1115" s="185" t="str">
        <f t="shared" si="122"/>
        <v>对目标区域释放移动的魔球，对敌方单位造成400%攻击伤害+5200点固定伤害,并附加1层魔法印记</v>
      </c>
      <c r="BF1115" s="185"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2475</v>
      </c>
      <c r="BV1116" s="23"/>
      <c r="BW1116" s="23"/>
      <c r="BX1116" s="23"/>
      <c r="BY1116" s="23"/>
      <c r="BZ1116" s="23"/>
    </row>
    <row r="1117" spans="1:78" s="2" customFormat="1" ht="20.100000000000001" customHeight="1">
      <c r="A1117" s="219"/>
      <c r="B1117" s="219"/>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2476</v>
      </c>
      <c r="BV1117" s="23"/>
      <c r="BW1117" s="23"/>
      <c r="BX1117" s="23"/>
      <c r="BY1117" s="23"/>
      <c r="BZ1117" s="23"/>
    </row>
    <row r="1118" spans="1:78" s="2" customFormat="1" ht="20.100000000000001" customHeight="1">
      <c r="A1118" s="219"/>
      <c r="B1118" s="219"/>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2478</v>
      </c>
      <c r="BV1118" s="23"/>
      <c r="BW1118" s="23"/>
      <c r="BX1118" s="23"/>
      <c r="BY1118" s="23"/>
      <c r="BZ1118" s="23"/>
    </row>
    <row r="1119" spans="1:78" s="2" customFormat="1" ht="20.100000000000001" customHeight="1">
      <c r="A1119" s="219"/>
      <c r="B1119" s="219"/>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2480</v>
      </c>
      <c r="BV1119" s="23"/>
      <c r="BW1119" s="23"/>
      <c r="BX1119" s="23"/>
      <c r="BY1119" s="23"/>
      <c r="BZ1119" s="23"/>
    </row>
    <row r="1120" spans="1:78" s="2" customFormat="1" ht="20.100000000000001" customHeight="1">
      <c r="A1120" s="219"/>
      <c r="B1120" s="219"/>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2482</v>
      </c>
      <c r="BV1120" s="23"/>
      <c r="BW1120" s="23"/>
      <c r="BX1120" s="23"/>
      <c r="BY1120" s="23"/>
      <c r="BZ1120" s="23"/>
    </row>
    <row r="1121" spans="1:78" s="2" customFormat="1" ht="20.100000000000001" customHeight="1">
      <c r="A1121" s="219"/>
      <c r="B1121" s="219"/>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2484</v>
      </c>
      <c r="BV1121" s="23"/>
      <c r="BW1121" s="23"/>
      <c r="BX1121" s="23"/>
      <c r="BY1121" s="23"/>
      <c r="BZ1121" s="23"/>
    </row>
    <row r="1122" spans="1:78" s="1" customFormat="1" ht="20.100000000000001" customHeight="1">
      <c r="A1122" s="218"/>
      <c r="B1122" s="218"/>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2487</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2487</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2487</v>
      </c>
      <c r="AU1124" s="344"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2487</v>
      </c>
      <c r="AU1125" s="344"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2487</v>
      </c>
      <c r="AU1126" s="344"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2487</v>
      </c>
      <c r="AU1127" s="344"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2465</v>
      </c>
      <c r="AV1128" s="344"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pans="1:78" s="2" customFormat="1" ht="19.5" customHeight="1">
      <c r="A1129" s="219"/>
      <c r="B1129" s="219"/>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2465</v>
      </c>
      <c r="AV1129" s="344"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pans="1:78" s="2" customFormat="1" ht="19.5" customHeight="1">
      <c r="A1130" s="219"/>
      <c r="B1130" s="219"/>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2465</v>
      </c>
      <c r="AV1130" s="344"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pans="1:78" s="2" customFormat="1" ht="19.5" customHeight="1">
      <c r="A1131" s="219"/>
      <c r="B1131" s="219"/>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2465</v>
      </c>
      <c r="AV1131" s="344"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pans="1:78" s="2" customFormat="1" ht="19.5" customHeight="1">
      <c r="A1132" s="219"/>
      <c r="B1132" s="219"/>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2465</v>
      </c>
      <c r="AV1132" s="344"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pans="1:78" s="3" customFormat="1" ht="19.5" customHeight="1">
      <c r="A1133" s="220"/>
      <c r="B1133" s="220"/>
      <c r="C1133" s="221">
        <v>64014501</v>
      </c>
      <c r="D1133" s="222" t="s">
        <v>2403</v>
      </c>
      <c r="E1133" s="222" t="s">
        <v>2404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2449</v>
      </c>
      <c r="AV1133" s="228"/>
      <c r="AW1133" s="229" t="s">
        <v>204</v>
      </c>
      <c r="AX1133" s="225" t="s">
        <v>540</v>
      </c>
      <c r="AY1133" s="221">
        <v>0</v>
      </c>
      <c r="AZ1133" s="221">
        <v>77005207</v>
      </c>
      <c r="BA1133" s="222" t="s">
        <v>206</v>
      </c>
      <c r="BB1133" s="225">
        <v>0</v>
      </c>
      <c r="BC1133" s="226">
        <v>0</v>
      </c>
      <c r="BD1133" s="226">
        <v>0</v>
      </c>
      <c r="BE1133" s="230" t="s">
        <v>2498</v>
      </c>
      <c r="BF1133" s="230" t="s">
        <v>2499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2500</v>
      </c>
      <c r="E1134" s="222" t="s">
        <v>2501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2449</v>
      </c>
      <c r="AV1134" s="228"/>
      <c r="AW1134" s="222" t="s">
        <v>204</v>
      </c>
      <c r="AX1134" s="225" t="s">
        <v>540</v>
      </c>
      <c r="AY1134" s="221">
        <v>10000007</v>
      </c>
      <c r="AZ1134" s="221">
        <v>77005205</v>
      </c>
      <c r="BA1134" s="222" t="s">
        <v>592</v>
      </c>
      <c r="BB1134" s="225" t="s">
        <v>2502</v>
      </c>
      <c r="BC1134" s="226">
        <v>0</v>
      </c>
      <c r="BD1134" s="226">
        <v>1</v>
      </c>
      <c r="BE1134" s="230" t="s">
        <v>2503</v>
      </c>
      <c r="BF1134" s="230" t="s">
        <v>2504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2500</v>
      </c>
      <c r="E1135" s="222" t="s">
        <v>2501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2449</v>
      </c>
      <c r="AV1135" s="228"/>
      <c r="AW1135" s="222" t="s">
        <v>204</v>
      </c>
      <c r="AX1135" s="225" t="s">
        <v>540</v>
      </c>
      <c r="AY1135" s="221">
        <v>10000007</v>
      </c>
      <c r="AZ1135" s="221">
        <v>77005205</v>
      </c>
      <c r="BA1135" s="222" t="s">
        <v>592</v>
      </c>
      <c r="BB1135" s="225" t="s">
        <v>2502</v>
      </c>
      <c r="BC1135" s="226">
        <v>0</v>
      </c>
      <c r="BD1135" s="226">
        <v>1</v>
      </c>
      <c r="BE1135" s="230" t="s">
        <v>2503</v>
      </c>
      <c r="BF1135" s="230" t="s">
        <v>2504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2500</v>
      </c>
      <c r="E1136" s="222" t="s">
        <v>2501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2449</v>
      </c>
      <c r="AV1136" s="228"/>
      <c r="AW1136" s="222" t="s">
        <v>204</v>
      </c>
      <c r="AX1136" s="225" t="s">
        <v>540</v>
      </c>
      <c r="AY1136" s="221">
        <v>10000007</v>
      </c>
      <c r="AZ1136" s="221">
        <v>77005205</v>
      </c>
      <c r="BA1136" s="222" t="s">
        <v>592</v>
      </c>
      <c r="BB1136" s="225" t="s">
        <v>2502</v>
      </c>
      <c r="BC1136" s="226">
        <v>0</v>
      </c>
      <c r="BD1136" s="226">
        <v>1</v>
      </c>
      <c r="BE1136" s="230" t="s">
        <v>2503</v>
      </c>
      <c r="BF1136" s="230" t="s">
        <v>2504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2500</v>
      </c>
      <c r="E1137" s="222" t="s">
        <v>2501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2449</v>
      </c>
      <c r="AV1137" s="228"/>
      <c r="AW1137" s="222" t="s">
        <v>204</v>
      </c>
      <c r="AX1137" s="225" t="s">
        <v>540</v>
      </c>
      <c r="AY1137" s="221">
        <v>10000007</v>
      </c>
      <c r="AZ1137" s="221">
        <v>77005205</v>
      </c>
      <c r="BA1137" s="222" t="s">
        <v>592</v>
      </c>
      <c r="BB1137" s="225" t="s">
        <v>2502</v>
      </c>
      <c r="BC1137" s="226">
        <v>0</v>
      </c>
      <c r="BD1137" s="226">
        <v>1</v>
      </c>
      <c r="BE1137" s="230" t="s">
        <v>2503</v>
      </c>
      <c r="BF1137" s="230" t="s">
        <v>2504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2500</v>
      </c>
      <c r="E1138" s="222" t="s">
        <v>2501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2449</v>
      </c>
      <c r="AV1138" s="228"/>
      <c r="AW1138" s="222" t="s">
        <v>204</v>
      </c>
      <c r="AX1138" s="225" t="s">
        <v>540</v>
      </c>
      <c r="AY1138" s="221">
        <v>10000007</v>
      </c>
      <c r="AZ1138" s="221">
        <v>77005205</v>
      </c>
      <c r="BA1138" s="222" t="s">
        <v>592</v>
      </c>
      <c r="BB1138" s="225" t="s">
        <v>2502</v>
      </c>
      <c r="BC1138" s="226">
        <v>0</v>
      </c>
      <c r="BD1138" s="226">
        <v>1</v>
      </c>
      <c r="BE1138" s="230" t="s">
        <v>2503</v>
      </c>
      <c r="BF1138" s="230" t="s">
        <v>2504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2500</v>
      </c>
      <c r="E1139" s="222" t="s">
        <v>2501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2449</v>
      </c>
      <c r="AV1139" s="228"/>
      <c r="AW1139" s="222" t="s">
        <v>204</v>
      </c>
      <c r="AX1139" s="225" t="s">
        <v>540</v>
      </c>
      <c r="AY1139" s="221">
        <v>10000007</v>
      </c>
      <c r="AZ1139" s="221">
        <v>77005205</v>
      </c>
      <c r="BA1139" s="222" t="s">
        <v>592</v>
      </c>
      <c r="BB1139" s="225" t="s">
        <v>2502</v>
      </c>
      <c r="BC1139" s="226">
        <v>0</v>
      </c>
      <c r="BD1139" s="226">
        <v>1</v>
      </c>
      <c r="BE1139" s="230" t="s">
        <v>2503</v>
      </c>
      <c r="BF1139" s="230" t="s">
        <v>2504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2505</v>
      </c>
      <c r="E1140" s="222" t="s">
        <v>2506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2507</v>
      </c>
      <c r="AV1140" s="228"/>
      <c r="AW1140" s="229" t="s">
        <v>204</v>
      </c>
      <c r="AX1140" s="225" t="s">
        <v>540</v>
      </c>
      <c r="AY1140" s="221">
        <v>0</v>
      </c>
      <c r="AZ1140" s="221">
        <v>77005202</v>
      </c>
      <c r="BA1140" s="222" t="s">
        <v>206</v>
      </c>
      <c r="BB1140" s="225">
        <v>0</v>
      </c>
      <c r="BC1140" s="226">
        <v>0</v>
      </c>
      <c r="BD1140" s="226">
        <v>0</v>
      </c>
      <c r="BE1140" s="230" t="s">
        <v>2405</v>
      </c>
      <c r="BF1140" s="230" t="s">
        <v>2406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2505</v>
      </c>
      <c r="E1141" s="222" t="s">
        <v>2506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2507</v>
      </c>
      <c r="AV1141" s="228"/>
      <c r="AW1141" s="229" t="s">
        <v>204</v>
      </c>
      <c r="AX1141" s="225" t="s">
        <v>540</v>
      </c>
      <c r="AY1141" s="221">
        <v>0</v>
      </c>
      <c r="AZ1141" s="221">
        <v>77005202</v>
      </c>
      <c r="BA1141" s="222" t="s">
        <v>206</v>
      </c>
      <c r="BB1141" s="225">
        <v>0</v>
      </c>
      <c r="BC1141" s="226">
        <v>0</v>
      </c>
      <c r="BD1141" s="226">
        <v>0</v>
      </c>
      <c r="BE1141" s="230" t="s">
        <v>2405</v>
      </c>
      <c r="BF1141" s="230" t="s">
        <v>2406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2505</v>
      </c>
      <c r="E1142" s="222" t="s">
        <v>2506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2507</v>
      </c>
      <c r="AV1142" s="228"/>
      <c r="AW1142" s="229" t="s">
        <v>204</v>
      </c>
      <c r="AX1142" s="225" t="s">
        <v>540</v>
      </c>
      <c r="AY1142" s="221">
        <v>0</v>
      </c>
      <c r="AZ1142" s="221">
        <v>77005202</v>
      </c>
      <c r="BA1142" s="222" t="s">
        <v>206</v>
      </c>
      <c r="BB1142" s="225">
        <v>0</v>
      </c>
      <c r="BC1142" s="226">
        <v>0</v>
      </c>
      <c r="BD1142" s="226">
        <v>0</v>
      </c>
      <c r="BE1142" s="230" t="s">
        <v>2405</v>
      </c>
      <c r="BF1142" s="230" t="s">
        <v>2406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2505</v>
      </c>
      <c r="E1143" s="222" t="s">
        <v>2506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2507</v>
      </c>
      <c r="AV1143" s="228"/>
      <c r="AW1143" s="229" t="s">
        <v>204</v>
      </c>
      <c r="AX1143" s="225" t="s">
        <v>540</v>
      </c>
      <c r="AY1143" s="221">
        <v>0</v>
      </c>
      <c r="AZ1143" s="221">
        <v>77005202</v>
      </c>
      <c r="BA1143" s="222" t="s">
        <v>206</v>
      </c>
      <c r="BB1143" s="225">
        <v>0</v>
      </c>
      <c r="BC1143" s="226">
        <v>0</v>
      </c>
      <c r="BD1143" s="226">
        <v>0</v>
      </c>
      <c r="BE1143" s="230" t="s">
        <v>2405</v>
      </c>
      <c r="BF1143" s="230" t="s">
        <v>2406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2505</v>
      </c>
      <c r="E1144" s="222" t="s">
        <v>2506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2507</v>
      </c>
      <c r="AV1144" s="228"/>
      <c r="AW1144" s="229" t="s">
        <v>204</v>
      </c>
      <c r="AX1144" s="225" t="s">
        <v>540</v>
      </c>
      <c r="AY1144" s="221">
        <v>0</v>
      </c>
      <c r="AZ1144" s="221">
        <v>77005202</v>
      </c>
      <c r="BA1144" s="222" t="s">
        <v>206</v>
      </c>
      <c r="BB1144" s="225">
        <v>0</v>
      </c>
      <c r="BC1144" s="226">
        <v>0</v>
      </c>
      <c r="BD1144" s="226">
        <v>0</v>
      </c>
      <c r="BE1144" s="230" t="s">
        <v>2405</v>
      </c>
      <c r="BF1144" s="230" t="s">
        <v>2406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2505</v>
      </c>
      <c r="E1145" s="222" t="s">
        <v>2506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2507</v>
      </c>
      <c r="AV1145" s="228"/>
      <c r="AW1145" s="229" t="s">
        <v>204</v>
      </c>
      <c r="AX1145" s="225" t="s">
        <v>540</v>
      </c>
      <c r="AY1145" s="221">
        <v>0</v>
      </c>
      <c r="AZ1145" s="221">
        <v>77005202</v>
      </c>
      <c r="BA1145" s="222" t="s">
        <v>206</v>
      </c>
      <c r="BB1145" s="225">
        <v>0</v>
      </c>
      <c r="BC1145" s="226">
        <v>0</v>
      </c>
      <c r="BD1145" s="226">
        <v>0</v>
      </c>
      <c r="BE1145" s="230" t="s">
        <v>2405</v>
      </c>
      <c r="BF1145" s="230" t="s">
        <v>2406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2517</v>
      </c>
      <c r="E1152" s="202"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2258</v>
      </c>
      <c r="AU1152" s="343" t="s">
        <v>2259</v>
      </c>
      <c r="AV1152" s="205"/>
      <c r="AW1152" s="35" t="s">
        <v>205</v>
      </c>
      <c r="AX1152" s="175" t="s">
        <v>2260</v>
      </c>
      <c r="AY1152" s="175" t="s">
        <v>204</v>
      </c>
      <c r="AZ1152" s="175">
        <v>21203010</v>
      </c>
      <c r="BA1152" s="202" t="s">
        <v>206</v>
      </c>
      <c r="BB1152" s="175">
        <v>0</v>
      </c>
      <c r="BC1152" s="175">
        <v>0</v>
      </c>
      <c r="BD1152" s="175">
        <v>0</v>
      </c>
      <c r="BE1152" s="215" t="s">
        <v>2261</v>
      </c>
      <c r="BF1152" s="215"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2517</v>
      </c>
      <c r="E1153" s="202"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2258</v>
      </c>
      <c r="AU1153" s="343" t="s">
        <v>2259</v>
      </c>
      <c r="AV1153" s="205"/>
      <c r="AW1153" s="35" t="s">
        <v>205</v>
      </c>
      <c r="AX1153" s="175" t="s">
        <v>2260</v>
      </c>
      <c r="AY1153" s="175" t="s">
        <v>204</v>
      </c>
      <c r="AZ1153" s="175">
        <v>21203010</v>
      </c>
      <c r="BA1153" s="202" t="s">
        <v>206</v>
      </c>
      <c r="BB1153" s="175">
        <v>0</v>
      </c>
      <c r="BC1153" s="175">
        <v>0</v>
      </c>
      <c r="BD1153" s="175">
        <v>0</v>
      </c>
      <c r="BE1153" s="215" t="s">
        <v>2261</v>
      </c>
      <c r="BF1153" s="215"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2517</v>
      </c>
      <c r="E1154" s="202"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2263</v>
      </c>
      <c r="AU1154" s="343" t="s">
        <v>2264</v>
      </c>
      <c r="AV1154" s="205"/>
      <c r="AW1154" s="35" t="s">
        <v>205</v>
      </c>
      <c r="AX1154" s="175" t="s">
        <v>2260</v>
      </c>
      <c r="AY1154" s="175" t="s">
        <v>204</v>
      </c>
      <c r="AZ1154" s="175">
        <v>21203010</v>
      </c>
      <c r="BA1154" s="202" t="s">
        <v>206</v>
      </c>
      <c r="BB1154" s="175">
        <v>0</v>
      </c>
      <c r="BC1154" s="175">
        <v>0</v>
      </c>
      <c r="BD1154" s="175">
        <v>0</v>
      </c>
      <c r="BE1154" s="215" t="s">
        <v>2265</v>
      </c>
      <c r="BF1154" s="215"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2517</v>
      </c>
      <c r="E1155" s="202" t="s">
        <v>2518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2267</v>
      </c>
      <c r="AU1155" s="343" t="s">
        <v>2268</v>
      </c>
      <c r="AV1155" s="205"/>
      <c r="AW1155" s="35" t="s">
        <v>205</v>
      </c>
      <c r="AX1155" s="175" t="s">
        <v>2260</v>
      </c>
      <c r="AY1155" s="175" t="s">
        <v>204</v>
      </c>
      <c r="AZ1155" s="175">
        <v>21203010</v>
      </c>
      <c r="BA1155" s="202" t="s">
        <v>206</v>
      </c>
      <c r="BB1155" s="175">
        <v>0</v>
      </c>
      <c r="BC1155" s="175">
        <v>0</v>
      </c>
      <c r="BD1155" s="175">
        <v>0</v>
      </c>
      <c r="BE1155" s="215" t="s">
        <v>2269</v>
      </c>
      <c r="BF1155" s="215"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2517</v>
      </c>
      <c r="E1156" s="202"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2271</v>
      </c>
      <c r="AU1156" s="343" t="s">
        <v>2272</v>
      </c>
      <c r="AV1156" s="205"/>
      <c r="AW1156" s="35" t="s">
        <v>205</v>
      </c>
      <c r="AX1156" s="175" t="s">
        <v>2260</v>
      </c>
      <c r="AY1156" s="175" t="s">
        <v>204</v>
      </c>
      <c r="AZ1156" s="175">
        <v>21203010</v>
      </c>
      <c r="BA1156" s="202" t="s">
        <v>206</v>
      </c>
      <c r="BB1156" s="175">
        <v>0</v>
      </c>
      <c r="BC1156" s="175">
        <v>0</v>
      </c>
      <c r="BD1156" s="175">
        <v>0</v>
      </c>
      <c r="BE1156" s="215" t="s">
        <v>2273</v>
      </c>
      <c r="BF1156" s="215"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2517</v>
      </c>
      <c r="E1157" s="202"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2275</v>
      </c>
      <c r="AU1157" s="343" t="s">
        <v>2276</v>
      </c>
      <c r="AV1157" s="205"/>
      <c r="AW1157" s="35" t="s">
        <v>205</v>
      </c>
      <c r="AX1157" s="175" t="s">
        <v>2260</v>
      </c>
      <c r="AY1157" s="175" t="s">
        <v>204</v>
      </c>
      <c r="AZ1157" s="175">
        <v>21203010</v>
      </c>
      <c r="BA1157" s="202" t="s">
        <v>206</v>
      </c>
      <c r="BB1157" s="175">
        <v>0</v>
      </c>
      <c r="BC1157" s="175">
        <v>0</v>
      </c>
      <c r="BD1157" s="175">
        <v>0</v>
      </c>
      <c r="BE1157" s="215" t="s">
        <v>2277</v>
      </c>
      <c r="BF1157" s="215"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2334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2334</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2334</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2334</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2334</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2334</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4"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4"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4"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4"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4"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4"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2544</v>
      </c>
      <c r="BB1170" s="347" t="s">
        <v>2545</v>
      </c>
      <c r="BC1170" s="226">
        <v>0</v>
      </c>
      <c r="BD1170" s="226">
        <v>0</v>
      </c>
      <c r="BE1170" s="230" t="s">
        <v>2546</v>
      </c>
      <c r="BF1170" s="230" t="s">
        <v>2547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2548</v>
      </c>
      <c r="E1171" s="229" t="s">
        <v>2549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2550</v>
      </c>
      <c r="BF1171" s="236" t="s">
        <v>2551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2552</v>
      </c>
      <c r="BF1172" s="230" t="s">
        <v>2553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2554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2555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2556</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2557</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2558</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2572</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2572</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2573</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2574</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2575</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2579</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2579</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2580</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2581</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2582</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2583</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2586</v>
      </c>
      <c r="AU1204" s="19" t="s">
        <v>204</v>
      </c>
      <c r="AV1204" s="19"/>
      <c r="AW1204" s="20" t="s">
        <v>205</v>
      </c>
      <c r="AX1204" s="19" t="s">
        <v>1582</v>
      </c>
      <c r="AY1204" s="19">
        <v>0</v>
      </c>
      <c r="AZ1204" s="19">
        <v>21400060</v>
      </c>
      <c r="BA1204" s="20" t="s">
        <v>206</v>
      </c>
      <c r="BB1204" s="19" t="s">
        <v>204</v>
      </c>
      <c r="BC1204" s="19">
        <v>0</v>
      </c>
      <c r="BD1204" s="19">
        <v>1</v>
      </c>
      <c r="BE1204" s="186" t="s">
        <v>2587</v>
      </c>
      <c r="BF1204" s="186" t="s">
        <v>2588</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2586</v>
      </c>
      <c r="AU1205" s="19" t="s">
        <v>204</v>
      </c>
      <c r="AV1205" s="19"/>
      <c r="AW1205" s="20" t="s">
        <v>205</v>
      </c>
      <c r="AX1205" s="19" t="s">
        <v>1582</v>
      </c>
      <c r="AY1205" s="19">
        <v>0</v>
      </c>
      <c r="AZ1205" s="19">
        <v>21400060</v>
      </c>
      <c r="BA1205" s="20" t="s">
        <v>206</v>
      </c>
      <c r="BB1205" s="19" t="s">
        <v>204</v>
      </c>
      <c r="BC1205" s="19">
        <v>0</v>
      </c>
      <c r="BD1205" s="19">
        <v>1</v>
      </c>
      <c r="BE1205" s="186" t="s">
        <v>2587</v>
      </c>
      <c r="BF1205" s="186" t="s">
        <v>2588</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2586</v>
      </c>
      <c r="AU1206" s="19" t="s">
        <v>204</v>
      </c>
      <c r="AV1206" s="19"/>
      <c r="AW1206" s="20" t="s">
        <v>205</v>
      </c>
      <c r="AX1206" s="19" t="s">
        <v>1582</v>
      </c>
      <c r="AY1206" s="19">
        <v>0</v>
      </c>
      <c r="AZ1206" s="19">
        <v>21400060</v>
      </c>
      <c r="BA1206" s="20" t="s">
        <v>206</v>
      </c>
      <c r="BB1206" s="19" t="s">
        <v>204</v>
      </c>
      <c r="BC1206" s="19">
        <v>0</v>
      </c>
      <c r="BD1206" s="19">
        <v>1</v>
      </c>
      <c r="BE1206" s="186" t="s">
        <v>2587</v>
      </c>
      <c r="BF1206" s="186" t="s">
        <v>2588</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2586</v>
      </c>
      <c r="AU1207" s="19" t="s">
        <v>204</v>
      </c>
      <c r="AV1207" s="19"/>
      <c r="AW1207" s="20" t="s">
        <v>205</v>
      </c>
      <c r="AX1207" s="19" t="s">
        <v>1582</v>
      </c>
      <c r="AY1207" s="19">
        <v>0</v>
      </c>
      <c r="AZ1207" s="19">
        <v>21400060</v>
      </c>
      <c r="BA1207" s="20" t="s">
        <v>206</v>
      </c>
      <c r="BB1207" s="19" t="s">
        <v>204</v>
      </c>
      <c r="BC1207" s="19">
        <v>0</v>
      </c>
      <c r="BD1207" s="19">
        <v>1</v>
      </c>
      <c r="BE1207" s="186" t="s">
        <v>2587</v>
      </c>
      <c r="BF1207" s="186" t="s">
        <v>2588</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2586</v>
      </c>
      <c r="AU1208" s="19" t="s">
        <v>204</v>
      </c>
      <c r="AV1208" s="19"/>
      <c r="AW1208" s="20" t="s">
        <v>205</v>
      </c>
      <c r="AX1208" s="19" t="s">
        <v>1582</v>
      </c>
      <c r="AY1208" s="19">
        <v>0</v>
      </c>
      <c r="AZ1208" s="19">
        <v>21400060</v>
      </c>
      <c r="BA1208" s="20" t="s">
        <v>206</v>
      </c>
      <c r="BB1208" s="19" t="s">
        <v>204</v>
      </c>
      <c r="BC1208" s="19">
        <v>0</v>
      </c>
      <c r="BD1208" s="19">
        <v>1</v>
      </c>
      <c r="BE1208" s="186" t="s">
        <v>2587</v>
      </c>
      <c r="BF1208" s="186" t="s">
        <v>2588</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2586</v>
      </c>
      <c r="AU1209" s="19" t="s">
        <v>204</v>
      </c>
      <c r="AV1209" s="19"/>
      <c r="AW1209" s="20" t="s">
        <v>205</v>
      </c>
      <c r="AX1209" s="19" t="s">
        <v>1582</v>
      </c>
      <c r="AY1209" s="19">
        <v>0</v>
      </c>
      <c r="AZ1209" s="19">
        <v>21400060</v>
      </c>
      <c r="BA1209" s="20" t="s">
        <v>206</v>
      </c>
      <c r="BB1209" s="19" t="s">
        <v>204</v>
      </c>
      <c r="BC1209" s="19">
        <v>0</v>
      </c>
      <c r="BD1209" s="19">
        <v>1</v>
      </c>
      <c r="BE1209" s="186" t="s">
        <v>2587</v>
      </c>
      <c r="BF1209" s="186" t="s">
        <v>2588</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2591</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2591</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2591</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2589</v>
      </c>
      <c r="E1213" s="35" t="s">
        <v>2590</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2591</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2591</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2591</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2608</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2608</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2610</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2612</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2614</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2616</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2591</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2621</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2621</v>
      </c>
      <c r="AV1230" s="32"/>
      <c r="AW1230" s="35" t="s">
        <v>1706</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2621</v>
      </c>
      <c r="AV1231" s="32"/>
      <c r="AW1231" s="35" t="s">
        <v>1706</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2621</v>
      </c>
      <c r="AV1232" s="32"/>
      <c r="AW1232" s="35" t="s">
        <v>1706</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2621</v>
      </c>
      <c r="AV1233" s="32"/>
      <c r="AW1233" s="35" t="s">
        <v>1706</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2621</v>
      </c>
      <c r="AV1234" s="32"/>
      <c r="AW1234" s="35" t="s">
        <v>1706</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2627</v>
      </c>
      <c r="E1235" s="179"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2633</v>
      </c>
      <c r="AU1236" s="19" t="s">
        <v>204</v>
      </c>
      <c r="AV1236" s="19"/>
      <c r="AW1236" s="20" t="s">
        <v>205</v>
      </c>
      <c r="AX1236" s="19" t="s">
        <v>1415</v>
      </c>
      <c r="AY1236" s="19">
        <v>0</v>
      </c>
      <c r="AZ1236" s="19">
        <v>21402010</v>
      </c>
      <c r="BA1236" s="20" t="s">
        <v>206</v>
      </c>
      <c r="BB1236" s="20">
        <v>0</v>
      </c>
      <c r="BC1236" s="19">
        <v>0</v>
      </c>
      <c r="BD1236" s="19">
        <v>0</v>
      </c>
      <c r="BE1236" s="186" t="s">
        <v>2634</v>
      </c>
      <c r="BF1236" s="186" t="s">
        <v>2635</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2634</v>
      </c>
      <c r="BF1237" s="186" t="s">
        <v>2635</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2636</v>
      </c>
      <c r="BF1238" s="186" t="s">
        <v>2637</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2631</v>
      </c>
      <c r="E1239" s="20" t="s">
        <v>2632</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2638</v>
      </c>
      <c r="BF1239" s="186" t="s">
        <v>2639</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2640</v>
      </c>
      <c r="BF1240" s="186" t="s">
        <v>2641</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2642</v>
      </c>
      <c r="BF1241" s="186" t="s">
        <v>2643</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44" t="s">
        <v>2647</v>
      </c>
      <c r="BC1242" s="75">
        <v>0</v>
      </c>
      <c r="BD1242" s="75">
        <v>0</v>
      </c>
      <c r="BE1242" s="186"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44"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44"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44"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44"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44" t="s">
        <v>2659</v>
      </c>
      <c r="BC1247" s="75">
        <v>0</v>
      </c>
      <c r="BD1247" s="75">
        <v>0</v>
      </c>
      <c r="BE1247" s="186"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23" t="s">
        <v>2664</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23" t="s">
        <v>2664</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23" t="s">
        <v>2664</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23" t="s">
        <v>2664</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23" t="s">
        <v>2664</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23" t="s">
        <v>2664</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2670</v>
      </c>
      <c r="E1254" s="205"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5" t="s">
        <v>2197</v>
      </c>
      <c r="BB1254" s="343" t="s">
        <v>2672</v>
      </c>
      <c r="BC1254" s="174">
        <v>0</v>
      </c>
      <c r="BD1254" s="174">
        <v>0</v>
      </c>
      <c r="BE1254" s="211" t="s">
        <v>2673</v>
      </c>
      <c r="BF1254" s="211"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2670</v>
      </c>
      <c r="E1255" s="205"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5" t="s">
        <v>2197</v>
      </c>
      <c r="BB1255" s="343"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2670</v>
      </c>
      <c r="E1256" s="205"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5" t="s">
        <v>2197</v>
      </c>
      <c r="BB1256" s="343"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2670</v>
      </c>
      <c r="E1257" s="205"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5" t="s">
        <v>2197</v>
      </c>
      <c r="BB1257" s="343"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2670</v>
      </c>
      <c r="E1258" s="205"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5" t="s">
        <v>2197</v>
      </c>
      <c r="BB1258" s="343"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2670</v>
      </c>
      <c r="E1259" s="205"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5" t="s">
        <v>2197</v>
      </c>
      <c r="BB1259" s="343" t="s">
        <v>2684</v>
      </c>
      <c r="BC1259" s="174">
        <v>0</v>
      </c>
      <c r="BD1259" s="174">
        <v>0</v>
      </c>
      <c r="BE1259" s="211" t="s">
        <v>2685</v>
      </c>
      <c r="BF1259" s="211"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2687</v>
      </c>
      <c r="E1263" s="30" t="s">
        <v>2688</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2707</v>
      </c>
      <c r="AU1269" s="19" t="s">
        <v>204</v>
      </c>
      <c r="AV1269" s="19"/>
      <c r="AW1269" s="20" t="s">
        <v>205</v>
      </c>
      <c r="AX1269" s="19" t="s">
        <v>1415</v>
      </c>
      <c r="AY1269" s="19">
        <v>0</v>
      </c>
      <c r="AZ1269" s="32">
        <v>21403020</v>
      </c>
      <c r="BA1269" s="20" t="s">
        <v>206</v>
      </c>
      <c r="BB1269" s="20">
        <v>0</v>
      </c>
      <c r="BC1269" s="19">
        <v>0</v>
      </c>
      <c r="BD1269" s="19">
        <v>0</v>
      </c>
      <c r="BE1269" s="186" t="s">
        <v>2708</v>
      </c>
      <c r="BF1269" s="186" t="s">
        <v>2709</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2707</v>
      </c>
      <c r="AU1270" s="19" t="s">
        <v>204</v>
      </c>
      <c r="AV1270" s="19"/>
      <c r="AW1270" s="20" t="s">
        <v>205</v>
      </c>
      <c r="AX1270" s="19" t="s">
        <v>1415</v>
      </c>
      <c r="AY1270" s="19">
        <v>0</v>
      </c>
      <c r="AZ1270" s="32">
        <v>21403020</v>
      </c>
      <c r="BA1270" s="20" t="s">
        <v>206</v>
      </c>
      <c r="BB1270" s="20">
        <v>0</v>
      </c>
      <c r="BC1270" s="19">
        <v>0</v>
      </c>
      <c r="BD1270" s="19">
        <v>0</v>
      </c>
      <c r="BE1270" s="186" t="s">
        <v>2708</v>
      </c>
      <c r="BF1270" s="186" t="s">
        <v>2709</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2710</v>
      </c>
      <c r="AU1271" s="19" t="s">
        <v>204</v>
      </c>
      <c r="AV1271" s="19"/>
      <c r="AW1271" s="20" t="s">
        <v>205</v>
      </c>
      <c r="AX1271" s="19" t="s">
        <v>1415</v>
      </c>
      <c r="AY1271" s="19">
        <v>0</v>
      </c>
      <c r="AZ1271" s="32">
        <v>21403020</v>
      </c>
      <c r="BA1271" s="20" t="s">
        <v>206</v>
      </c>
      <c r="BB1271" s="20">
        <v>0</v>
      </c>
      <c r="BC1271" s="19">
        <v>0</v>
      </c>
      <c r="BD1271" s="19">
        <v>0</v>
      </c>
      <c r="BE1271" s="186" t="s">
        <v>2711</v>
      </c>
      <c r="BF1271" s="186" t="s">
        <v>2712</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2713</v>
      </c>
      <c r="AU1272" s="19" t="s">
        <v>204</v>
      </c>
      <c r="AV1272" s="19"/>
      <c r="AW1272" s="20" t="s">
        <v>205</v>
      </c>
      <c r="AX1272" s="19" t="s">
        <v>1415</v>
      </c>
      <c r="AY1272" s="19">
        <v>0</v>
      </c>
      <c r="AZ1272" s="32">
        <v>21403020</v>
      </c>
      <c r="BA1272" s="20" t="s">
        <v>206</v>
      </c>
      <c r="BB1272" s="20">
        <v>0</v>
      </c>
      <c r="BC1272" s="19">
        <v>0</v>
      </c>
      <c r="BD1272" s="19">
        <v>0</v>
      </c>
      <c r="BE1272" s="186" t="s">
        <v>2714</v>
      </c>
      <c r="BF1272" s="186" t="s">
        <v>2715</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2716</v>
      </c>
      <c r="AU1273" s="19" t="s">
        <v>204</v>
      </c>
      <c r="AV1273" s="19"/>
      <c r="AW1273" s="20" t="s">
        <v>205</v>
      </c>
      <c r="AX1273" s="19" t="s">
        <v>1415</v>
      </c>
      <c r="AY1273" s="19">
        <v>0</v>
      </c>
      <c r="AZ1273" s="32">
        <v>21403020</v>
      </c>
      <c r="BA1273" s="20" t="s">
        <v>206</v>
      </c>
      <c r="BB1273" s="20">
        <v>0</v>
      </c>
      <c r="BC1273" s="19">
        <v>0</v>
      </c>
      <c r="BD1273" s="19">
        <v>0</v>
      </c>
      <c r="BE1273" s="186" t="s">
        <v>2717</v>
      </c>
      <c r="BF1273" s="186" t="s">
        <v>2718</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2719</v>
      </c>
      <c r="AU1274" s="19" t="s">
        <v>204</v>
      </c>
      <c r="AV1274" s="19"/>
      <c r="AW1274" s="20" t="s">
        <v>205</v>
      </c>
      <c r="AX1274" s="19" t="s">
        <v>1415</v>
      </c>
      <c r="AY1274" s="19">
        <v>0</v>
      </c>
      <c r="AZ1274" s="32">
        <v>21403020</v>
      </c>
      <c r="BA1274" s="20" t="s">
        <v>206</v>
      </c>
      <c r="BB1274" s="20">
        <v>0</v>
      </c>
      <c r="BC1274" s="19">
        <v>0</v>
      </c>
      <c r="BD1274" s="19">
        <v>0</v>
      </c>
      <c r="BE1274" s="186" t="s">
        <v>2720</v>
      </c>
      <c r="BF1274" s="186" t="s">
        <v>2721</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2724</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spans="3:78" ht="19.5" customHeight="1">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2724</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spans="3:78" ht="19.5" customHeight="1">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2724</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spans="3:78" ht="19.5" customHeight="1">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2724</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spans="3:78" ht="19.5" customHeight="1">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2724</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spans="3:78" ht="19.5" customHeight="1">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2724</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spans="3:78" ht="20.100000000000001" customHeight="1">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3"/>
        <v>对自身大范围内的敌人目标造成275%攻击伤害+1800点固定伤害,，并将其快速拉回到自身前面，并造成1秒置空。</v>
      </c>
      <c r="BF1283" s="185"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3"/>
        <v>对自身大范围内的敌人目标造成300%攻击伤害+2800点固定伤害,，并将其快速拉回到自身前面，并造成1秒置空。</v>
      </c>
      <c r="BF1284" s="185"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3"/>
        <v>对自身大范围内的敌人目标造成325%攻击伤害+4000点固定伤害,，并将其快速拉回到自身前面，并造成1秒置空。</v>
      </c>
      <c r="BF1285" s="185"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3"/>
        <v>对自身大范围内的敌人目标造成350%攻击伤害+5200点固定伤害,，并将其快速拉回到自身前面，并造成1秒置空。</v>
      </c>
      <c r="BF1286" s="185"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5" t="s">
        <v>2746</v>
      </c>
      <c r="BF1288" s="185"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2750</v>
      </c>
      <c r="AV1289" s="32"/>
      <c r="AW1289" s="20" t="s">
        <v>205</v>
      </c>
      <c r="AX1289" s="32" t="s">
        <v>1415</v>
      </c>
      <c r="AY1289" s="19" t="s">
        <v>204</v>
      </c>
      <c r="AZ1289" s="339" t="s">
        <v>2751</v>
      </c>
      <c r="BA1289" s="20" t="s">
        <v>206</v>
      </c>
      <c r="BB1289" s="19">
        <v>0</v>
      </c>
      <c r="BC1289" s="31">
        <v>0</v>
      </c>
      <c r="BD1289" s="31">
        <v>1</v>
      </c>
      <c r="BE1289" s="185" t="s">
        <v>2752</v>
      </c>
      <c r="BF1289" s="185"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5" t="s">
        <v>2759</v>
      </c>
      <c r="BF1291" s="185"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2763</v>
      </c>
      <c r="BF1292" s="185"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2767</v>
      </c>
      <c r="AV1293" s="32"/>
      <c r="AW1293" s="35" t="s">
        <v>1716</v>
      </c>
      <c r="AX1293" s="32" t="s">
        <v>1415</v>
      </c>
      <c r="AY1293" s="32">
        <v>10002001</v>
      </c>
      <c r="AZ1293" s="32">
        <v>22001006</v>
      </c>
      <c r="BA1293" s="35" t="s">
        <v>2768</v>
      </c>
      <c r="BB1293" s="31" t="s">
        <v>2769</v>
      </c>
      <c r="BC1293" s="31">
        <v>0</v>
      </c>
      <c r="BD1293" s="31">
        <v>1</v>
      </c>
      <c r="BE1293" s="185" t="s">
        <v>2770</v>
      </c>
      <c r="BF1293" s="185"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2776</v>
      </c>
      <c r="E1295" s="205"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2779</v>
      </c>
      <c r="E1296" s="202"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2781</v>
      </c>
      <c r="BC1296" s="174">
        <v>0</v>
      </c>
      <c r="BD1296" s="174" t="s">
        <v>2782</v>
      </c>
      <c r="BE1296" s="207" t="s">
        <v>2783</v>
      </c>
      <c r="BF1296" s="207"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5" t="s">
        <v>2787</v>
      </c>
      <c r="BC1297" s="174">
        <v>0</v>
      </c>
      <c r="BD1297" s="174">
        <v>0</v>
      </c>
      <c r="BE1297" s="207" t="s">
        <v>2788</v>
      </c>
      <c r="BF1297" s="207"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2795</v>
      </c>
      <c r="E1299" s="202"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2781</v>
      </c>
      <c r="BC1299" s="174">
        <v>0</v>
      </c>
      <c r="BD1299" s="174" t="s">
        <v>2782</v>
      </c>
      <c r="BE1299" s="207" t="s">
        <v>2783</v>
      </c>
      <c r="BF1299" s="207"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2763</v>
      </c>
      <c r="BF1300" s="185"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2799</v>
      </c>
      <c r="E1301" s="205"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1807</v>
      </c>
      <c r="AX1302" s="32" t="s">
        <v>221</v>
      </c>
      <c r="AY1302" s="32">
        <v>0</v>
      </c>
      <c r="AZ1302" s="32">
        <v>21205020</v>
      </c>
      <c r="BA1302" s="35" t="s">
        <v>2646</v>
      </c>
      <c r="BB1302" s="35" t="s">
        <v>2805</v>
      </c>
      <c r="BC1302" s="31">
        <v>0</v>
      </c>
      <c r="BD1302" s="31">
        <v>0</v>
      </c>
      <c r="BE1302" s="185" t="s">
        <v>2806</v>
      </c>
      <c r="BF1302" s="185" t="s">
        <v>2807</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2811</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2815</v>
      </c>
      <c r="AV1304" s="32"/>
      <c r="AW1304" s="35" t="s">
        <v>205</v>
      </c>
      <c r="AX1304" s="32" t="s">
        <v>1047</v>
      </c>
      <c r="AY1304" s="32">
        <v>10004004</v>
      </c>
      <c r="AZ1304" s="32">
        <v>21205030</v>
      </c>
      <c r="BA1304" s="35" t="s">
        <v>1828</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2816</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2750</v>
      </c>
      <c r="AV1307" s="32"/>
      <c r="AW1307" s="20" t="s">
        <v>205</v>
      </c>
      <c r="AX1307" s="32" t="s">
        <v>1415</v>
      </c>
      <c r="AY1307" s="19" t="s">
        <v>204</v>
      </c>
      <c r="AZ1307" s="339" t="s">
        <v>2751</v>
      </c>
      <c r="BA1307" s="20" t="s">
        <v>206</v>
      </c>
      <c r="BB1307" s="19">
        <v>0</v>
      </c>
      <c r="BC1307" s="31">
        <v>0</v>
      </c>
      <c r="BD1307" s="31">
        <v>1</v>
      </c>
      <c r="BE1307" s="185" t="s">
        <v>2752</v>
      </c>
      <c r="BF1307" s="185"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5" t="s">
        <v>2759</v>
      </c>
      <c r="BF1308" s="185"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2763</v>
      </c>
      <c r="BF1309" s="185"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2767</v>
      </c>
      <c r="AV1310" s="32"/>
      <c r="AW1310" s="35" t="s">
        <v>1716</v>
      </c>
      <c r="AX1310" s="32" t="s">
        <v>1415</v>
      </c>
      <c r="AY1310" s="32">
        <v>10002001</v>
      </c>
      <c r="AZ1310" s="32">
        <v>22001006</v>
      </c>
      <c r="BA1310" s="35" t="s">
        <v>2768</v>
      </c>
      <c r="BB1310" s="31" t="s">
        <v>2769</v>
      </c>
      <c r="BC1310" s="31">
        <v>0</v>
      </c>
      <c r="BD1310" s="31">
        <v>1</v>
      </c>
      <c r="BE1310" s="185" t="s">
        <v>2770</v>
      </c>
      <c r="BF1310" s="185"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2831</v>
      </c>
      <c r="E1311" s="205"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2767</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2834</v>
      </c>
      <c r="E1312" s="202"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2740</v>
      </c>
      <c r="AX1312" s="172" t="s">
        <v>540</v>
      </c>
      <c r="AY1312" s="176">
        <v>10000007</v>
      </c>
      <c r="AZ1312" s="176">
        <v>21202090</v>
      </c>
      <c r="BA1312" s="205" t="s">
        <v>592</v>
      </c>
      <c r="BB1312" s="174" t="s">
        <v>2781</v>
      </c>
      <c r="BC1312" s="174">
        <v>0</v>
      </c>
      <c r="BD1312" s="174">
        <v>1</v>
      </c>
      <c r="BE1312" s="207" t="s">
        <v>2819</v>
      </c>
      <c r="BF1312" s="207"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2838</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2843</v>
      </c>
      <c r="BF1315" s="240" t="s">
        <v>2844</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2850</v>
      </c>
      <c r="BF1317" s="242"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2859</v>
      </c>
      <c r="BF1319" s="242"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2864</v>
      </c>
      <c r="BF1321" s="240" t="s">
        <v>2865</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2868</v>
      </c>
      <c r="AU1322" s="73" t="s">
        <v>204</v>
      </c>
      <c r="AV1322" s="73"/>
      <c r="AW1322" s="131" t="s">
        <v>205</v>
      </c>
      <c r="AX1322" s="73" t="s">
        <v>1582</v>
      </c>
      <c r="AY1322" s="73">
        <v>0</v>
      </c>
      <c r="AZ1322" s="74">
        <v>21030020</v>
      </c>
      <c r="BA1322" s="131" t="s">
        <v>206</v>
      </c>
      <c r="BB1322" s="131" t="s">
        <v>204</v>
      </c>
      <c r="BC1322" s="73">
        <v>0</v>
      </c>
      <c r="BD1322" s="73">
        <v>0</v>
      </c>
      <c r="BE1322" s="242" t="s">
        <v>2869</v>
      </c>
      <c r="BF1322" s="242"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2591</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2896</v>
      </c>
      <c r="E1330" s="179" t="s">
        <v>2897</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2898</v>
      </c>
      <c r="BF1330" s="243" t="s">
        <v>2899</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2900</v>
      </c>
      <c r="E1331" s="179"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2912</v>
      </c>
      <c r="E1334" s="179" t="s">
        <v>2913</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2914</v>
      </c>
      <c r="BF1334" s="243" t="s">
        <v>2915</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2926</v>
      </c>
      <c r="E1337" s="179"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2930</v>
      </c>
      <c r="E1338" s="179"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2940</v>
      </c>
      <c r="E1341" s="238" t="s">
        <v>2941</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2942</v>
      </c>
      <c r="BF1341" s="240" t="s">
        <v>2943</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2954</v>
      </c>
      <c r="E1345" s="238" t="s">
        <v>2955</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2956</v>
      </c>
      <c r="AU1345" s="239" t="s">
        <v>204</v>
      </c>
      <c r="AV1345" s="239"/>
      <c r="AW1345" s="238" t="s">
        <v>205</v>
      </c>
      <c r="AX1345" s="239" t="s">
        <v>1582</v>
      </c>
      <c r="AY1345" s="239">
        <v>0</v>
      </c>
      <c r="AZ1345" s="239">
        <v>40000003</v>
      </c>
      <c r="BA1345" s="238" t="s">
        <v>206</v>
      </c>
      <c r="BB1345" s="239" t="s">
        <v>204</v>
      </c>
      <c r="BC1345" s="239">
        <v>0</v>
      </c>
      <c r="BD1345" s="239">
        <v>0</v>
      </c>
      <c r="BE1345" s="240" t="s">
        <v>2957</v>
      </c>
      <c r="BF1345" s="240" t="s">
        <v>2958</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2517</v>
      </c>
      <c r="E1346" s="49" t="s">
        <v>2518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2959</v>
      </c>
      <c r="AV1346" s="245"/>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spans="1:78" ht="20.25" customHeight="1">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2591</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3010</v>
      </c>
      <c r="E1369" s="179"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3028</v>
      </c>
      <c r="E1374" s="179" t="s">
        <v>3029</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3030</v>
      </c>
      <c r="BG1374" s="180">
        <v>0</v>
      </c>
      <c r="BH1374" s="21">
        <v>0</v>
      </c>
      <c r="BI1374" s="180">
        <v>0</v>
      </c>
      <c r="BJ1374" s="180">
        <v>0</v>
      </c>
      <c r="BK1374" s="180">
        <v>0</v>
      </c>
      <c r="BL1374" s="180">
        <v>0</v>
      </c>
      <c r="BM1374" s="351" t="s">
        <v>3031</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7" t="s">
        <v>3035</v>
      </c>
      <c r="BF1375" s="217"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3028</v>
      </c>
      <c r="E1379" s="179" t="s">
        <v>3046</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3047</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3028</v>
      </c>
      <c r="E1384" s="179" t="s">
        <v>3064</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3065</v>
      </c>
      <c r="BF1384" s="181" t="s">
        <v>3066</v>
      </c>
      <c r="BG1384" s="180">
        <v>0</v>
      </c>
      <c r="BH1384" s="21">
        <v>0</v>
      </c>
      <c r="BI1384" s="180">
        <v>0</v>
      </c>
      <c r="BJ1384" s="180">
        <v>0</v>
      </c>
      <c r="BK1384" s="180">
        <v>0</v>
      </c>
      <c r="BL1384" s="180">
        <v>0</v>
      </c>
      <c r="BM1384" s="352" t="s">
        <v>3067</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3028</v>
      </c>
      <c r="E1389" s="179" t="s">
        <v>3085</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3086</v>
      </c>
      <c r="BF1389" s="181" t="s">
        <v>3087</v>
      </c>
      <c r="BG1389" s="180">
        <v>0</v>
      </c>
      <c r="BH1389" s="21">
        <v>0</v>
      </c>
      <c r="BI1389" s="180">
        <v>0</v>
      </c>
      <c r="BJ1389" s="180">
        <v>0</v>
      </c>
      <c r="BK1389" s="180">
        <v>0</v>
      </c>
      <c r="BL1389" s="180">
        <v>0</v>
      </c>
      <c r="BM1389" s="352" t="s">
        <v>3088</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3028</v>
      </c>
      <c r="E1393" s="179" t="s">
        <v>3098</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3099</v>
      </c>
      <c r="BF1393" s="181" t="s">
        <v>3100</v>
      </c>
      <c r="BG1393" s="180">
        <v>0</v>
      </c>
      <c r="BH1393" s="21">
        <v>0</v>
      </c>
      <c r="BI1393" s="180">
        <v>0</v>
      </c>
      <c r="BJ1393" s="180">
        <v>0</v>
      </c>
      <c r="BK1393" s="180">
        <v>0</v>
      </c>
      <c r="BL1393" s="180">
        <v>0</v>
      </c>
      <c r="BM1393" s="352" t="s">
        <v>3101</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3102</v>
      </c>
      <c r="E1394" s="30" t="s">
        <v>3103</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3104</v>
      </c>
      <c r="BF1394" s="33" t="s">
        <v>3105</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3028</v>
      </c>
      <c r="E1397" s="179" t="s">
        <v>3111</v>
      </c>
      <c r="F1397" s="180">
        <v>1</v>
      </c>
      <c r="G1397" s="180">
        <v>63001004</v>
      </c>
      <c r="H1397" s="180">
        <v>0</v>
      </c>
      <c r="I1397" s="180">
        <v>0</v>
      </c>
      <c r="J1397" s="32">
        <v>1</v>
      </c>
      <c r="K1397" s="32">
        <v>0</v>
      </c>
      <c r="L1397" s="21">
        <v>0</v>
      </c>
      <c r="M1397" s="180">
        <v>0</v>
      </c>
      <c r="N1397" s="180">
        <v>0</v>
      </c>
      <c r="O1397" s="180">
        <v>2</v>
      </c>
      <c r="P1397" s="180">
        <v>10</v>
      </c>
      <c r="Q1397" s="180">
        <v>0.1</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15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3112</v>
      </c>
      <c r="BF1397" s="181" t="s">
        <v>3113</v>
      </c>
      <c r="BG1397" s="180">
        <v>0</v>
      </c>
      <c r="BH1397" s="21">
        <v>0</v>
      </c>
      <c r="BI1397" s="180">
        <v>0</v>
      </c>
      <c r="BJ1397" s="180">
        <v>0</v>
      </c>
      <c r="BK1397" s="180">
        <v>0</v>
      </c>
      <c r="BL1397" s="180">
        <v>0</v>
      </c>
      <c r="BM1397" s="352" t="s">
        <v>3114</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3117</v>
      </c>
      <c r="BF1398" s="183" t="s">
        <v>3118</v>
      </c>
      <c r="BG1398" s="38">
        <v>0</v>
      </c>
      <c r="BH1398" s="38">
        <v>0</v>
      </c>
      <c r="BI1398" s="38">
        <v>0</v>
      </c>
      <c r="BJ1398" s="38">
        <v>0</v>
      </c>
      <c r="BK1398" s="38">
        <v>0</v>
      </c>
      <c r="BL1398" s="38">
        <v>0</v>
      </c>
      <c r="BM1398" s="353" t="s">
        <v>3119</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7" t="s">
        <v>3123</v>
      </c>
      <c r="BF1399" s="217"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3130</v>
      </c>
      <c r="AU1401" s="73" t="s">
        <v>204</v>
      </c>
      <c r="AV1401" s="73"/>
      <c r="AW1401" s="131" t="s">
        <v>205</v>
      </c>
      <c r="AX1401" s="73" t="s">
        <v>1582</v>
      </c>
      <c r="AY1401" s="73">
        <v>0</v>
      </c>
      <c r="AZ1401" s="73">
        <v>40000003</v>
      </c>
      <c r="BA1401" s="131" t="s">
        <v>206</v>
      </c>
      <c r="BB1401" s="131" t="s">
        <v>204</v>
      </c>
      <c r="BC1401" s="73">
        <v>0</v>
      </c>
      <c r="BD1401" s="73">
        <v>1</v>
      </c>
      <c r="BE1401" s="242" t="s">
        <v>3131</v>
      </c>
      <c r="BF1401" s="242"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2584</v>
      </c>
      <c r="E1403" s="238" t="s">
        <v>3129</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3138</v>
      </c>
      <c r="BF1403" s="246" t="s">
        <v>3139</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3154</v>
      </c>
      <c r="BF1407" s="208"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3028</v>
      </c>
      <c r="E1408" s="179" t="s">
        <v>3064</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3156</v>
      </c>
      <c r="BF1408" s="181" t="s">
        <v>3157</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7" t="s">
        <v>3160</v>
      </c>
      <c r="BF1409" s="207"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3083</v>
      </c>
      <c r="BF1410" s="207"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7" t="s">
        <v>3165</v>
      </c>
      <c r="BF1411" s="207"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3028</v>
      </c>
      <c r="E1412" s="212" t="s">
        <v>3167</v>
      </c>
      <c r="F1412" s="74">
        <v>1</v>
      </c>
      <c r="G1412" s="206">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3168</v>
      </c>
      <c r="BC1412" s="75">
        <v>0</v>
      </c>
      <c r="BD1412" s="75">
        <v>0</v>
      </c>
      <c r="BE1412" s="213" t="s">
        <v>3169</v>
      </c>
      <c r="BF1412" s="213"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3028</v>
      </c>
      <c r="E1413" s="212" t="s">
        <v>3167</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3171</v>
      </c>
      <c r="BF1413" s="213" t="s">
        <v>3172</v>
      </c>
      <c r="BG1413" s="206">
        <v>0</v>
      </c>
      <c r="BH1413" s="172">
        <v>0</v>
      </c>
      <c r="BI1413" s="206">
        <v>0</v>
      </c>
      <c r="BJ1413" s="206">
        <v>0</v>
      </c>
      <c r="BK1413" s="206">
        <v>0</v>
      </c>
      <c r="BL1413" s="206">
        <v>0</v>
      </c>
      <c r="BM1413" s="355" t="s">
        <v>3173</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7" t="s">
        <v>3176</v>
      </c>
      <c r="BF1414" s="207"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3026</v>
      </c>
      <c r="BF1415" s="207"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7" t="s">
        <v>3179</v>
      </c>
      <c r="BF1416" s="207"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3028</v>
      </c>
      <c r="E1417" s="212" t="s">
        <v>3181</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3182</v>
      </c>
      <c r="BF1417" s="203" t="s">
        <v>3183</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3028</v>
      </c>
      <c r="E1418" s="212" t="s">
        <v>3181</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3184</v>
      </c>
      <c r="AU1418" s="206">
        <v>90000015</v>
      </c>
      <c r="AV1418" s="206"/>
      <c r="AW1418" s="212" t="s">
        <v>204</v>
      </c>
      <c r="AX1418" s="206">
        <v>0</v>
      </c>
      <c r="AY1418" s="206">
        <v>0</v>
      </c>
      <c r="AZ1418" s="206">
        <v>0</v>
      </c>
      <c r="BA1418" s="212" t="s">
        <v>206</v>
      </c>
      <c r="BB1418" s="212">
        <v>0</v>
      </c>
      <c r="BC1418" s="206">
        <v>0</v>
      </c>
      <c r="BD1418" s="206">
        <v>1</v>
      </c>
      <c r="BE1418" s="213" t="s">
        <v>3185</v>
      </c>
      <c r="BF1418" s="213" t="s">
        <v>3186</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7" t="s">
        <v>3189</v>
      </c>
      <c r="BF1419" s="207"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3058</v>
      </c>
      <c r="BF1420" s="207"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7" t="s">
        <v>3165</v>
      </c>
      <c r="BF1421" s="207"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3028</v>
      </c>
      <c r="E1422" s="212"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7"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4"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3026</v>
      </c>
      <c r="BF1426" s="207"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7" t="s">
        <v>3203</v>
      </c>
      <c r="BF1427" s="247"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3083</v>
      </c>
      <c r="BF1430" s="207"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7" t="s">
        <v>5779</v>
      </c>
      <c r="BF1431" s="207" t="s">
        <v>3210</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3028</v>
      </c>
      <c r="E1432" s="160" t="s">
        <v>3211</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4" t="s">
        <v>3212</v>
      </c>
      <c r="BC1432" s="75">
        <v>0</v>
      </c>
      <c r="BD1432" s="75">
        <v>0</v>
      </c>
      <c r="BE1432" s="76" t="s">
        <v>3213</v>
      </c>
      <c r="BF1432" s="76" t="s">
        <v>3214</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3058</v>
      </c>
      <c r="BF1434" s="207"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3215</v>
      </c>
      <c r="E1435" s="173" t="s">
        <v>3216</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7" t="s">
        <v>3189</v>
      </c>
      <c r="BF1435" s="207"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3217</v>
      </c>
      <c r="E1436" s="160" t="s">
        <v>3218</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3219</v>
      </c>
      <c r="BF1436" s="76" t="s">
        <v>3220</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3221</v>
      </c>
      <c r="E1437" s="160" t="s">
        <v>3222</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3223</v>
      </c>
      <c r="BF1437" s="76" t="s">
        <v>3224</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3225</v>
      </c>
      <c r="AV1438" s="93"/>
      <c r="AW1438" s="88" t="s">
        <v>204</v>
      </c>
      <c r="AX1438" s="72" t="s">
        <v>540</v>
      </c>
      <c r="AY1438" s="74">
        <v>0</v>
      </c>
      <c r="AZ1438" s="74">
        <v>77005401</v>
      </c>
      <c r="BA1438" s="71" t="s">
        <v>206</v>
      </c>
      <c r="BB1438" s="72">
        <v>0</v>
      </c>
      <c r="BC1438" s="75">
        <v>0</v>
      </c>
      <c r="BD1438" s="75">
        <v>0</v>
      </c>
      <c r="BE1438" s="76" t="s">
        <v>3226</v>
      </c>
      <c r="BF1438" s="76" t="s">
        <v>3227</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3228</v>
      </c>
      <c r="E1439" s="71" t="s">
        <v>3229</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3230</v>
      </c>
      <c r="BF1439" s="76" t="s">
        <v>3231</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3232</v>
      </c>
      <c r="E1440" s="71" t="s">
        <v>3233</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3234</v>
      </c>
      <c r="BF1440" s="76" t="s">
        <v>3235</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3236</v>
      </c>
      <c r="E1441" s="160" t="s">
        <v>3237</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3238</v>
      </c>
      <c r="AU1441" s="72">
        <v>0</v>
      </c>
      <c r="AV1441" s="72"/>
      <c r="AW1441" s="71" t="s">
        <v>204</v>
      </c>
      <c r="AX1441" s="72" t="s">
        <v>551</v>
      </c>
      <c r="AY1441" s="74">
        <v>0</v>
      </c>
      <c r="AZ1441" s="74">
        <v>0</v>
      </c>
      <c r="BA1441" s="71" t="s">
        <v>206</v>
      </c>
      <c r="BB1441" s="72">
        <v>0</v>
      </c>
      <c r="BC1441" s="75">
        <v>0</v>
      </c>
      <c r="BD1441" s="75">
        <v>0</v>
      </c>
      <c r="BE1441" s="76" t="s">
        <v>3223</v>
      </c>
      <c r="BF1441" s="76" t="s">
        <v>3224</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3239</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3240</v>
      </c>
      <c r="AV1442" s="21"/>
      <c r="AW1442" s="30" t="s">
        <v>204</v>
      </c>
      <c r="AX1442" s="21">
        <v>0</v>
      </c>
      <c r="AY1442" s="32">
        <v>0</v>
      </c>
      <c r="AZ1442" s="32">
        <v>0</v>
      </c>
      <c r="BA1442" s="30" t="s">
        <v>3016</v>
      </c>
      <c r="BB1442" s="21">
        <v>0</v>
      </c>
      <c r="BC1442" s="31">
        <v>0</v>
      </c>
      <c r="BD1442" s="31">
        <v>0</v>
      </c>
      <c r="BE1442" s="33" t="s">
        <v>3241</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3028</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3242</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3243</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3072</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3244</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3245</v>
      </c>
      <c r="E1452" s="35" t="s">
        <v>3246</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3247</v>
      </c>
      <c r="BC1452" s="31">
        <v>0</v>
      </c>
      <c r="BD1452" s="31">
        <v>1</v>
      </c>
      <c r="BE1452" s="250" t="s">
        <v>3248</v>
      </c>
      <c r="BF1452" s="60" t="s">
        <v>3249</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3250</v>
      </c>
      <c r="AU1453" s="32">
        <v>0</v>
      </c>
      <c r="AV1453" s="32"/>
      <c r="AW1453" s="35" t="s">
        <v>204</v>
      </c>
      <c r="AX1453" s="32">
        <v>0</v>
      </c>
      <c r="AY1453" s="32">
        <v>0</v>
      </c>
      <c r="AZ1453" s="32">
        <v>0</v>
      </c>
      <c r="BA1453" s="35" t="s">
        <v>206</v>
      </c>
      <c r="BB1453" s="35">
        <v>0</v>
      </c>
      <c r="BC1453" s="31">
        <v>0</v>
      </c>
      <c r="BD1453" s="31">
        <v>1</v>
      </c>
      <c r="BE1453" s="250" t="s">
        <v>3251</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3252</v>
      </c>
      <c r="BF1454" s="60" t="s">
        <v>3253</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3254</v>
      </c>
      <c r="BF1455" s="60" t="s">
        <v>3255</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3256</v>
      </c>
      <c r="E1456" s="35" t="s">
        <v>3257</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3258</v>
      </c>
      <c r="BF1456" s="60" t="s">
        <v>3259</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3260</v>
      </c>
      <c r="E1457" s="35" t="s">
        <v>3261</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3262</v>
      </c>
      <c r="BF1457" s="60" t="s">
        <v>3263</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3264</v>
      </c>
      <c r="BF1458" s="60" t="s">
        <v>3265</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3266</v>
      </c>
      <c r="E1459" s="35" t="s">
        <v>3267</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3268</v>
      </c>
      <c r="BF1459" s="60" t="s">
        <v>3269</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3270</v>
      </c>
      <c r="E1460" s="35" t="s">
        <v>3271</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3272</v>
      </c>
      <c r="BF1460" s="60" t="s">
        <v>3273</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3274</v>
      </c>
      <c r="BF1461" s="60" t="s">
        <v>3275</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3276</v>
      </c>
      <c r="E1462" s="35" t="s">
        <v>3277</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3278</v>
      </c>
      <c r="BF1462" s="22" t="s">
        <v>3279</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3280</v>
      </c>
      <c r="E1463" s="35" t="s">
        <v>3281</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3278</v>
      </c>
      <c r="BF1463" s="22" t="s">
        <v>3279</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3282</v>
      </c>
      <c r="E1464" s="30" t="s">
        <v>3283</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3284</v>
      </c>
      <c r="BC1464" s="31">
        <v>0</v>
      </c>
      <c r="BD1464" s="31">
        <v>0</v>
      </c>
      <c r="BE1464" s="33" t="s">
        <v>3285</v>
      </c>
      <c r="BF1464" s="33" t="s">
        <v>3286</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3287</v>
      </c>
      <c r="E1465" s="35" t="s">
        <v>3288</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3278</v>
      </c>
      <c r="BF1465" s="22" t="s">
        <v>3279</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1854</v>
      </c>
      <c r="AY1466" s="32">
        <v>10000011</v>
      </c>
      <c r="AZ1466" s="32">
        <v>20001010</v>
      </c>
      <c r="BA1466" s="35" t="s">
        <v>256</v>
      </c>
      <c r="BB1466" s="35" t="s">
        <v>204</v>
      </c>
      <c r="BC1466" s="31">
        <v>0</v>
      </c>
      <c r="BD1466" s="31">
        <v>0</v>
      </c>
      <c r="BE1466" s="33" t="s">
        <v>3289</v>
      </c>
      <c r="BF1466" s="33" t="s">
        <v>3290</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3291</v>
      </c>
      <c r="BF1467" s="60" t="s">
        <v>3292</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3282</v>
      </c>
      <c r="E1468" s="30" t="s">
        <v>3283</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3293</v>
      </c>
      <c r="BC1468" s="31">
        <v>0</v>
      </c>
      <c r="BD1468" s="31">
        <v>0</v>
      </c>
      <c r="BE1468" s="33" t="s">
        <v>3285</v>
      </c>
      <c r="BF1468" s="33" t="s">
        <v>3286</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1854</v>
      </c>
      <c r="AY1469" s="32">
        <v>10000011</v>
      </c>
      <c r="AZ1469" s="32">
        <v>70204001</v>
      </c>
      <c r="BA1469" s="35" t="s">
        <v>256</v>
      </c>
      <c r="BB1469" s="35" t="s">
        <v>204</v>
      </c>
      <c r="BC1469" s="31">
        <v>0</v>
      </c>
      <c r="BD1469" s="31">
        <v>0</v>
      </c>
      <c r="BE1469" s="33" t="s">
        <v>3289</v>
      </c>
      <c r="BF1469" s="33" t="s">
        <v>3290</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3294</v>
      </c>
      <c r="E1470" s="30" t="s">
        <v>3295</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3296</v>
      </c>
      <c r="BC1470" s="31">
        <v>0</v>
      </c>
      <c r="BD1470" s="31">
        <v>0</v>
      </c>
      <c r="BE1470" s="33" t="s">
        <v>3297</v>
      </c>
      <c r="BF1470" s="33" t="s">
        <v>3298</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5"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5" t="str">
        <f t="shared" ref="BE1472" si="149">"立即对目标范围内的怪物造成"&amp;X1472*100&amp;"%攻击伤害+"&amp;Z1472&amp;"点固定伤害"</f>
        <v>立即对目标范围内的怪物造成250%攻击伤害+1000点固定伤害</v>
      </c>
      <c r="BF1472" s="185" t="s">
        <v>3299</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3300</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3301</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3302</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3302</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3302</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3302</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3302</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3303</v>
      </c>
      <c r="E1482" s="35" t="s">
        <v>3304</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29" t="s">
        <v>3305</v>
      </c>
      <c r="AU1482" s="32" t="s">
        <v>204</v>
      </c>
      <c r="AV1482" s="32"/>
      <c r="AW1482" s="35" t="s">
        <v>205</v>
      </c>
      <c r="AX1482" s="32" t="s">
        <v>3302</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3306</v>
      </c>
      <c r="E1483" s="35" t="s">
        <v>3307</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3302</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3308</v>
      </c>
      <c r="E1484" s="35" t="s">
        <v>3309</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3310</v>
      </c>
      <c r="AU1484" s="32" t="s">
        <v>204</v>
      </c>
      <c r="AV1484" s="32"/>
      <c r="AW1484" s="35" t="s">
        <v>205</v>
      </c>
      <c r="AX1484" s="32" t="s">
        <v>3302</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3311</v>
      </c>
      <c r="E1485" s="35" t="s">
        <v>3312</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3302</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3313</v>
      </c>
      <c r="E1486" s="35" t="s">
        <v>3307</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3302</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3314</v>
      </c>
      <c r="E1487" s="35" t="s">
        <v>3315</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3316</v>
      </c>
      <c r="AU1487" s="32" t="s">
        <v>204</v>
      </c>
      <c r="AV1487" s="32"/>
      <c r="AW1487" s="35" t="s">
        <v>205</v>
      </c>
      <c r="AX1487" s="32" t="s">
        <v>3302</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3317</v>
      </c>
      <c r="E1488" s="35" t="s">
        <v>3318</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3302</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3319</v>
      </c>
      <c r="E1489" s="35" t="s">
        <v>3320</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3302</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3321</v>
      </c>
      <c r="E1490" s="35" t="s">
        <v>3322</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3302</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3323</v>
      </c>
      <c r="E1491" s="35" t="s">
        <v>3324</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3302</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3325</v>
      </c>
      <c r="E1492" s="35" t="s">
        <v>3326</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3302</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3327</v>
      </c>
      <c r="E1493" s="35" t="s">
        <v>3328</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29" t="s">
        <v>3329</v>
      </c>
      <c r="AU1493" s="32" t="s">
        <v>204</v>
      </c>
      <c r="AV1493" s="32"/>
      <c r="AW1493" s="35" t="s">
        <v>205</v>
      </c>
      <c r="AX1493" s="32" t="s">
        <v>3302</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3330</v>
      </c>
      <c r="E1494" s="35" t="s">
        <v>3331</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3302</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3332</v>
      </c>
      <c r="E1495" s="35" t="s">
        <v>3333</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3334</v>
      </c>
      <c r="AU1495" s="32" t="s">
        <v>204</v>
      </c>
      <c r="AV1495" s="32"/>
      <c r="AW1495" s="35" t="s">
        <v>205</v>
      </c>
      <c r="AX1495" s="32" t="s">
        <v>3302</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3335</v>
      </c>
      <c r="E1496" s="35" t="s">
        <v>3336</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3302</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3337</v>
      </c>
      <c r="E1497" s="35" t="s">
        <v>3338</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3302</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3339</v>
      </c>
      <c r="E1498" s="35" t="s">
        <v>3340</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3341</v>
      </c>
      <c r="AU1498" s="32" t="s">
        <v>204</v>
      </c>
      <c r="AV1498" s="32"/>
      <c r="AW1498" s="35" t="s">
        <v>205</v>
      </c>
      <c r="AX1498" s="32" t="s">
        <v>3302</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3342</v>
      </c>
      <c r="E1499" s="35" t="s">
        <v>3343</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3302</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3344</v>
      </c>
      <c r="E1500" s="35" t="s">
        <v>3345</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3302</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3346</v>
      </c>
      <c r="E1501" s="35" t="s">
        <v>3347</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3302</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3348</v>
      </c>
      <c r="E1502" s="35" t="s">
        <v>3349</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3302</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3350</v>
      </c>
      <c r="E1503" s="35" t="s">
        <v>3351</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3302</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3352</v>
      </c>
      <c r="E1504" s="35" t="s">
        <v>3353</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29" t="s">
        <v>3354</v>
      </c>
      <c r="AU1504" s="32" t="s">
        <v>204</v>
      </c>
      <c r="AV1504" s="32"/>
      <c r="AW1504" s="35" t="s">
        <v>205</v>
      </c>
      <c r="AX1504" s="32" t="s">
        <v>3302</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3355</v>
      </c>
      <c r="E1505" s="35" t="s">
        <v>3356</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3302</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3357</v>
      </c>
      <c r="E1506" s="35" t="s">
        <v>3358</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3359</v>
      </c>
      <c r="AU1506" s="32" t="s">
        <v>204</v>
      </c>
      <c r="AV1506" s="32"/>
      <c r="AW1506" s="35" t="s">
        <v>205</v>
      </c>
      <c r="AX1506" s="32" t="s">
        <v>3302</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3360</v>
      </c>
      <c r="E1507" s="35" t="s">
        <v>3361</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3302</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3362</v>
      </c>
      <c r="E1508" s="35" t="s">
        <v>3363</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3302</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3364</v>
      </c>
      <c r="E1509" s="35" t="s">
        <v>3365</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3366</v>
      </c>
      <c r="AU1509" s="32" t="s">
        <v>204</v>
      </c>
      <c r="AV1509" s="32"/>
      <c r="AW1509" s="35" t="s">
        <v>205</v>
      </c>
      <c r="AX1509" s="32" t="s">
        <v>3302</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3367</v>
      </c>
      <c r="E1510" s="35" t="s">
        <v>3368</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3302</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3369</v>
      </c>
      <c r="E1511" s="35" t="s">
        <v>3370</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3302</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3371</v>
      </c>
      <c r="E1512" s="35" t="s">
        <v>3372</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3302</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3373</v>
      </c>
      <c r="E1513" s="35" t="s">
        <v>3374</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3302</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3375</v>
      </c>
      <c r="E1514" s="35" t="s">
        <v>3376</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3302</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3377</v>
      </c>
      <c r="E1515" s="35" t="s">
        <v>3378</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29" t="s">
        <v>3379</v>
      </c>
      <c r="AU1515" s="32" t="s">
        <v>204</v>
      </c>
      <c r="AV1515" s="32"/>
      <c r="AW1515" s="35" t="s">
        <v>205</v>
      </c>
      <c r="AX1515" s="32" t="s">
        <v>3302</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3380</v>
      </c>
      <c r="E1516" s="35" t="s">
        <v>3381</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3302</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3382</v>
      </c>
      <c r="E1517" s="35" t="s">
        <v>3383</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3384</v>
      </c>
      <c r="AU1517" s="32" t="s">
        <v>204</v>
      </c>
      <c r="AV1517" s="32"/>
      <c r="AW1517" s="35" t="s">
        <v>205</v>
      </c>
      <c r="AX1517" s="32" t="s">
        <v>3302</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3385</v>
      </c>
      <c r="E1518" s="35" t="s">
        <v>3386</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3302</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3387</v>
      </c>
      <c r="E1519" s="35" t="s">
        <v>3388</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3302</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3389</v>
      </c>
      <c r="E1520" s="35" t="s">
        <v>3390</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3391</v>
      </c>
      <c r="AU1520" s="32" t="s">
        <v>204</v>
      </c>
      <c r="AV1520" s="32"/>
      <c r="AW1520" s="35" t="s">
        <v>205</v>
      </c>
      <c r="AX1520" s="32" t="s">
        <v>3302</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3392</v>
      </c>
      <c r="E1521" s="35" t="s">
        <v>3393</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3302</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3394</v>
      </c>
      <c r="E1522" s="35" t="s">
        <v>3395</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3302</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3396</v>
      </c>
      <c r="E1523" s="35" t="s">
        <v>3372</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3302</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3397</v>
      </c>
      <c r="E1524" s="35" t="s">
        <v>3398</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3302</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3399</v>
      </c>
      <c r="E1525" s="35" t="s">
        <v>3400</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3302</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3401</v>
      </c>
      <c r="E1526" s="35" t="s">
        <v>3402</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29" t="s">
        <v>3403</v>
      </c>
      <c r="AU1526" s="32" t="s">
        <v>204</v>
      </c>
      <c r="AV1526" s="32"/>
      <c r="AW1526" s="35" t="s">
        <v>205</v>
      </c>
      <c r="AX1526" s="32" t="s">
        <v>3302</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3404</v>
      </c>
      <c r="E1527" s="35" t="s">
        <v>3405</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3302</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3406</v>
      </c>
      <c r="E1528" s="35" t="s">
        <v>3407</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3408</v>
      </c>
      <c r="AU1528" s="32" t="s">
        <v>204</v>
      </c>
      <c r="AV1528" s="32"/>
      <c r="AW1528" s="35" t="s">
        <v>205</v>
      </c>
      <c r="AX1528" s="32" t="s">
        <v>3302</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3409</v>
      </c>
      <c r="E1529" s="35" t="s">
        <v>3410</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3302</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3411</v>
      </c>
      <c r="E1530" s="35" t="s">
        <v>3412</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3302</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3413</v>
      </c>
      <c r="E1531" s="35" t="s">
        <v>3414</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3415</v>
      </c>
      <c r="AU1531" s="32" t="s">
        <v>204</v>
      </c>
      <c r="AV1531" s="32"/>
      <c r="AW1531" s="35" t="s">
        <v>205</v>
      </c>
      <c r="AX1531" s="32" t="s">
        <v>3302</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3416</v>
      </c>
      <c r="E1532" s="35" t="s">
        <v>3417</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3302</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3418</v>
      </c>
      <c r="E1533" s="35" t="s">
        <v>3419</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3302</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3420</v>
      </c>
      <c r="E1534" s="35" t="s">
        <v>3421</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3302</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3422</v>
      </c>
      <c r="E1535" s="35" t="s">
        <v>3423</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3302</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3424</v>
      </c>
      <c r="E1536" s="35" t="s">
        <v>3425</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3302</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3426</v>
      </c>
      <c r="E1537" s="35" t="s">
        <v>3427</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29" t="s">
        <v>3428</v>
      </c>
      <c r="AU1537" s="32" t="s">
        <v>204</v>
      </c>
      <c r="AV1537" s="32"/>
      <c r="AW1537" s="35" t="s">
        <v>205</v>
      </c>
      <c r="AX1537" s="32" t="s">
        <v>3302</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3429</v>
      </c>
      <c r="E1538" s="35" t="s">
        <v>3430</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3302</v>
      </c>
      <c r="AY1538" s="32">
        <v>0</v>
      </c>
      <c r="AZ1538" s="32">
        <v>40000003</v>
      </c>
      <c r="BA1538" s="35" t="s">
        <v>206</v>
      </c>
      <c r="BB1538" s="35" t="s">
        <v>204</v>
      </c>
      <c r="BC1538" s="31">
        <v>0</v>
      </c>
      <c r="BD1538" s="31">
        <v>0</v>
      </c>
      <c r="BE1538" s="60" t="s">
        <v>3431</v>
      </c>
      <c r="BF1538" s="60" t="s">
        <v>3432</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3433</v>
      </c>
      <c r="E1539" s="30" t="s">
        <v>3434</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3435</v>
      </c>
      <c r="BF1539" s="33" t="s">
        <v>3436</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3437</v>
      </c>
      <c r="E1540" s="30" t="s">
        <v>3438</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3439</v>
      </c>
      <c r="BF1540" s="33" t="s">
        <v>3440</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3441</v>
      </c>
      <c r="AU1541" s="32" t="s">
        <v>204</v>
      </c>
      <c r="AV1541" s="32"/>
      <c r="AW1541" s="35" t="s">
        <v>205</v>
      </c>
      <c r="AX1541" s="32" t="s">
        <v>3302</v>
      </c>
      <c r="AY1541" s="32">
        <v>0</v>
      </c>
      <c r="AZ1541" s="32">
        <v>66001001</v>
      </c>
      <c r="BA1541" s="35" t="s">
        <v>206</v>
      </c>
      <c r="BB1541" s="35" t="s">
        <v>204</v>
      </c>
      <c r="BC1541" s="31">
        <v>0</v>
      </c>
      <c r="BD1541" s="31">
        <v>0</v>
      </c>
      <c r="BE1541" s="60" t="s">
        <v>3442</v>
      </c>
      <c r="BF1541" s="60" t="s">
        <v>3443</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3444</v>
      </c>
      <c r="E1542" s="35" t="s">
        <v>3445</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3446</v>
      </c>
      <c r="BF1542" s="60" t="s">
        <v>3447</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3448</v>
      </c>
      <c r="E1543" s="35" t="s">
        <v>3449</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3302</v>
      </c>
      <c r="AY1543" s="32">
        <v>0</v>
      </c>
      <c r="AZ1543" s="32">
        <v>66001003</v>
      </c>
      <c r="BA1543" s="35" t="s">
        <v>206</v>
      </c>
      <c r="BB1543" s="35" t="s">
        <v>204</v>
      </c>
      <c r="BC1543" s="31">
        <v>0</v>
      </c>
      <c r="BD1543" s="31">
        <v>0</v>
      </c>
      <c r="BE1543" s="60" t="s">
        <v>3450</v>
      </c>
      <c r="BF1543" s="60" t="s">
        <v>3451</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3452</v>
      </c>
      <c r="E1544" s="35" t="s">
        <v>3453</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3302</v>
      </c>
      <c r="AY1544" s="32">
        <v>0</v>
      </c>
      <c r="AZ1544" s="32">
        <v>66001004</v>
      </c>
      <c r="BA1544" s="35" t="s">
        <v>206</v>
      </c>
      <c r="BB1544" s="35" t="s">
        <v>204</v>
      </c>
      <c r="BC1544" s="31">
        <v>0</v>
      </c>
      <c r="BD1544" s="31">
        <v>0</v>
      </c>
      <c r="BE1544" s="60" t="s">
        <v>3454</v>
      </c>
      <c r="BF1544" s="60" t="s">
        <v>3455</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3456</v>
      </c>
      <c r="E1545" s="20" t="s">
        <v>3457</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3302</v>
      </c>
      <c r="AY1545" s="19" t="s">
        <v>204</v>
      </c>
      <c r="AZ1545" s="19">
        <v>66001005</v>
      </c>
      <c r="BA1545" s="20" t="s">
        <v>206</v>
      </c>
      <c r="BB1545" s="19">
        <v>0</v>
      </c>
      <c r="BC1545" s="19">
        <v>0</v>
      </c>
      <c r="BD1545" s="19">
        <v>0</v>
      </c>
      <c r="BE1545" s="22" t="s">
        <v>3458</v>
      </c>
      <c r="BF1545" s="22" t="s">
        <v>3459</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3460</v>
      </c>
      <c r="E1546" s="35" t="s">
        <v>3461</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3302</v>
      </c>
      <c r="AY1546" s="32">
        <v>0</v>
      </c>
      <c r="AZ1546" s="32">
        <v>66001006</v>
      </c>
      <c r="BA1546" s="35" t="s">
        <v>206</v>
      </c>
      <c r="BB1546" s="35" t="s">
        <v>204</v>
      </c>
      <c r="BC1546" s="31">
        <v>0</v>
      </c>
      <c r="BD1546" s="31">
        <v>0</v>
      </c>
      <c r="BE1546" s="60" t="s">
        <v>3462</v>
      </c>
      <c r="BF1546" s="60" t="s">
        <v>3463</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3464</v>
      </c>
      <c r="E1547" s="20" t="s">
        <v>3465</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3466</v>
      </c>
      <c r="BF1547" s="22" t="s">
        <v>3467</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3468</v>
      </c>
      <c r="E1548" s="35" t="s">
        <v>3469</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3470</v>
      </c>
      <c r="BF1548" s="60" t="s">
        <v>3471</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3472</v>
      </c>
      <c r="E1549" s="35" t="s">
        <v>3473</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3474</v>
      </c>
      <c r="BF1549" s="60" t="s">
        <v>3475</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3302</v>
      </c>
      <c r="AY1550" s="32">
        <v>0</v>
      </c>
      <c r="AZ1550" s="32">
        <v>66001010</v>
      </c>
      <c r="BA1550" s="35" t="s">
        <v>206</v>
      </c>
      <c r="BB1550" s="35" t="s">
        <v>204</v>
      </c>
      <c r="BC1550" s="31">
        <v>0</v>
      </c>
      <c r="BD1550" s="31">
        <v>0</v>
      </c>
      <c r="BE1550" s="60" t="s">
        <v>3476</v>
      </c>
      <c r="BF1550" s="60" t="s">
        <v>3477</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3478</v>
      </c>
      <c r="E1551" s="30" t="s">
        <v>3479</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3480</v>
      </c>
      <c r="BF1551" s="33" t="s">
        <v>3481</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3482</v>
      </c>
      <c r="BF1552" s="89" t="s">
        <v>3483</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3484</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8" t="s">
        <v>3485</v>
      </c>
      <c r="BF1553" s="208" t="s">
        <v>3486</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3487</v>
      </c>
      <c r="E1554" s="88" t="s">
        <v>3488</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3489</v>
      </c>
      <c r="BF1554" s="208" t="s">
        <v>3490</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3491</v>
      </c>
      <c r="E1555" s="88" t="s">
        <v>3492</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3493</v>
      </c>
      <c r="BF1555" s="208" t="s">
        <v>3494</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3495</v>
      </c>
      <c r="E1556" s="88" t="s">
        <v>3496</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3497</v>
      </c>
      <c r="BF1556" s="89" t="s">
        <v>3498</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3499</v>
      </c>
      <c r="E1557" s="71" t="s">
        <v>3500</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4" t="s">
        <v>3501</v>
      </c>
      <c r="BC1557" s="75">
        <v>0</v>
      </c>
      <c r="BD1557" s="75">
        <v>0</v>
      </c>
      <c r="BE1557" s="76" t="s">
        <v>3502</v>
      </c>
      <c r="BF1557" s="76" t="s">
        <v>3503</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3504</v>
      </c>
      <c r="E1558" s="88" t="s">
        <v>3505</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3506</v>
      </c>
      <c r="BF1558" s="208" t="s">
        <v>3507</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3508</v>
      </c>
      <c r="E1559" s="71" t="s">
        <v>3509</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3510</v>
      </c>
      <c r="BF1559" s="76" t="s">
        <v>3511</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3512</v>
      </c>
      <c r="E1560" s="35" t="s">
        <v>3513</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3514</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3515</v>
      </c>
      <c r="BC1561" s="31">
        <v>0</v>
      </c>
      <c r="BD1561" s="31">
        <v>0</v>
      </c>
      <c r="BE1561" s="60" t="s">
        <v>3516</v>
      </c>
      <c r="BF1561" s="60" t="s">
        <v>3517</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3518</v>
      </c>
      <c r="E1562" s="35" t="s">
        <v>3519</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3520</v>
      </c>
      <c r="BF1562" s="60" t="s">
        <v>3521</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3522</v>
      </c>
      <c r="E1563" s="35" t="s">
        <v>3523</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3524</v>
      </c>
      <c r="BF1563" s="60" t="s">
        <v>3525</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3526</v>
      </c>
      <c r="E1564" s="35" t="s">
        <v>3527</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1" t="s">
        <v>3528</v>
      </c>
      <c r="BC1564" s="31">
        <v>0</v>
      </c>
      <c r="BD1564" s="31">
        <v>0</v>
      </c>
      <c r="BE1564" s="33" t="s">
        <v>3529</v>
      </c>
      <c r="BF1564" s="33" t="s">
        <v>3530</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3531</v>
      </c>
      <c r="E1565" s="35" t="s">
        <v>3532</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3533</v>
      </c>
      <c r="BF1565" s="60" t="s">
        <v>3534</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3535</v>
      </c>
      <c r="E1566" s="35" t="s">
        <v>3536</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3537</v>
      </c>
      <c r="BF1566" s="60" t="s">
        <v>3538</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3539</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3540</v>
      </c>
      <c r="BF1567" s="60" t="s">
        <v>3541</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3542</v>
      </c>
      <c r="E1568" s="35" t="s">
        <v>3267</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3543</v>
      </c>
      <c r="BC1568" s="31">
        <v>0</v>
      </c>
      <c r="BD1568" s="31">
        <v>0</v>
      </c>
      <c r="BE1568" s="60" t="s">
        <v>3544</v>
      </c>
      <c r="BF1568" s="60" t="s">
        <v>3545</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3546</v>
      </c>
      <c r="E1569" s="35" t="s">
        <v>3547</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3548</v>
      </c>
      <c r="BF1569" s="60" t="s">
        <v>3549</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3550</v>
      </c>
      <c r="E1570" s="35" t="s">
        <v>3551</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3552</v>
      </c>
      <c r="BC1570" s="31">
        <v>0</v>
      </c>
      <c r="BD1570" s="31">
        <v>0</v>
      </c>
      <c r="BE1570" s="60" t="s">
        <v>3553</v>
      </c>
      <c r="BF1570" s="60" t="s">
        <v>3554</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3555</v>
      </c>
      <c r="E1571" s="35" t="s">
        <v>3556</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3557</v>
      </c>
      <c r="BF1571" s="60" t="s">
        <v>3558</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3559</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3560</v>
      </c>
      <c r="BC1572" s="31">
        <v>0</v>
      </c>
      <c r="BD1572" s="31">
        <v>0</v>
      </c>
      <c r="BE1572" s="60" t="s">
        <v>3561</v>
      </c>
      <c r="BF1572" s="60" t="s">
        <v>3562</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3563</v>
      </c>
      <c r="E1573" s="35" t="s">
        <v>3564</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3565</v>
      </c>
      <c r="BC1573" s="31">
        <v>0</v>
      </c>
      <c r="BD1573" s="31">
        <v>0</v>
      </c>
      <c r="BE1573" s="60" t="s">
        <v>3566</v>
      </c>
      <c r="BF1573" s="60" t="s">
        <v>3567</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3568</v>
      </c>
      <c r="E1574" s="35" t="s">
        <v>3569</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3570</v>
      </c>
      <c r="BC1574" s="31">
        <v>0</v>
      </c>
      <c r="BD1574" s="31">
        <v>0</v>
      </c>
      <c r="BE1574" s="60" t="s">
        <v>3571</v>
      </c>
      <c r="BF1574" s="60" t="s">
        <v>3572</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3573</v>
      </c>
      <c r="E1575" s="35" t="s">
        <v>3574</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3575</v>
      </c>
      <c r="BC1575" s="31">
        <v>0</v>
      </c>
      <c r="BD1575" s="31">
        <v>0</v>
      </c>
      <c r="BE1575" s="60" t="s">
        <v>3576</v>
      </c>
      <c r="BF1575" s="60" t="s">
        <v>3577</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3578</v>
      </c>
      <c r="E1576" s="35" t="s">
        <v>3579</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3580</v>
      </c>
      <c r="BF1576" s="60" t="s">
        <v>3581</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3582</v>
      </c>
      <c r="E1577" s="35" t="s">
        <v>3583</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3584</v>
      </c>
      <c r="BC1577" s="31">
        <v>0</v>
      </c>
      <c r="BD1577" s="31">
        <v>0</v>
      </c>
      <c r="BE1577" s="60" t="s">
        <v>3585</v>
      </c>
      <c r="BF1577" s="60" t="s">
        <v>3586</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3587</v>
      </c>
      <c r="E1578" s="35" t="s">
        <v>3588</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3589</v>
      </c>
      <c r="BC1578" s="31">
        <v>0</v>
      </c>
      <c r="BD1578" s="31">
        <v>0</v>
      </c>
      <c r="BE1578" s="33" t="s">
        <v>3590</v>
      </c>
      <c r="BF1578" s="33" t="s">
        <v>3591</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3592</v>
      </c>
      <c r="E1579" s="35" t="s">
        <v>3593</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3594</v>
      </c>
      <c r="BC1579" s="31">
        <v>0</v>
      </c>
      <c r="BD1579" s="31">
        <v>0</v>
      </c>
      <c r="BE1579" s="60" t="s">
        <v>3595</v>
      </c>
      <c r="BF1579" s="60" t="s">
        <v>3596</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3597</v>
      </c>
      <c r="E1580" s="35" t="s">
        <v>3598</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3599</v>
      </c>
      <c r="BF1580" s="60" t="s">
        <v>3600</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3601</v>
      </c>
      <c r="E1581" s="35" t="s">
        <v>3602</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3603</v>
      </c>
      <c r="BF1581" s="60" t="s">
        <v>3604</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3605</v>
      </c>
      <c r="E1582" s="35" t="s">
        <v>3606</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3607</v>
      </c>
      <c r="BF1582" s="60" t="s">
        <v>3608</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3609</v>
      </c>
      <c r="E1583" s="35" t="s">
        <v>3610</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3611</v>
      </c>
      <c r="BF1583" s="60" t="s">
        <v>3612</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3613</v>
      </c>
      <c r="E1584" s="35" t="s">
        <v>3614</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3615</v>
      </c>
      <c r="BF1584" s="60" t="s">
        <v>3616</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3617</v>
      </c>
      <c r="E1585" s="35" t="s">
        <v>3618</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3619</v>
      </c>
      <c r="BF1585" s="60" t="s">
        <v>3620</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3621</v>
      </c>
      <c r="E1586" s="35" t="s">
        <v>3622</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3623</v>
      </c>
      <c r="BF1586" s="60" t="s">
        <v>3624</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3625</v>
      </c>
      <c r="E1587" s="35" t="s">
        <v>3626</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3627</v>
      </c>
      <c r="BC1587" s="31">
        <v>0</v>
      </c>
      <c r="BD1587" s="31">
        <v>0</v>
      </c>
      <c r="BE1587" s="60" t="s">
        <v>3628</v>
      </c>
      <c r="BF1587" s="60" t="s">
        <v>3629</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3630</v>
      </c>
      <c r="E1588" s="35" t="s">
        <v>3631</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7" t="s">
        <v>3632</v>
      </c>
      <c r="AU1588" s="32" t="s">
        <v>204</v>
      </c>
      <c r="AV1588" s="32"/>
      <c r="AW1588" s="35" t="s">
        <v>205</v>
      </c>
      <c r="AX1588" s="32">
        <v>0</v>
      </c>
      <c r="AY1588" s="32">
        <v>0</v>
      </c>
      <c r="AZ1588" s="32">
        <v>0</v>
      </c>
      <c r="BA1588" s="35" t="s">
        <v>206</v>
      </c>
      <c r="BB1588" s="35" t="s">
        <v>204</v>
      </c>
      <c r="BC1588" s="31">
        <v>0</v>
      </c>
      <c r="BD1588" s="31">
        <v>0</v>
      </c>
      <c r="BE1588" s="60" t="s">
        <v>3633</v>
      </c>
      <c r="BF1588" s="60" t="s">
        <v>3634</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3635</v>
      </c>
      <c r="E1589" s="35" t="s">
        <v>3636</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3632</v>
      </c>
      <c r="AU1589" s="32" t="s">
        <v>204</v>
      </c>
      <c r="AV1589" s="32"/>
      <c r="AW1589" s="35" t="s">
        <v>205</v>
      </c>
      <c r="AX1589" s="32">
        <v>0</v>
      </c>
      <c r="AY1589" s="32">
        <v>0</v>
      </c>
      <c r="AZ1589" s="32">
        <v>0</v>
      </c>
      <c r="BA1589" s="35" t="s">
        <v>206</v>
      </c>
      <c r="BB1589" s="35" t="s">
        <v>204</v>
      </c>
      <c r="BC1589" s="31">
        <v>0</v>
      </c>
      <c r="BD1589" s="31">
        <v>0</v>
      </c>
      <c r="BE1589" s="60" t="s">
        <v>3637</v>
      </c>
      <c r="BF1589" s="60" t="s">
        <v>3638</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3639</v>
      </c>
      <c r="E1590" s="35" t="s">
        <v>3640</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3632</v>
      </c>
      <c r="AU1590" s="32" t="s">
        <v>204</v>
      </c>
      <c r="AV1590" s="32"/>
      <c r="AW1590" s="35" t="s">
        <v>205</v>
      </c>
      <c r="AX1590" s="32">
        <v>0</v>
      </c>
      <c r="AY1590" s="32">
        <v>0</v>
      </c>
      <c r="AZ1590" s="32">
        <v>0</v>
      </c>
      <c r="BA1590" s="35" t="s">
        <v>206</v>
      </c>
      <c r="BB1590" s="35" t="s">
        <v>204</v>
      </c>
      <c r="BC1590" s="31">
        <v>0</v>
      </c>
      <c r="BD1590" s="31">
        <v>0</v>
      </c>
      <c r="BE1590" s="60" t="s">
        <v>3641</v>
      </c>
      <c r="BF1590" s="60" t="s">
        <v>3642</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3236</v>
      </c>
      <c r="E1591" s="35" t="s">
        <v>3643</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3644</v>
      </c>
      <c r="BF1591" s="60" t="s">
        <v>3645</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3646</v>
      </c>
      <c r="E1592" s="94" t="s">
        <v>3647</v>
      </c>
      <c r="F1592" s="25">
        <v>1</v>
      </c>
      <c r="G1592" s="32">
        <v>60090002</v>
      </c>
      <c r="H1592" s="25">
        <v>0</v>
      </c>
      <c r="I1592" s="26">
        <v>0</v>
      </c>
      <c r="J1592" s="25">
        <v>1</v>
      </c>
      <c r="K1592" s="25">
        <v>0</v>
      </c>
      <c r="L1592" s="26">
        <v>0</v>
      </c>
      <c r="M1592" s="26">
        <v>0</v>
      </c>
      <c r="N1592" s="25" t="s">
        <v>3648</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3649</v>
      </c>
      <c r="BF1592" s="254" t="s">
        <v>3650</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3651</v>
      </c>
      <c r="E1593" s="35" t="s">
        <v>3652</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3653</v>
      </c>
      <c r="BF1593" s="60" t="s">
        <v>3654</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3655</v>
      </c>
      <c r="E1594" s="94" t="s">
        <v>3656</v>
      </c>
      <c r="F1594" s="25">
        <v>1</v>
      </c>
      <c r="G1594" s="32">
        <v>60090002</v>
      </c>
      <c r="H1594" s="25">
        <v>0</v>
      </c>
      <c r="I1594" s="26">
        <v>0</v>
      </c>
      <c r="J1594" s="25">
        <v>1</v>
      </c>
      <c r="K1594" s="25">
        <v>0</v>
      </c>
      <c r="L1594" s="26">
        <v>0</v>
      </c>
      <c r="M1594" s="26">
        <v>0</v>
      </c>
      <c r="N1594" s="25" t="s">
        <v>3657</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3649</v>
      </c>
      <c r="BF1594" s="254" t="s">
        <v>3650</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3658</v>
      </c>
      <c r="E1595" s="35" t="s">
        <v>3659</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3660</v>
      </c>
      <c r="BF1595" s="22" t="s">
        <v>3661</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3662</v>
      </c>
      <c r="E1596" s="94" t="s">
        <v>3663</v>
      </c>
      <c r="F1596" s="25">
        <v>1</v>
      </c>
      <c r="G1596" s="32">
        <v>60090002</v>
      </c>
      <c r="H1596" s="25">
        <v>0</v>
      </c>
      <c r="I1596" s="26">
        <v>0</v>
      </c>
      <c r="J1596" s="25">
        <v>1</v>
      </c>
      <c r="K1596" s="25">
        <v>0</v>
      </c>
      <c r="L1596" s="26">
        <v>0</v>
      </c>
      <c r="M1596" s="26">
        <v>0</v>
      </c>
      <c r="N1596" s="25" t="s">
        <v>3664</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3649</v>
      </c>
      <c r="BF1596" s="254" t="s">
        <v>3650</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3665</v>
      </c>
      <c r="E1597" s="20" t="s">
        <v>3666</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3667</v>
      </c>
      <c r="BF1597" s="22" t="s">
        <v>3668</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3669</v>
      </c>
      <c r="E1598" s="20" t="s">
        <v>3670</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3671</v>
      </c>
      <c r="BF1598" s="22" t="s">
        <v>3672</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3673</v>
      </c>
      <c r="E1599" s="94" t="s">
        <v>3674</v>
      </c>
      <c r="F1599" s="25">
        <v>1</v>
      </c>
      <c r="G1599" s="32">
        <v>60090002</v>
      </c>
      <c r="H1599" s="25">
        <v>0</v>
      </c>
      <c r="I1599" s="26">
        <v>0</v>
      </c>
      <c r="J1599" s="25">
        <v>1</v>
      </c>
      <c r="K1599" s="25">
        <v>0</v>
      </c>
      <c r="L1599" s="26">
        <v>0</v>
      </c>
      <c r="M1599" s="26">
        <v>0</v>
      </c>
      <c r="N1599" s="25" t="s">
        <v>3675</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3649</v>
      </c>
      <c r="BF1599" s="254" t="s">
        <v>3650</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3676</v>
      </c>
      <c r="E1600" s="94" t="s">
        <v>3677</v>
      </c>
      <c r="F1600" s="25">
        <v>1</v>
      </c>
      <c r="G1600" s="32">
        <v>60090002</v>
      </c>
      <c r="H1600" s="25">
        <v>0</v>
      </c>
      <c r="I1600" s="26">
        <v>0</v>
      </c>
      <c r="J1600" s="25">
        <v>1</v>
      </c>
      <c r="K1600" s="25">
        <v>0</v>
      </c>
      <c r="L1600" s="26">
        <v>0</v>
      </c>
      <c r="M1600" s="26">
        <v>0</v>
      </c>
      <c r="N1600" s="25" t="s">
        <v>3675</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3649</v>
      </c>
      <c r="BF1600" s="254" t="s">
        <v>3650</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3678</v>
      </c>
      <c r="E1601" s="35" t="s">
        <v>3679</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3653</v>
      </c>
      <c r="BF1601" s="60" t="s">
        <v>3654</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3680</v>
      </c>
      <c r="E1602" s="20" t="s">
        <v>3681</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3671</v>
      </c>
      <c r="BF1602" s="22" t="s">
        <v>3672</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3682</v>
      </c>
      <c r="E1603" s="20" t="s">
        <v>3683</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1854</v>
      </c>
      <c r="AY1603" s="19" t="s">
        <v>204</v>
      </c>
      <c r="AZ1603" s="19" t="s">
        <v>2087</v>
      </c>
      <c r="BA1603" s="20" t="s">
        <v>206</v>
      </c>
      <c r="BB1603" s="19">
        <v>0</v>
      </c>
      <c r="BC1603" s="31">
        <v>0</v>
      </c>
      <c r="BD1603" s="31">
        <v>1</v>
      </c>
      <c r="BE1603" s="22" t="s">
        <v>3684</v>
      </c>
      <c r="BF1603" s="22" t="s">
        <v>3685</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3686</v>
      </c>
      <c r="E1604" s="255" t="s">
        <v>3687</v>
      </c>
      <c r="F1604" s="25">
        <v>1</v>
      </c>
      <c r="G1604" s="32">
        <v>60090002</v>
      </c>
      <c r="H1604" s="25">
        <v>0</v>
      </c>
      <c r="I1604" s="26">
        <v>0</v>
      </c>
      <c r="J1604" s="25">
        <v>1</v>
      </c>
      <c r="K1604" s="25">
        <v>0</v>
      </c>
      <c r="L1604" s="26">
        <v>0</v>
      </c>
      <c r="M1604" s="26">
        <v>0</v>
      </c>
      <c r="N1604" s="25" t="s">
        <v>3688</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3649</v>
      </c>
      <c r="BF1604" s="254" t="s">
        <v>3650</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3689</v>
      </c>
      <c r="E1605" s="255" t="s">
        <v>3690</v>
      </c>
      <c r="F1605" s="25">
        <v>1</v>
      </c>
      <c r="G1605" s="32">
        <v>60090002</v>
      </c>
      <c r="H1605" s="25">
        <v>0</v>
      </c>
      <c r="I1605" s="26">
        <v>0</v>
      </c>
      <c r="J1605" s="25">
        <v>1</v>
      </c>
      <c r="K1605" s="25">
        <v>0</v>
      </c>
      <c r="L1605" s="26">
        <v>0</v>
      </c>
      <c r="M1605" s="26">
        <v>0</v>
      </c>
      <c r="N1605" s="25" t="s">
        <v>3691</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3649</v>
      </c>
      <c r="BF1605" s="254" t="s">
        <v>3650</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3692</v>
      </c>
      <c r="E1606" s="255" t="s">
        <v>3693</v>
      </c>
      <c r="F1606" s="25">
        <v>1</v>
      </c>
      <c r="G1606" s="32">
        <v>60090002</v>
      </c>
      <c r="H1606" s="25">
        <v>0</v>
      </c>
      <c r="I1606" s="26">
        <v>0</v>
      </c>
      <c r="J1606" s="25">
        <v>1</v>
      </c>
      <c r="K1606" s="25">
        <v>0</v>
      </c>
      <c r="L1606" s="26">
        <v>0</v>
      </c>
      <c r="M1606" s="26">
        <v>0</v>
      </c>
      <c r="N1606" s="25" t="s">
        <v>3694</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3649</v>
      </c>
      <c r="BF1606" s="254" t="s">
        <v>3650</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3695</v>
      </c>
      <c r="E1607" s="255" t="s">
        <v>3696</v>
      </c>
      <c r="F1607" s="25">
        <v>1</v>
      </c>
      <c r="G1607" s="32">
        <v>60090002</v>
      </c>
      <c r="H1607" s="25">
        <v>0</v>
      </c>
      <c r="I1607" s="26">
        <v>0</v>
      </c>
      <c r="J1607" s="25">
        <v>1</v>
      </c>
      <c r="K1607" s="25">
        <v>0</v>
      </c>
      <c r="L1607" s="26">
        <v>0</v>
      </c>
      <c r="M1607" s="26">
        <v>0</v>
      </c>
      <c r="N1607" s="25" t="s">
        <v>3697</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3649</v>
      </c>
      <c r="BF1607" s="254" t="s">
        <v>3650</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3698</v>
      </c>
      <c r="E1608" s="255" t="s">
        <v>3699</v>
      </c>
      <c r="F1608" s="25">
        <v>1</v>
      </c>
      <c r="G1608" s="32">
        <v>60090002</v>
      </c>
      <c r="H1608" s="25">
        <v>0</v>
      </c>
      <c r="I1608" s="26">
        <v>0</v>
      </c>
      <c r="J1608" s="25">
        <v>1</v>
      </c>
      <c r="K1608" s="25">
        <v>0</v>
      </c>
      <c r="L1608" s="26">
        <v>0</v>
      </c>
      <c r="M1608" s="26">
        <v>0</v>
      </c>
      <c r="N1608" s="25" t="s">
        <v>3700</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3649</v>
      </c>
      <c r="BF1608" s="254" t="s">
        <v>3650</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3701</v>
      </c>
      <c r="E1609" s="256" t="s">
        <v>3702</v>
      </c>
      <c r="F1609" s="90">
        <v>1</v>
      </c>
      <c r="G1609" s="74">
        <v>60090002</v>
      </c>
      <c r="H1609" s="90">
        <v>0</v>
      </c>
      <c r="I1609" s="127">
        <v>0</v>
      </c>
      <c r="J1609" s="90">
        <v>1</v>
      </c>
      <c r="K1609" s="90">
        <v>0</v>
      </c>
      <c r="L1609" s="127">
        <v>0</v>
      </c>
      <c r="M1609" s="127">
        <v>0</v>
      </c>
      <c r="N1609" s="90" t="s">
        <v>3703</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3649</v>
      </c>
      <c r="BF1609" s="259" t="s">
        <v>3650</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3704</v>
      </c>
      <c r="E1610" s="260" t="s">
        <v>3705</v>
      </c>
      <c r="F1610" s="69">
        <v>1</v>
      </c>
      <c r="G1610" s="69">
        <v>60090002</v>
      </c>
      <c r="H1610" s="59">
        <v>0</v>
      </c>
      <c r="I1610" s="59">
        <v>0</v>
      </c>
      <c r="J1610" s="69">
        <v>1</v>
      </c>
      <c r="K1610" s="69">
        <v>0</v>
      </c>
      <c r="L1610" s="59">
        <v>0</v>
      </c>
      <c r="M1610" s="59">
        <v>0</v>
      </c>
      <c r="N1610" s="59" t="s">
        <v>3706</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3704</v>
      </c>
      <c r="BF1610" s="260" t="s">
        <v>3705</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3707</v>
      </c>
      <c r="E1611" s="260" t="s">
        <v>3708</v>
      </c>
      <c r="F1611" s="69">
        <v>1</v>
      </c>
      <c r="G1611" s="69">
        <v>60090002</v>
      </c>
      <c r="H1611" s="59">
        <v>0</v>
      </c>
      <c r="I1611" s="59">
        <v>0</v>
      </c>
      <c r="J1611" s="69">
        <v>1</v>
      </c>
      <c r="K1611" s="69">
        <v>0</v>
      </c>
      <c r="L1611" s="59">
        <v>0</v>
      </c>
      <c r="M1611" s="59">
        <v>0</v>
      </c>
      <c r="N1611" s="59" t="s">
        <v>3675</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3707</v>
      </c>
      <c r="BF1611" s="260" t="s">
        <v>3708</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3709</v>
      </c>
      <c r="E1612" s="260" t="s">
        <v>3710</v>
      </c>
      <c r="F1612" s="69">
        <v>1</v>
      </c>
      <c r="G1612" s="69">
        <v>60090002</v>
      </c>
      <c r="H1612" s="59">
        <v>0</v>
      </c>
      <c r="I1612" s="59">
        <v>0</v>
      </c>
      <c r="J1612" s="69">
        <v>1</v>
      </c>
      <c r="K1612" s="69">
        <v>0</v>
      </c>
      <c r="L1612" s="59">
        <v>0</v>
      </c>
      <c r="M1612" s="59">
        <v>0</v>
      </c>
      <c r="N1612" s="59" t="s">
        <v>3711</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3709</v>
      </c>
      <c r="BF1612" s="260" t="s">
        <v>3710</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3712</v>
      </c>
      <c r="E1613" s="260" t="s">
        <v>3713</v>
      </c>
      <c r="F1613" s="69">
        <v>1</v>
      </c>
      <c r="G1613" s="69">
        <v>60090002</v>
      </c>
      <c r="H1613" s="59">
        <v>0</v>
      </c>
      <c r="I1613" s="59">
        <v>0</v>
      </c>
      <c r="J1613" s="69">
        <v>1</v>
      </c>
      <c r="K1613" s="69">
        <v>0</v>
      </c>
      <c r="L1613" s="59">
        <v>0</v>
      </c>
      <c r="M1613" s="59">
        <v>0</v>
      </c>
      <c r="N1613" s="59" t="s">
        <v>3714</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3712</v>
      </c>
      <c r="BF1613" s="260" t="s">
        <v>3713</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3715</v>
      </c>
      <c r="E1614" s="260" t="s">
        <v>3716</v>
      </c>
      <c r="F1614" s="69">
        <v>1</v>
      </c>
      <c r="G1614" s="69">
        <v>60090002</v>
      </c>
      <c r="H1614" s="59">
        <v>0</v>
      </c>
      <c r="I1614" s="59">
        <v>0</v>
      </c>
      <c r="J1614" s="69">
        <v>1</v>
      </c>
      <c r="K1614" s="69">
        <v>0</v>
      </c>
      <c r="L1614" s="59">
        <v>0</v>
      </c>
      <c r="M1614" s="59">
        <v>0</v>
      </c>
      <c r="N1614" s="59" t="s">
        <v>3648</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3715</v>
      </c>
      <c r="BF1614" s="260" t="s">
        <v>3716</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3717</v>
      </c>
      <c r="E1615" s="260" t="s">
        <v>3718</v>
      </c>
      <c r="F1615" s="69">
        <v>1</v>
      </c>
      <c r="G1615" s="69">
        <v>60090002</v>
      </c>
      <c r="H1615" s="59">
        <v>0</v>
      </c>
      <c r="I1615" s="59">
        <v>0</v>
      </c>
      <c r="J1615" s="69">
        <v>1</v>
      </c>
      <c r="K1615" s="69">
        <v>0</v>
      </c>
      <c r="L1615" s="59">
        <v>0</v>
      </c>
      <c r="M1615" s="59">
        <v>0</v>
      </c>
      <c r="N1615" s="59" t="s">
        <v>3688</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3717</v>
      </c>
      <c r="BF1615" s="260" t="s">
        <v>3718</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3719</v>
      </c>
      <c r="E1616" s="260" t="s">
        <v>3720</v>
      </c>
      <c r="F1616" s="69">
        <v>1</v>
      </c>
      <c r="G1616" s="69">
        <v>60090002</v>
      </c>
      <c r="H1616" s="59">
        <v>0</v>
      </c>
      <c r="I1616" s="59">
        <v>0</v>
      </c>
      <c r="J1616" s="69">
        <v>1</v>
      </c>
      <c r="K1616" s="69">
        <v>0</v>
      </c>
      <c r="L1616" s="59">
        <v>0</v>
      </c>
      <c r="M1616" s="59">
        <v>0</v>
      </c>
      <c r="N1616" s="59" t="s">
        <v>3721</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3719</v>
      </c>
      <c r="BF1616" s="260" t="s">
        <v>3720</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3722</v>
      </c>
      <c r="E1617" s="260" t="s">
        <v>3723</v>
      </c>
      <c r="F1617" s="69">
        <v>1</v>
      </c>
      <c r="G1617" s="69">
        <v>60090002</v>
      </c>
      <c r="H1617" s="59">
        <v>0</v>
      </c>
      <c r="I1617" s="59">
        <v>0</v>
      </c>
      <c r="J1617" s="69">
        <v>1</v>
      </c>
      <c r="K1617" s="69">
        <v>0</v>
      </c>
      <c r="L1617" s="59">
        <v>0</v>
      </c>
      <c r="M1617" s="59">
        <v>0</v>
      </c>
      <c r="N1617" s="59" t="s">
        <v>3724</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3722</v>
      </c>
      <c r="BF1617" s="260" t="s">
        <v>3723</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3725</v>
      </c>
      <c r="E1618" s="260" t="s">
        <v>3726</v>
      </c>
      <c r="F1618" s="69">
        <v>1</v>
      </c>
      <c r="G1618" s="69">
        <v>60090002</v>
      </c>
      <c r="H1618" s="59">
        <v>0</v>
      </c>
      <c r="I1618" s="59">
        <v>0</v>
      </c>
      <c r="J1618" s="69">
        <v>1</v>
      </c>
      <c r="K1618" s="69">
        <v>0</v>
      </c>
      <c r="L1618" s="59">
        <v>0</v>
      </c>
      <c r="M1618" s="59">
        <v>0</v>
      </c>
      <c r="N1618" s="59" t="s">
        <v>3727</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3725</v>
      </c>
      <c r="BF1618" s="260" t="s">
        <v>3726</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3728</v>
      </c>
      <c r="E1619" s="260" t="s">
        <v>3729</v>
      </c>
      <c r="F1619" s="69">
        <v>1</v>
      </c>
      <c r="G1619" s="69">
        <v>60090002</v>
      </c>
      <c r="H1619" s="59">
        <v>0</v>
      </c>
      <c r="I1619" s="59">
        <v>0</v>
      </c>
      <c r="J1619" s="69">
        <v>1</v>
      </c>
      <c r="K1619" s="69">
        <v>0</v>
      </c>
      <c r="L1619" s="59">
        <v>0</v>
      </c>
      <c r="M1619" s="59">
        <v>0</v>
      </c>
      <c r="N1619" s="59" t="s">
        <v>3730</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3728</v>
      </c>
      <c r="BF1619" s="260" t="s">
        <v>3729</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3731</v>
      </c>
      <c r="E1620" s="260" t="s">
        <v>3732</v>
      </c>
      <c r="F1620" s="69">
        <v>1</v>
      </c>
      <c r="G1620" s="69">
        <v>60090002</v>
      </c>
      <c r="H1620" s="59">
        <v>0</v>
      </c>
      <c r="I1620" s="59">
        <v>0</v>
      </c>
      <c r="J1620" s="69">
        <v>1</v>
      </c>
      <c r="K1620" s="69">
        <v>0</v>
      </c>
      <c r="L1620" s="59">
        <v>0</v>
      </c>
      <c r="M1620" s="59">
        <v>0</v>
      </c>
      <c r="N1620" s="59" t="s">
        <v>3733</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3731</v>
      </c>
      <c r="BF1620" s="260" t="s">
        <v>3732</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3734</v>
      </c>
      <c r="E1621" s="260" t="s">
        <v>3735</v>
      </c>
      <c r="F1621" s="69">
        <v>1</v>
      </c>
      <c r="G1621" s="69">
        <v>60090002</v>
      </c>
      <c r="H1621" s="59">
        <v>0</v>
      </c>
      <c r="I1621" s="59">
        <v>0</v>
      </c>
      <c r="J1621" s="69">
        <v>1</v>
      </c>
      <c r="K1621" s="69">
        <v>0</v>
      </c>
      <c r="L1621" s="59">
        <v>0</v>
      </c>
      <c r="M1621" s="59">
        <v>0</v>
      </c>
      <c r="N1621" s="59" t="s">
        <v>3736</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3734</v>
      </c>
      <c r="BF1621" s="260" t="s">
        <v>3735</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3737</v>
      </c>
      <c r="E1622" s="260" t="s">
        <v>3738</v>
      </c>
      <c r="F1622" s="69">
        <v>1</v>
      </c>
      <c r="G1622" s="69">
        <v>60090002</v>
      </c>
      <c r="H1622" s="59">
        <v>0</v>
      </c>
      <c r="I1622" s="59">
        <v>0</v>
      </c>
      <c r="J1622" s="69">
        <v>1</v>
      </c>
      <c r="K1622" s="69">
        <v>0</v>
      </c>
      <c r="L1622" s="59">
        <v>0</v>
      </c>
      <c r="M1622" s="59">
        <v>0</v>
      </c>
      <c r="N1622" s="59" t="s">
        <v>3739</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3737</v>
      </c>
      <c r="BF1622" s="260" t="s">
        <v>3738</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3740</v>
      </c>
      <c r="E1623" s="260" t="s">
        <v>3741</v>
      </c>
      <c r="F1623" s="69">
        <v>1</v>
      </c>
      <c r="G1623" s="69">
        <v>60090002</v>
      </c>
      <c r="H1623" s="59">
        <v>0</v>
      </c>
      <c r="I1623" s="59">
        <v>0</v>
      </c>
      <c r="J1623" s="69">
        <v>1</v>
      </c>
      <c r="K1623" s="69">
        <v>0</v>
      </c>
      <c r="L1623" s="59">
        <v>0</v>
      </c>
      <c r="M1623" s="59">
        <v>0</v>
      </c>
      <c r="N1623" s="59" t="s">
        <v>3742</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3740</v>
      </c>
      <c r="BF1623" s="260" t="s">
        <v>3741</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3743</v>
      </c>
      <c r="E1624" s="260" t="s">
        <v>3744</v>
      </c>
      <c r="F1624" s="69">
        <v>1</v>
      </c>
      <c r="G1624" s="69">
        <v>60090002</v>
      </c>
      <c r="H1624" s="59">
        <v>0</v>
      </c>
      <c r="I1624" s="59">
        <v>0</v>
      </c>
      <c r="J1624" s="69">
        <v>1</v>
      </c>
      <c r="K1624" s="69">
        <v>0</v>
      </c>
      <c r="L1624" s="59">
        <v>0</v>
      </c>
      <c r="M1624" s="59">
        <v>0</v>
      </c>
      <c r="N1624" s="59" t="s">
        <v>3745</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3743</v>
      </c>
      <c r="BF1624" s="260" t="s">
        <v>3744</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3746</v>
      </c>
      <c r="E1625" s="260" t="s">
        <v>3747</v>
      </c>
      <c r="F1625" s="69">
        <v>1</v>
      </c>
      <c r="G1625" s="69">
        <v>60090002</v>
      </c>
      <c r="H1625" s="59">
        <v>0</v>
      </c>
      <c r="I1625" s="59">
        <v>0</v>
      </c>
      <c r="J1625" s="69">
        <v>1</v>
      </c>
      <c r="K1625" s="69">
        <v>0</v>
      </c>
      <c r="L1625" s="59">
        <v>0</v>
      </c>
      <c r="M1625" s="59">
        <v>0</v>
      </c>
      <c r="N1625" s="59" t="s">
        <v>3748</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3746</v>
      </c>
      <c r="BF1625" s="260" t="s">
        <v>3747</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3749</v>
      </c>
      <c r="E1626" s="260" t="s">
        <v>3750</v>
      </c>
      <c r="F1626" s="69">
        <v>1</v>
      </c>
      <c r="G1626" s="69">
        <v>60090002</v>
      </c>
      <c r="H1626" s="59">
        <v>0</v>
      </c>
      <c r="I1626" s="59">
        <v>0</v>
      </c>
      <c r="J1626" s="69">
        <v>1</v>
      </c>
      <c r="K1626" s="69">
        <v>0</v>
      </c>
      <c r="L1626" s="59">
        <v>0</v>
      </c>
      <c r="M1626" s="59">
        <v>0</v>
      </c>
      <c r="N1626" s="59" t="s">
        <v>3751</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3749</v>
      </c>
      <c r="BF1626" s="260" t="s">
        <v>3750</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3752</v>
      </c>
      <c r="E1627" s="260" t="s">
        <v>3753</v>
      </c>
      <c r="F1627" s="69">
        <v>1</v>
      </c>
      <c r="G1627" s="69">
        <v>60090002</v>
      </c>
      <c r="H1627" s="59">
        <v>0</v>
      </c>
      <c r="I1627" s="59">
        <v>0</v>
      </c>
      <c r="J1627" s="69">
        <v>1</v>
      </c>
      <c r="K1627" s="69">
        <v>0</v>
      </c>
      <c r="L1627" s="59">
        <v>0</v>
      </c>
      <c r="M1627" s="59">
        <v>0</v>
      </c>
      <c r="N1627" s="59" t="s">
        <v>3754</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3752</v>
      </c>
      <c r="BF1627" s="260" t="s">
        <v>3753</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3755</v>
      </c>
      <c r="E1628" s="260" t="s">
        <v>3756</v>
      </c>
      <c r="F1628" s="69">
        <v>1</v>
      </c>
      <c r="G1628" s="69">
        <v>60090002</v>
      </c>
      <c r="H1628" s="59">
        <v>0</v>
      </c>
      <c r="I1628" s="59">
        <v>0</v>
      </c>
      <c r="J1628" s="69">
        <v>1</v>
      </c>
      <c r="K1628" s="69">
        <v>0</v>
      </c>
      <c r="L1628" s="59">
        <v>0</v>
      </c>
      <c r="M1628" s="59">
        <v>0</v>
      </c>
      <c r="N1628" s="59" t="s">
        <v>3703</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3755</v>
      </c>
      <c r="BF1628" s="260" t="s">
        <v>3756</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3757</v>
      </c>
      <c r="E1629" s="260" t="s">
        <v>3758</v>
      </c>
      <c r="F1629" s="69">
        <v>1</v>
      </c>
      <c r="G1629" s="69">
        <v>60090002</v>
      </c>
      <c r="H1629" s="59">
        <v>0</v>
      </c>
      <c r="I1629" s="59">
        <v>0</v>
      </c>
      <c r="J1629" s="69">
        <v>1</v>
      </c>
      <c r="K1629" s="69">
        <v>0</v>
      </c>
      <c r="L1629" s="59">
        <v>0</v>
      </c>
      <c r="M1629" s="59">
        <v>0</v>
      </c>
      <c r="N1629" s="59" t="s">
        <v>3664</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3757</v>
      </c>
      <c r="BF1629" s="260" t="s">
        <v>3758</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3759</v>
      </c>
      <c r="E1630" s="260" t="s">
        <v>3760</v>
      </c>
      <c r="F1630" s="69">
        <v>1</v>
      </c>
      <c r="G1630" s="69">
        <v>60090002</v>
      </c>
      <c r="H1630" s="59">
        <v>0</v>
      </c>
      <c r="I1630" s="59">
        <v>0</v>
      </c>
      <c r="J1630" s="69">
        <v>1</v>
      </c>
      <c r="K1630" s="69">
        <v>0</v>
      </c>
      <c r="L1630" s="59">
        <v>0</v>
      </c>
      <c r="M1630" s="59">
        <v>0</v>
      </c>
      <c r="N1630" s="59" t="s">
        <v>3761</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3759</v>
      </c>
      <c r="BF1630" s="260" t="s">
        <v>3760</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3762</v>
      </c>
      <c r="E1631" s="260" t="s">
        <v>3763</v>
      </c>
      <c r="F1631" s="69">
        <v>1</v>
      </c>
      <c r="G1631" s="69">
        <v>60090002</v>
      </c>
      <c r="H1631" s="59">
        <v>0</v>
      </c>
      <c r="I1631" s="59">
        <v>0</v>
      </c>
      <c r="J1631" s="69">
        <v>1</v>
      </c>
      <c r="K1631" s="69">
        <v>0</v>
      </c>
      <c r="L1631" s="59">
        <v>0</v>
      </c>
      <c r="M1631" s="59">
        <v>0</v>
      </c>
      <c r="N1631" s="59" t="s">
        <v>3764</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3762</v>
      </c>
      <c r="BF1631" s="260" t="s">
        <v>3763</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3765</v>
      </c>
      <c r="E1632" s="260" t="s">
        <v>3766</v>
      </c>
      <c r="F1632" s="69">
        <v>1</v>
      </c>
      <c r="G1632" s="69">
        <v>60090002</v>
      </c>
      <c r="H1632" s="59">
        <v>0</v>
      </c>
      <c r="I1632" s="59">
        <v>0</v>
      </c>
      <c r="J1632" s="69">
        <v>1</v>
      </c>
      <c r="K1632" s="69">
        <v>0</v>
      </c>
      <c r="L1632" s="59">
        <v>0</v>
      </c>
      <c r="M1632" s="59">
        <v>0</v>
      </c>
      <c r="N1632" s="59" t="s">
        <v>3657</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3765</v>
      </c>
      <c r="BF1632" s="260" t="s">
        <v>3766</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3767</v>
      </c>
      <c r="E1633" s="260" t="s">
        <v>3768</v>
      </c>
      <c r="F1633" s="69">
        <v>1</v>
      </c>
      <c r="G1633" s="69">
        <v>60090002</v>
      </c>
      <c r="H1633" s="59">
        <v>0</v>
      </c>
      <c r="I1633" s="59">
        <v>0</v>
      </c>
      <c r="J1633" s="69">
        <v>1</v>
      </c>
      <c r="K1633" s="69">
        <v>0</v>
      </c>
      <c r="L1633" s="59">
        <v>0</v>
      </c>
      <c r="M1633" s="59">
        <v>0</v>
      </c>
      <c r="N1633" s="59" t="s">
        <v>3769</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3767</v>
      </c>
      <c r="BF1633" s="260" t="s">
        <v>3768</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3770</v>
      </c>
      <c r="E1634" s="260" t="s">
        <v>3771</v>
      </c>
      <c r="F1634" s="69">
        <v>1</v>
      </c>
      <c r="G1634" s="69">
        <v>60090002</v>
      </c>
      <c r="H1634" s="59">
        <v>0</v>
      </c>
      <c r="I1634" s="59">
        <v>0</v>
      </c>
      <c r="J1634" s="69">
        <v>1</v>
      </c>
      <c r="K1634" s="69">
        <v>0</v>
      </c>
      <c r="L1634" s="59">
        <v>0</v>
      </c>
      <c r="M1634" s="59">
        <v>0</v>
      </c>
      <c r="N1634" s="59" t="s">
        <v>3772</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3770</v>
      </c>
      <c r="BF1634" s="260" t="s">
        <v>3771</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3773</v>
      </c>
      <c r="E1635" s="260" t="s">
        <v>3774</v>
      </c>
      <c r="F1635" s="69">
        <v>1</v>
      </c>
      <c r="G1635" s="69">
        <v>60090002</v>
      </c>
      <c r="H1635" s="59">
        <v>0</v>
      </c>
      <c r="I1635" s="59">
        <v>0</v>
      </c>
      <c r="J1635" s="69">
        <v>1</v>
      </c>
      <c r="K1635" s="69">
        <v>0</v>
      </c>
      <c r="L1635" s="59">
        <v>0</v>
      </c>
      <c r="M1635" s="59">
        <v>0</v>
      </c>
      <c r="N1635" s="59" t="s">
        <v>3775</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3773</v>
      </c>
      <c r="BF1635" s="260" t="s">
        <v>3774</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3776</v>
      </c>
      <c r="E1636" s="260" t="s">
        <v>3777</v>
      </c>
      <c r="F1636" s="69">
        <v>1</v>
      </c>
      <c r="G1636" s="69">
        <v>60090002</v>
      </c>
      <c r="H1636" s="59">
        <v>0</v>
      </c>
      <c r="I1636" s="59">
        <v>0</v>
      </c>
      <c r="J1636" s="69">
        <v>1</v>
      </c>
      <c r="K1636" s="69">
        <v>0</v>
      </c>
      <c r="L1636" s="59">
        <v>0</v>
      </c>
      <c r="M1636" s="59">
        <v>0</v>
      </c>
      <c r="N1636" s="59" t="s">
        <v>3778</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3776</v>
      </c>
      <c r="BF1636" s="260" t="s">
        <v>3777</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3779</v>
      </c>
      <c r="E1637" s="260" t="s">
        <v>3780</v>
      </c>
      <c r="F1637" s="69">
        <v>1</v>
      </c>
      <c r="G1637" s="69">
        <v>60090002</v>
      </c>
      <c r="H1637" s="59">
        <v>0</v>
      </c>
      <c r="I1637" s="59">
        <v>0</v>
      </c>
      <c r="J1637" s="69">
        <v>1</v>
      </c>
      <c r="K1637" s="69">
        <v>0</v>
      </c>
      <c r="L1637" s="59">
        <v>0</v>
      </c>
      <c r="M1637" s="59">
        <v>0</v>
      </c>
      <c r="N1637" s="59" t="s">
        <v>3781</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3779</v>
      </c>
      <c r="BF1637" s="260" t="s">
        <v>3780</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3782</v>
      </c>
      <c r="E1638" s="260" t="s">
        <v>3783</v>
      </c>
      <c r="F1638" s="69">
        <v>1</v>
      </c>
      <c r="G1638" s="69">
        <v>60090002</v>
      </c>
      <c r="H1638" s="59">
        <v>0</v>
      </c>
      <c r="I1638" s="59">
        <v>0</v>
      </c>
      <c r="J1638" s="69">
        <v>1</v>
      </c>
      <c r="K1638" s="69">
        <v>0</v>
      </c>
      <c r="L1638" s="59">
        <v>0</v>
      </c>
      <c r="M1638" s="59">
        <v>0</v>
      </c>
      <c r="N1638" s="59" t="s">
        <v>3784</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3782</v>
      </c>
      <c r="BF1638" s="260" t="s">
        <v>3783</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3785</v>
      </c>
      <c r="E1639" s="260" t="s">
        <v>3786</v>
      </c>
      <c r="F1639" s="69">
        <v>1</v>
      </c>
      <c r="G1639" s="69">
        <v>60090002</v>
      </c>
      <c r="H1639" s="59">
        <v>0</v>
      </c>
      <c r="I1639" s="59">
        <v>0</v>
      </c>
      <c r="J1639" s="69">
        <v>1</v>
      </c>
      <c r="K1639" s="69">
        <v>0</v>
      </c>
      <c r="L1639" s="59">
        <v>0</v>
      </c>
      <c r="M1639" s="59">
        <v>0</v>
      </c>
      <c r="N1639" s="59" t="s">
        <v>3787</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3785</v>
      </c>
      <c r="BF1639" s="260" t="s">
        <v>3786</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3788</v>
      </c>
      <c r="E1640" s="260" t="s">
        <v>3789</v>
      </c>
      <c r="F1640" s="69">
        <v>1</v>
      </c>
      <c r="G1640" s="69">
        <v>60090002</v>
      </c>
      <c r="H1640" s="59">
        <v>0</v>
      </c>
      <c r="I1640" s="59">
        <v>0</v>
      </c>
      <c r="J1640" s="69">
        <v>1</v>
      </c>
      <c r="K1640" s="69">
        <v>0</v>
      </c>
      <c r="L1640" s="59">
        <v>0</v>
      </c>
      <c r="M1640" s="59">
        <v>0</v>
      </c>
      <c r="N1640" s="59" t="s">
        <v>3790</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3788</v>
      </c>
      <c r="BF1640" s="260" t="s">
        <v>3789</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3791</v>
      </c>
      <c r="E1641" s="260" t="s">
        <v>3792</v>
      </c>
      <c r="F1641" s="69">
        <v>1</v>
      </c>
      <c r="G1641" s="69">
        <v>60090002</v>
      </c>
      <c r="H1641" s="59">
        <v>0</v>
      </c>
      <c r="I1641" s="59">
        <v>0</v>
      </c>
      <c r="J1641" s="69">
        <v>1</v>
      </c>
      <c r="K1641" s="69">
        <v>0</v>
      </c>
      <c r="L1641" s="59">
        <v>0</v>
      </c>
      <c r="M1641" s="59">
        <v>0</v>
      </c>
      <c r="N1641" s="59" t="s">
        <v>3793</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3791</v>
      </c>
      <c r="BF1641" s="260" t="s">
        <v>3792</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3794</v>
      </c>
      <c r="E1642" s="260" t="s">
        <v>3795</v>
      </c>
      <c r="F1642" s="69">
        <v>1</v>
      </c>
      <c r="G1642" s="69">
        <v>60090002</v>
      </c>
      <c r="H1642" s="59">
        <v>0</v>
      </c>
      <c r="I1642" s="59">
        <v>0</v>
      </c>
      <c r="J1642" s="69">
        <v>1</v>
      </c>
      <c r="K1642" s="69">
        <v>0</v>
      </c>
      <c r="L1642" s="59">
        <v>0</v>
      </c>
      <c r="M1642" s="59">
        <v>0</v>
      </c>
      <c r="N1642" s="59" t="s">
        <v>3796</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3794</v>
      </c>
      <c r="BF1642" s="260" t="s">
        <v>3795</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3797</v>
      </c>
      <c r="E1643" s="260" t="s">
        <v>3798</v>
      </c>
      <c r="F1643" s="69">
        <v>1</v>
      </c>
      <c r="G1643" s="69">
        <v>60090002</v>
      </c>
      <c r="H1643" s="59">
        <v>0</v>
      </c>
      <c r="I1643" s="59">
        <v>0</v>
      </c>
      <c r="J1643" s="69">
        <v>1</v>
      </c>
      <c r="K1643" s="69">
        <v>0</v>
      </c>
      <c r="L1643" s="59">
        <v>0</v>
      </c>
      <c r="M1643" s="59">
        <v>0</v>
      </c>
      <c r="N1643" s="59" t="s">
        <v>3799</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3797</v>
      </c>
      <c r="BF1643" s="260" t="s">
        <v>3798</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3800</v>
      </c>
      <c r="E1644" s="260" t="s">
        <v>3801</v>
      </c>
      <c r="F1644" s="69">
        <v>1</v>
      </c>
      <c r="G1644" s="69">
        <v>60090002</v>
      </c>
      <c r="H1644" s="59">
        <v>0</v>
      </c>
      <c r="I1644" s="59">
        <v>0</v>
      </c>
      <c r="J1644" s="69">
        <v>1</v>
      </c>
      <c r="K1644" s="69">
        <v>0</v>
      </c>
      <c r="L1644" s="59">
        <v>0</v>
      </c>
      <c r="M1644" s="59">
        <v>0</v>
      </c>
      <c r="N1644" s="59" t="s">
        <v>3802</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3800</v>
      </c>
      <c r="BF1644" s="260" t="s">
        <v>3801</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3803</v>
      </c>
      <c r="E1645" s="260" t="s">
        <v>3804</v>
      </c>
      <c r="F1645" s="69">
        <v>1</v>
      </c>
      <c r="G1645" s="69">
        <v>60090002</v>
      </c>
      <c r="H1645" s="59">
        <v>0</v>
      </c>
      <c r="I1645" s="59">
        <v>0</v>
      </c>
      <c r="J1645" s="69">
        <v>1</v>
      </c>
      <c r="K1645" s="69">
        <v>0</v>
      </c>
      <c r="L1645" s="59">
        <v>0</v>
      </c>
      <c r="M1645" s="59">
        <v>0</v>
      </c>
      <c r="N1645" s="59" t="s">
        <v>3805</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3803</v>
      </c>
      <c r="BF1645" s="260" t="s">
        <v>3804</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3806</v>
      </c>
      <c r="E1646" s="263" t="s">
        <v>3807</v>
      </c>
      <c r="F1646" s="264">
        <v>1</v>
      </c>
      <c r="G1646" s="264">
        <v>60090002</v>
      </c>
      <c r="H1646" s="265">
        <v>0</v>
      </c>
      <c r="I1646" s="265">
        <v>0</v>
      </c>
      <c r="J1646" s="264">
        <v>1</v>
      </c>
      <c r="K1646" s="264">
        <v>0</v>
      </c>
      <c r="L1646" s="265">
        <v>0</v>
      </c>
      <c r="M1646" s="265">
        <v>0</v>
      </c>
      <c r="N1646" s="265" t="s">
        <v>3808</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3806</v>
      </c>
      <c r="BF1646" s="260" t="s">
        <v>3807</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3809</v>
      </c>
      <c r="E1647" s="263" t="s">
        <v>3810</v>
      </c>
      <c r="F1647" s="264">
        <v>1</v>
      </c>
      <c r="G1647" s="264">
        <v>60090002</v>
      </c>
      <c r="H1647" s="265">
        <v>0</v>
      </c>
      <c r="I1647" s="265">
        <v>0</v>
      </c>
      <c r="J1647" s="264">
        <v>1</v>
      </c>
      <c r="K1647" s="264">
        <v>0</v>
      </c>
      <c r="L1647" s="265">
        <v>0</v>
      </c>
      <c r="M1647" s="265">
        <v>0</v>
      </c>
      <c r="N1647" s="265" t="s">
        <v>3694</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3809</v>
      </c>
      <c r="BF1647" s="260" t="s">
        <v>3810</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3811</v>
      </c>
      <c r="E1648" s="263" t="s">
        <v>3812</v>
      </c>
      <c r="F1648" s="264">
        <v>1</v>
      </c>
      <c r="G1648" s="264">
        <v>60090002</v>
      </c>
      <c r="H1648" s="265">
        <v>0</v>
      </c>
      <c r="I1648" s="265">
        <v>0</v>
      </c>
      <c r="J1648" s="264">
        <v>1</v>
      </c>
      <c r="K1648" s="264">
        <v>0</v>
      </c>
      <c r="L1648" s="265">
        <v>0</v>
      </c>
      <c r="M1648" s="265">
        <v>0</v>
      </c>
      <c r="N1648" s="265" t="s">
        <v>3691</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3811</v>
      </c>
      <c r="BF1648" s="260" t="s">
        <v>3812</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3813</v>
      </c>
      <c r="E1649" s="263" t="s">
        <v>3814</v>
      </c>
      <c r="F1649" s="264">
        <v>1</v>
      </c>
      <c r="G1649" s="264">
        <v>60090002</v>
      </c>
      <c r="H1649" s="265">
        <v>0</v>
      </c>
      <c r="I1649" s="265">
        <v>0</v>
      </c>
      <c r="J1649" s="264">
        <v>1</v>
      </c>
      <c r="K1649" s="264">
        <v>0</v>
      </c>
      <c r="L1649" s="265">
        <v>0</v>
      </c>
      <c r="M1649" s="265">
        <v>0</v>
      </c>
      <c r="N1649" s="265" t="s">
        <v>3697</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3813</v>
      </c>
      <c r="BF1649" s="260" t="s">
        <v>3814</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3815</v>
      </c>
      <c r="E1650" s="263" t="s">
        <v>3816</v>
      </c>
      <c r="F1650" s="264">
        <v>1</v>
      </c>
      <c r="G1650" s="264">
        <v>60090002</v>
      </c>
      <c r="H1650" s="265">
        <v>0</v>
      </c>
      <c r="I1650" s="265">
        <v>0</v>
      </c>
      <c r="J1650" s="264">
        <v>1</v>
      </c>
      <c r="K1650" s="264">
        <v>0</v>
      </c>
      <c r="L1650" s="265">
        <v>0</v>
      </c>
      <c r="M1650" s="265">
        <v>0</v>
      </c>
      <c r="N1650" s="265" t="s">
        <v>3817</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3815</v>
      </c>
      <c r="BF1650" s="260" t="s">
        <v>3816</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3818</v>
      </c>
      <c r="E1651" s="263" t="s">
        <v>3819</v>
      </c>
      <c r="F1651" s="264">
        <v>1</v>
      </c>
      <c r="G1651" s="264">
        <v>60090002</v>
      </c>
      <c r="H1651" s="265">
        <v>0</v>
      </c>
      <c r="I1651" s="265">
        <v>0</v>
      </c>
      <c r="J1651" s="264">
        <v>1</v>
      </c>
      <c r="K1651" s="264">
        <v>0</v>
      </c>
      <c r="L1651" s="265">
        <v>0</v>
      </c>
      <c r="M1651" s="265">
        <v>0</v>
      </c>
      <c r="N1651" s="265" t="s">
        <v>3700</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3818</v>
      </c>
      <c r="BF1651" s="260" t="s">
        <v>3819</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3820</v>
      </c>
      <c r="E1652" s="263" t="s">
        <v>3821</v>
      </c>
      <c r="F1652" s="264">
        <v>1</v>
      </c>
      <c r="G1652" s="264">
        <v>60090002</v>
      </c>
      <c r="H1652" s="265">
        <v>0</v>
      </c>
      <c r="I1652" s="265">
        <v>0</v>
      </c>
      <c r="J1652" s="264">
        <v>1</v>
      </c>
      <c r="K1652" s="264">
        <v>0</v>
      </c>
      <c r="L1652" s="265">
        <v>0</v>
      </c>
      <c r="M1652" s="265">
        <v>0</v>
      </c>
      <c r="N1652" s="265" t="s">
        <v>3822</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3820</v>
      </c>
      <c r="BF1652" s="260" t="s">
        <v>3821</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3823</v>
      </c>
      <c r="E1653" s="263" t="s">
        <v>3824</v>
      </c>
      <c r="F1653" s="264">
        <v>1</v>
      </c>
      <c r="G1653" s="264">
        <v>60090002</v>
      </c>
      <c r="H1653" s="265">
        <v>0</v>
      </c>
      <c r="I1653" s="265">
        <v>0</v>
      </c>
      <c r="J1653" s="264">
        <v>1</v>
      </c>
      <c r="K1653" s="264">
        <v>0</v>
      </c>
      <c r="L1653" s="265">
        <v>0</v>
      </c>
      <c r="M1653" s="265">
        <v>0</v>
      </c>
      <c r="N1653" s="265" t="s">
        <v>3825</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3823</v>
      </c>
      <c r="BF1653" s="260" t="s">
        <v>3824</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3826</v>
      </c>
      <c r="E1654" s="263" t="s">
        <v>3827</v>
      </c>
      <c r="F1654" s="264">
        <v>1</v>
      </c>
      <c r="G1654" s="264">
        <v>60090002</v>
      </c>
      <c r="H1654" s="265">
        <v>0</v>
      </c>
      <c r="I1654" s="265">
        <v>0</v>
      </c>
      <c r="J1654" s="264">
        <v>1</v>
      </c>
      <c r="K1654" s="264">
        <v>0</v>
      </c>
      <c r="L1654" s="265">
        <v>0</v>
      </c>
      <c r="M1654" s="265">
        <v>0</v>
      </c>
      <c r="N1654" s="265" t="s">
        <v>3828</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3826</v>
      </c>
      <c r="BF1654" s="260" t="s">
        <v>3827</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3829</v>
      </c>
      <c r="E1655" s="263" t="s">
        <v>3830</v>
      </c>
      <c r="F1655" s="264">
        <v>1</v>
      </c>
      <c r="G1655" s="264">
        <v>60090002</v>
      </c>
      <c r="H1655" s="265">
        <v>0</v>
      </c>
      <c r="I1655" s="265">
        <v>0</v>
      </c>
      <c r="J1655" s="264">
        <v>1</v>
      </c>
      <c r="K1655" s="264">
        <v>0</v>
      </c>
      <c r="L1655" s="265">
        <v>0</v>
      </c>
      <c r="M1655" s="265">
        <v>0</v>
      </c>
      <c r="N1655" s="265" t="s">
        <v>3831</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3829</v>
      </c>
      <c r="BF1655" s="260" t="s">
        <v>3830</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3832</v>
      </c>
      <c r="E1656" s="263" t="s">
        <v>3833</v>
      </c>
      <c r="F1656" s="264">
        <v>1</v>
      </c>
      <c r="G1656" s="264">
        <v>60090002</v>
      </c>
      <c r="H1656" s="265">
        <v>0</v>
      </c>
      <c r="I1656" s="265">
        <v>0</v>
      </c>
      <c r="J1656" s="264">
        <v>1</v>
      </c>
      <c r="K1656" s="264">
        <v>0</v>
      </c>
      <c r="L1656" s="265">
        <v>0</v>
      </c>
      <c r="M1656" s="265">
        <v>0</v>
      </c>
      <c r="N1656" s="265" t="s">
        <v>3834</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3832</v>
      </c>
      <c r="BF1656" s="260" t="s">
        <v>3833</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3835</v>
      </c>
      <c r="E1657" s="263" t="s">
        <v>3836</v>
      </c>
      <c r="F1657" s="264">
        <v>1</v>
      </c>
      <c r="G1657" s="264">
        <v>60090002</v>
      </c>
      <c r="H1657" s="265">
        <v>0</v>
      </c>
      <c r="I1657" s="265">
        <v>0</v>
      </c>
      <c r="J1657" s="264">
        <v>1</v>
      </c>
      <c r="K1657" s="264">
        <v>0</v>
      </c>
      <c r="L1657" s="265">
        <v>0</v>
      </c>
      <c r="M1657" s="265">
        <v>0</v>
      </c>
      <c r="N1657" s="265" t="s">
        <v>3837</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3835</v>
      </c>
      <c r="BF1657" s="260" t="s">
        <v>3836</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3838</v>
      </c>
      <c r="E1658" s="263" t="s">
        <v>3839</v>
      </c>
      <c r="F1658" s="264">
        <v>1</v>
      </c>
      <c r="G1658" s="264">
        <v>60090002</v>
      </c>
      <c r="H1658" s="265">
        <v>0</v>
      </c>
      <c r="I1658" s="265">
        <v>0</v>
      </c>
      <c r="J1658" s="264">
        <v>1</v>
      </c>
      <c r="K1658" s="264">
        <v>0</v>
      </c>
      <c r="L1658" s="265">
        <v>0</v>
      </c>
      <c r="M1658" s="265">
        <v>0</v>
      </c>
      <c r="N1658" s="265" t="s">
        <v>3840</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3838</v>
      </c>
      <c r="BF1658" s="260" t="s">
        <v>3839</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3841</v>
      </c>
      <c r="E1659" s="263" t="s">
        <v>3842</v>
      </c>
      <c r="F1659" s="264">
        <v>1</v>
      </c>
      <c r="G1659" s="264">
        <v>60090002</v>
      </c>
      <c r="H1659" s="265">
        <v>0</v>
      </c>
      <c r="I1659" s="265">
        <v>0</v>
      </c>
      <c r="J1659" s="264">
        <v>1</v>
      </c>
      <c r="K1659" s="264">
        <v>0</v>
      </c>
      <c r="L1659" s="265">
        <v>0</v>
      </c>
      <c r="M1659" s="265">
        <v>0</v>
      </c>
      <c r="N1659" s="265" t="s">
        <v>3843</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3841</v>
      </c>
      <c r="BF1659" s="260" t="s">
        <v>3842</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3844</v>
      </c>
      <c r="E1660" s="263" t="s">
        <v>3845</v>
      </c>
      <c r="F1660" s="264">
        <v>1</v>
      </c>
      <c r="G1660" s="264">
        <v>60090002</v>
      </c>
      <c r="H1660" s="265">
        <v>0</v>
      </c>
      <c r="I1660" s="265">
        <v>0</v>
      </c>
      <c r="J1660" s="264">
        <v>1</v>
      </c>
      <c r="K1660" s="264">
        <v>0</v>
      </c>
      <c r="L1660" s="265">
        <v>0</v>
      </c>
      <c r="M1660" s="265">
        <v>0</v>
      </c>
      <c r="N1660" s="265" t="s">
        <v>3846</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3844</v>
      </c>
      <c r="BF1660" s="260" t="s">
        <v>3845</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3847</v>
      </c>
      <c r="E1661" s="263" t="s">
        <v>3848</v>
      </c>
      <c r="F1661" s="264">
        <v>1</v>
      </c>
      <c r="G1661" s="264">
        <v>60090002</v>
      </c>
      <c r="H1661" s="265">
        <v>0</v>
      </c>
      <c r="I1661" s="265">
        <v>0</v>
      </c>
      <c r="J1661" s="264">
        <v>1</v>
      </c>
      <c r="K1661" s="264">
        <v>0</v>
      </c>
      <c r="L1661" s="265">
        <v>0</v>
      </c>
      <c r="M1661" s="265">
        <v>0</v>
      </c>
      <c r="N1661" s="265" t="s">
        <v>3849</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3847</v>
      </c>
      <c r="BF1661" s="260" t="s">
        <v>3848</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3850</v>
      </c>
      <c r="E1662" s="263" t="s">
        <v>3851</v>
      </c>
      <c r="F1662" s="264">
        <v>1</v>
      </c>
      <c r="G1662" s="264">
        <v>60090002</v>
      </c>
      <c r="H1662" s="265">
        <v>0</v>
      </c>
      <c r="I1662" s="265">
        <v>0</v>
      </c>
      <c r="J1662" s="264">
        <v>1</v>
      </c>
      <c r="K1662" s="264">
        <v>0</v>
      </c>
      <c r="L1662" s="265">
        <v>0</v>
      </c>
      <c r="M1662" s="265">
        <v>0</v>
      </c>
      <c r="N1662" s="265" t="s">
        <v>3852</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3850</v>
      </c>
      <c r="BF1662" s="260" t="s">
        <v>3851</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3853</v>
      </c>
      <c r="E1663" s="263" t="s">
        <v>3854</v>
      </c>
      <c r="F1663" s="264">
        <v>1</v>
      </c>
      <c r="G1663" s="264">
        <v>60090002</v>
      </c>
      <c r="H1663" s="265">
        <v>0</v>
      </c>
      <c r="I1663" s="265">
        <v>0</v>
      </c>
      <c r="J1663" s="264">
        <v>1</v>
      </c>
      <c r="K1663" s="264">
        <v>0</v>
      </c>
      <c r="L1663" s="265">
        <v>0</v>
      </c>
      <c r="M1663" s="265">
        <v>0</v>
      </c>
      <c r="N1663" s="265" t="s">
        <v>3855</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3853</v>
      </c>
      <c r="BF1663" s="260" t="s">
        <v>3854</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3856</v>
      </c>
      <c r="E1664" s="35" t="s">
        <v>3857</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3858</v>
      </c>
      <c r="BC1664" s="31">
        <v>0</v>
      </c>
      <c r="BD1664" s="31">
        <v>1</v>
      </c>
      <c r="BE1664" s="35" t="s">
        <v>3859</v>
      </c>
      <c r="BF1664" s="35" t="s">
        <v>3860</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3861</v>
      </c>
      <c r="E1665" s="35" t="s">
        <v>3862</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3863</v>
      </c>
      <c r="BC1665" s="31">
        <v>0</v>
      </c>
      <c r="BD1665" s="31">
        <v>1</v>
      </c>
      <c r="BE1665" s="35" t="s">
        <v>3864</v>
      </c>
      <c r="BF1665" s="35" t="s">
        <v>3865</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3866</v>
      </c>
      <c r="E1666" s="35" t="s">
        <v>3867</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3868</v>
      </c>
      <c r="BC1666" s="31">
        <v>0</v>
      </c>
      <c r="BD1666" s="31">
        <v>1</v>
      </c>
      <c r="BE1666" s="35" t="s">
        <v>3869</v>
      </c>
      <c r="BF1666" s="35" t="s">
        <v>3870</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3871</v>
      </c>
      <c r="E1667" s="35" t="s">
        <v>3872</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3873</v>
      </c>
      <c r="BC1667" s="31">
        <v>0</v>
      </c>
      <c r="BD1667" s="31">
        <v>1</v>
      </c>
      <c r="BE1667" s="35" t="s">
        <v>3874</v>
      </c>
      <c r="BF1667" s="35" t="s">
        <v>3875</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3876</v>
      </c>
      <c r="E1668" s="35" t="s">
        <v>3877</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3878</v>
      </c>
      <c r="BC1668" s="31">
        <v>0</v>
      </c>
      <c r="BD1668" s="31">
        <v>1</v>
      </c>
      <c r="BE1668" s="35" t="s">
        <v>3879</v>
      </c>
      <c r="BF1668" s="35" t="s">
        <v>3880</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3881</v>
      </c>
      <c r="E1669" s="35" t="s">
        <v>3882</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3883</v>
      </c>
      <c r="BC1669" s="31">
        <v>0</v>
      </c>
      <c r="BD1669" s="31">
        <v>1</v>
      </c>
      <c r="BE1669" s="35" t="s">
        <v>3884</v>
      </c>
      <c r="BF1669" s="35" t="s">
        <v>3885</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3886</v>
      </c>
      <c r="E1670" s="35" t="s">
        <v>3887</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3888</v>
      </c>
      <c r="BC1670" s="31">
        <v>0</v>
      </c>
      <c r="BD1670" s="31">
        <v>1</v>
      </c>
      <c r="BE1670" s="35" t="s">
        <v>3889</v>
      </c>
      <c r="BF1670" s="35" t="s">
        <v>3890</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3891</v>
      </c>
      <c r="E1671" s="35" t="s">
        <v>3892</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3893</v>
      </c>
      <c r="BC1671" s="31">
        <v>0</v>
      </c>
      <c r="BD1671" s="31">
        <v>1</v>
      </c>
      <c r="BE1671" s="35" t="s">
        <v>3894</v>
      </c>
      <c r="BF1671" s="35" t="s">
        <v>3895</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3896</v>
      </c>
      <c r="E1672" s="35" t="s">
        <v>3897</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3575</v>
      </c>
      <c r="BC1672" s="31">
        <v>0</v>
      </c>
      <c r="BD1672" s="31">
        <v>1</v>
      </c>
      <c r="BE1672" s="35" t="s">
        <v>3898</v>
      </c>
      <c r="BF1672" s="35" t="s">
        <v>3899</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3900</v>
      </c>
      <c r="E1673" s="35" t="s">
        <v>3901</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3902</v>
      </c>
      <c r="BC1673" s="31">
        <v>0</v>
      </c>
      <c r="BD1673" s="31">
        <v>1</v>
      </c>
      <c r="BE1673" s="35" t="s">
        <v>3903</v>
      </c>
      <c r="BF1673" s="35" t="s">
        <v>3904</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3905</v>
      </c>
      <c r="E1674" s="35" t="s">
        <v>3906</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3907</v>
      </c>
      <c r="BC1674" s="31">
        <v>0</v>
      </c>
      <c r="BD1674" s="31">
        <v>1</v>
      </c>
      <c r="BE1674" s="35" t="s">
        <v>3908</v>
      </c>
      <c r="BF1674" s="35" t="s">
        <v>3909</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3905</v>
      </c>
      <c r="E1675" s="35" t="s">
        <v>3906</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3910</v>
      </c>
      <c r="BF1675" s="35" t="s">
        <v>3911</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3905</v>
      </c>
      <c r="E1676" s="35" t="s">
        <v>3906</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3912</v>
      </c>
      <c r="BF1676" s="35" t="s">
        <v>3913</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3905</v>
      </c>
      <c r="E1677" s="35" t="s">
        <v>3906</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3914</v>
      </c>
      <c r="BF1677" s="35" t="s">
        <v>3915</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3916</v>
      </c>
      <c r="BF1678" s="60" t="s">
        <v>3917</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3918</v>
      </c>
      <c r="E1679" s="35" t="s">
        <v>3919</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3920</v>
      </c>
      <c r="BC1679" s="31">
        <v>0</v>
      </c>
      <c r="BD1679" s="31">
        <v>1</v>
      </c>
      <c r="BE1679" s="35" t="s">
        <v>3921</v>
      </c>
      <c r="BF1679" s="35" t="s">
        <v>3922</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3923</v>
      </c>
      <c r="E1680" s="35" t="s">
        <v>3924</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3925</v>
      </c>
      <c r="BC1680" s="31">
        <v>0</v>
      </c>
      <c r="BD1680" s="31">
        <v>1</v>
      </c>
      <c r="BE1680" s="35" t="s">
        <v>3926</v>
      </c>
      <c r="BF1680" s="35" t="s">
        <v>3927</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3928</v>
      </c>
      <c r="E1681" s="35" t="s">
        <v>3246</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3929</v>
      </c>
      <c r="BF1681" s="22" t="s">
        <v>3930</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3931</v>
      </c>
      <c r="BC1682" s="31">
        <v>0</v>
      </c>
      <c r="BD1682" s="31">
        <v>1</v>
      </c>
      <c r="BE1682" s="35" t="s">
        <v>3932</v>
      </c>
      <c r="BF1682" s="35" t="s">
        <v>3933</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3934</v>
      </c>
      <c r="E1683" s="35" t="s">
        <v>3935</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3936</v>
      </c>
      <c r="BC1683" s="31">
        <v>0</v>
      </c>
      <c r="BD1683" s="31">
        <v>1</v>
      </c>
      <c r="BE1683" s="35" t="s">
        <v>3937</v>
      </c>
      <c r="BF1683" s="35" t="s">
        <v>3938</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3939</v>
      </c>
      <c r="E1684" s="35" t="s">
        <v>3940</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3941</v>
      </c>
      <c r="BF1684" s="60" t="s">
        <v>3942</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3943</v>
      </c>
      <c r="E1685" s="35" t="s">
        <v>3944</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3945</v>
      </c>
      <c r="BC1685" s="31">
        <v>0</v>
      </c>
      <c r="BD1685" s="31">
        <v>1</v>
      </c>
      <c r="BE1685" s="35" t="s">
        <v>3946</v>
      </c>
      <c r="BF1685" s="35" t="s">
        <v>3947</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3928</v>
      </c>
      <c r="E1686" s="35" t="s">
        <v>3246</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3948</v>
      </c>
      <c r="BC1686" s="31">
        <v>0</v>
      </c>
      <c r="BD1686" s="31">
        <v>1</v>
      </c>
      <c r="BE1686" s="35" t="s">
        <v>3949</v>
      </c>
      <c r="BF1686" s="35" t="s">
        <v>3950</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3951</v>
      </c>
      <c r="E1687" s="35" t="s">
        <v>3952</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3953</v>
      </c>
      <c r="BF1687" s="35" t="s">
        <v>3954</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3955</v>
      </c>
      <c r="E1688" s="35" t="s">
        <v>3956</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3957</v>
      </c>
      <c r="BC1688" s="31">
        <v>0</v>
      </c>
      <c r="BD1688" s="31">
        <v>1</v>
      </c>
      <c r="BE1688" s="267" t="s">
        <v>3958</v>
      </c>
      <c r="BF1688" s="267" t="s">
        <v>3959</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3960</v>
      </c>
      <c r="E1689" s="35" t="s">
        <v>3961</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3962</v>
      </c>
      <c r="BC1689" s="31">
        <v>0</v>
      </c>
      <c r="BD1689" s="31">
        <v>1</v>
      </c>
      <c r="BE1689" s="267" t="s">
        <v>3963</v>
      </c>
      <c r="BF1689" s="267" t="s">
        <v>3964</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3965</v>
      </c>
      <c r="E1690" s="35" t="s">
        <v>3966</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3967</v>
      </c>
      <c r="BC1690" s="31">
        <v>0</v>
      </c>
      <c r="BD1690" s="31">
        <v>1</v>
      </c>
      <c r="BE1690" s="267" t="s">
        <v>3968</v>
      </c>
      <c r="BF1690" s="267" t="s">
        <v>3969</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3970</v>
      </c>
      <c r="E1691" s="35" t="s">
        <v>3971</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3972</v>
      </c>
      <c r="BF1691" s="60" t="s">
        <v>3973</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3974</v>
      </c>
      <c r="E1692" s="20" t="s">
        <v>3975</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1854</v>
      </c>
      <c r="AY1692" s="19" t="s">
        <v>204</v>
      </c>
      <c r="AZ1692" s="19" t="s">
        <v>2087</v>
      </c>
      <c r="BA1692" s="20" t="s">
        <v>206</v>
      </c>
      <c r="BB1692" s="19">
        <v>0</v>
      </c>
      <c r="BC1692" s="31">
        <v>0</v>
      </c>
      <c r="BD1692" s="31">
        <v>1</v>
      </c>
      <c r="BE1692" s="267" t="s">
        <v>3684</v>
      </c>
      <c r="BF1692" s="267" t="s">
        <v>3976</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3977</v>
      </c>
      <c r="E1693" s="179" t="s">
        <v>3978</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1854</v>
      </c>
      <c r="AY1693" s="180" t="s">
        <v>204</v>
      </c>
      <c r="AZ1693" s="180">
        <v>0</v>
      </c>
      <c r="BA1693" s="179" t="s">
        <v>206</v>
      </c>
      <c r="BB1693" s="180">
        <v>0</v>
      </c>
      <c r="BC1693" s="180">
        <v>0</v>
      </c>
      <c r="BD1693" s="31">
        <v>1</v>
      </c>
      <c r="BE1693" s="269" t="s">
        <v>3979</v>
      </c>
      <c r="BF1693" s="269" t="s">
        <v>3980</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3981</v>
      </c>
      <c r="E1694" s="35" t="s">
        <v>3982</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3983</v>
      </c>
      <c r="BF1694" s="267" t="s">
        <v>3984</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3985</v>
      </c>
      <c r="E1695" s="35" t="s">
        <v>3986</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3987</v>
      </c>
      <c r="BC1695" s="31">
        <v>0</v>
      </c>
      <c r="BD1695" s="31">
        <v>1</v>
      </c>
      <c r="BE1695" s="60" t="s">
        <v>3988</v>
      </c>
      <c r="BF1695" s="60" t="s">
        <v>3989</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3990</v>
      </c>
      <c r="E1696" s="35" t="s">
        <v>3991</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3992</v>
      </c>
      <c r="BC1696" s="31">
        <v>0</v>
      </c>
      <c r="BD1696" s="31">
        <v>1</v>
      </c>
      <c r="BE1696" s="60" t="s">
        <v>3993</v>
      </c>
      <c r="BF1696" s="60" t="s">
        <v>3994</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3995</v>
      </c>
      <c r="E1697" s="35" t="s">
        <v>3996</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3997</v>
      </c>
      <c r="BF1697" s="60" t="s">
        <v>3998</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3999</v>
      </c>
      <c r="E1698" s="35" t="s">
        <v>4000</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4001</v>
      </c>
      <c r="BF1698" s="35" t="s">
        <v>4002</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3999</v>
      </c>
      <c r="E1699" s="35" t="s">
        <v>4000</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4003</v>
      </c>
      <c r="BF1699" s="35" t="s">
        <v>4004</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3999</v>
      </c>
      <c r="E1700" s="35" t="s">
        <v>4000</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4005</v>
      </c>
      <c r="BF1700" s="35" t="s">
        <v>4006</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3999</v>
      </c>
      <c r="E1701" s="35" t="s">
        <v>4000</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4007</v>
      </c>
      <c r="BF1701" s="35" t="s">
        <v>4008</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3999</v>
      </c>
      <c r="E1702" s="35" t="s">
        <v>4000</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4009</v>
      </c>
      <c r="BF1702" s="35" t="s">
        <v>4010</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3999</v>
      </c>
      <c r="E1703" s="35" t="s">
        <v>4000</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4011</v>
      </c>
      <c r="BF1703" s="35" t="s">
        <v>4012</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3999</v>
      </c>
      <c r="E1704" s="35" t="s">
        <v>4000</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4013</v>
      </c>
      <c r="BF1704" s="35" t="s">
        <v>4014</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3999</v>
      </c>
      <c r="E1705" s="35" t="s">
        <v>4000</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4015</v>
      </c>
      <c r="BF1705" s="35" t="s">
        <v>4016</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3999</v>
      </c>
      <c r="E1706" s="35" t="s">
        <v>4000</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4017</v>
      </c>
      <c r="BF1706" s="35" t="s">
        <v>4018</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3999</v>
      </c>
      <c r="E1707" s="35" t="s">
        <v>4000</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4019</v>
      </c>
      <c r="BF1707" s="35" t="s">
        <v>4020</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3999</v>
      </c>
      <c r="E1708" s="35" t="s">
        <v>4000</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4021</v>
      </c>
      <c r="BF1708" s="35" t="s">
        <v>4022</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3999</v>
      </c>
      <c r="E1709" s="35" t="s">
        <v>4000</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4023</v>
      </c>
      <c r="BF1709" s="35" t="s">
        <v>4024</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4025</v>
      </c>
      <c r="BC1710" s="31">
        <v>0</v>
      </c>
      <c r="BD1710" s="31">
        <v>1</v>
      </c>
      <c r="BE1710" s="270" t="s">
        <v>4026</v>
      </c>
      <c r="BF1710" s="270" t="s">
        <v>4027</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4028</v>
      </c>
      <c r="E1711" s="35" t="s">
        <v>4029</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4030</v>
      </c>
      <c r="BC1711" s="31">
        <v>0</v>
      </c>
      <c r="BD1711" s="31">
        <v>1</v>
      </c>
      <c r="BE1711" s="270" t="s">
        <v>4031</v>
      </c>
      <c r="BF1711" s="270" t="s">
        <v>4032</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4033</v>
      </c>
      <c r="E1712" s="35" t="s">
        <v>4034</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4035</v>
      </c>
      <c r="BC1712" s="31">
        <v>0</v>
      </c>
      <c r="BD1712" s="31">
        <v>1</v>
      </c>
      <c r="BE1712" s="270" t="s">
        <v>4036</v>
      </c>
      <c r="BF1712" s="270" t="s">
        <v>4037</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4038</v>
      </c>
      <c r="E1713" s="35" t="s">
        <v>4039</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4040</v>
      </c>
      <c r="BC1713" s="31">
        <v>0</v>
      </c>
      <c r="BD1713" s="31">
        <v>1</v>
      </c>
      <c r="BE1713" s="270" t="s">
        <v>4041</v>
      </c>
      <c r="BF1713" s="270" t="s">
        <v>4042</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4043</v>
      </c>
      <c r="E1714" s="35" t="s">
        <v>4044</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4045</v>
      </c>
      <c r="BC1714" s="31">
        <v>0</v>
      </c>
      <c r="BD1714" s="31">
        <v>1</v>
      </c>
      <c r="BE1714" s="270" t="s">
        <v>4046</v>
      </c>
      <c r="BF1714" s="270" t="s">
        <v>4047</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4048</v>
      </c>
      <c r="E1715" s="35" t="s">
        <v>4049</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4050</v>
      </c>
      <c r="BC1715" s="31">
        <v>0</v>
      </c>
      <c r="BD1715" s="31">
        <v>1</v>
      </c>
      <c r="BE1715" s="270" t="s">
        <v>4051</v>
      </c>
      <c r="BF1715" s="270" t="s">
        <v>4052</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4053</v>
      </c>
      <c r="E1716" s="35" t="s">
        <v>4054</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3543</v>
      </c>
      <c r="BC1716" s="31">
        <v>0</v>
      </c>
      <c r="BD1716" s="31">
        <v>1</v>
      </c>
      <c r="BE1716" s="270" t="s">
        <v>3544</v>
      </c>
      <c r="BF1716" s="270" t="s">
        <v>4055</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4056</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4057</v>
      </c>
      <c r="BF1717" s="260" t="s">
        <v>4058</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4059</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4060</v>
      </c>
      <c r="BF1718" s="260" t="s">
        <v>4061</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1376</v>
      </c>
      <c r="E1719" s="260" t="s">
        <v>1646</v>
      </c>
      <c r="F1719" s="69">
        <v>1</v>
      </c>
      <c r="G1719" s="69">
        <v>61011301</v>
      </c>
      <c r="H1719" s="59">
        <v>0</v>
      </c>
      <c r="I1719" s="59">
        <v>0</v>
      </c>
      <c r="J1719" s="69">
        <v>1</v>
      </c>
      <c r="K1719" s="69">
        <v>0</v>
      </c>
      <c r="L1719" s="59">
        <v>0</v>
      </c>
      <c r="M1719" s="59">
        <v>0</v>
      </c>
      <c r="N1719" s="59" t="s">
        <v>4062</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4063</v>
      </c>
      <c r="BF1719" s="260" t="s">
        <v>4064</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4065</v>
      </c>
      <c r="E1720" s="260" t="s">
        <v>4066</v>
      </c>
      <c r="F1720" s="69">
        <v>1</v>
      </c>
      <c r="G1720" s="69">
        <v>61021401</v>
      </c>
      <c r="H1720" s="59">
        <v>0</v>
      </c>
      <c r="I1720" s="59">
        <v>0</v>
      </c>
      <c r="J1720" s="69">
        <v>1</v>
      </c>
      <c r="K1720" s="69">
        <v>0</v>
      </c>
      <c r="L1720" s="59">
        <v>0</v>
      </c>
      <c r="M1720" s="59">
        <v>0</v>
      </c>
      <c r="N1720" s="59" t="s">
        <v>3721</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3719</v>
      </c>
      <c r="BF1720" s="260" t="s">
        <v>4067</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4068</v>
      </c>
      <c r="E1721" s="260" t="s">
        <v>4069</v>
      </c>
      <c r="F1721" s="69">
        <v>1</v>
      </c>
      <c r="G1721" s="69">
        <v>61021201</v>
      </c>
      <c r="H1721" s="59">
        <v>0</v>
      </c>
      <c r="I1721" s="59">
        <v>0</v>
      </c>
      <c r="J1721" s="69">
        <v>1</v>
      </c>
      <c r="K1721" s="69">
        <v>0</v>
      </c>
      <c r="L1721" s="59">
        <v>0</v>
      </c>
      <c r="M1721" s="59">
        <v>0</v>
      </c>
      <c r="N1721" s="59" t="s">
        <v>3724</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3722</v>
      </c>
      <c r="BF1721" s="260" t="s">
        <v>4070</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4071</v>
      </c>
      <c r="E1722" s="260" t="s">
        <v>4072</v>
      </c>
      <c r="F1722" s="69">
        <v>1</v>
      </c>
      <c r="G1722" s="69">
        <v>61021301</v>
      </c>
      <c r="H1722" s="59">
        <v>0</v>
      </c>
      <c r="I1722" s="59">
        <v>0</v>
      </c>
      <c r="J1722" s="69">
        <v>1</v>
      </c>
      <c r="K1722" s="69">
        <v>0</v>
      </c>
      <c r="L1722" s="59">
        <v>0</v>
      </c>
      <c r="M1722" s="59">
        <v>0</v>
      </c>
      <c r="N1722" s="59" t="s">
        <v>3727</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3725</v>
      </c>
      <c r="BF1722" s="260" t="s">
        <v>4073</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4074</v>
      </c>
      <c r="E1723" s="260" t="s">
        <v>4075</v>
      </c>
      <c r="F1723" s="69">
        <v>1</v>
      </c>
      <c r="G1723" s="69">
        <v>61021402</v>
      </c>
      <c r="H1723" s="59">
        <v>0</v>
      </c>
      <c r="I1723" s="59">
        <v>0</v>
      </c>
      <c r="J1723" s="69">
        <v>1</v>
      </c>
      <c r="K1723" s="69">
        <v>0</v>
      </c>
      <c r="L1723" s="59">
        <v>0</v>
      </c>
      <c r="M1723" s="59">
        <v>0</v>
      </c>
      <c r="N1723" s="59" t="s">
        <v>3730</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3728</v>
      </c>
      <c r="BF1723" s="260" t="s">
        <v>4076</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4077</v>
      </c>
      <c r="E1724" s="260" t="s">
        <v>564</v>
      </c>
      <c r="F1724" s="69">
        <v>1</v>
      </c>
      <c r="G1724" s="69">
        <v>61022101</v>
      </c>
      <c r="H1724" s="59">
        <v>0</v>
      </c>
      <c r="I1724" s="59">
        <v>0</v>
      </c>
      <c r="J1724" s="69">
        <v>1</v>
      </c>
      <c r="K1724" s="69">
        <v>0</v>
      </c>
      <c r="L1724" s="59">
        <v>0</v>
      </c>
      <c r="M1724" s="59">
        <v>0</v>
      </c>
      <c r="N1724" s="59" t="s">
        <v>3733</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3731</v>
      </c>
      <c r="BF1724" s="260" t="s">
        <v>4078</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4079</v>
      </c>
      <c r="E1725" s="260" t="s">
        <v>4080</v>
      </c>
      <c r="F1725" s="69">
        <v>1</v>
      </c>
      <c r="G1725" s="69">
        <v>61022201</v>
      </c>
      <c r="H1725" s="59">
        <v>0</v>
      </c>
      <c r="I1725" s="59">
        <v>0</v>
      </c>
      <c r="J1725" s="69">
        <v>1</v>
      </c>
      <c r="K1725" s="69">
        <v>0</v>
      </c>
      <c r="L1725" s="59">
        <v>0</v>
      </c>
      <c r="M1725" s="59">
        <v>0</v>
      </c>
      <c r="N1725" s="59" t="s">
        <v>3736</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3734</v>
      </c>
      <c r="BF1725" s="260" t="s">
        <v>4081</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4082</v>
      </c>
      <c r="E1726" s="260" t="s">
        <v>1770</v>
      </c>
      <c r="F1726" s="69">
        <v>1</v>
      </c>
      <c r="G1726" s="69">
        <v>61022301</v>
      </c>
      <c r="H1726" s="59">
        <v>0</v>
      </c>
      <c r="I1726" s="59">
        <v>0</v>
      </c>
      <c r="J1726" s="69">
        <v>1</v>
      </c>
      <c r="K1726" s="69">
        <v>0</v>
      </c>
      <c r="L1726" s="59">
        <v>0</v>
      </c>
      <c r="M1726" s="59">
        <v>0</v>
      </c>
      <c r="N1726" s="59" t="s">
        <v>3739</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3737</v>
      </c>
      <c r="BF1726" s="260" t="s">
        <v>4083</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4084</v>
      </c>
      <c r="E1727" s="260" t="s">
        <v>1740</v>
      </c>
      <c r="F1727" s="69">
        <v>1</v>
      </c>
      <c r="G1727" s="69">
        <v>61022401</v>
      </c>
      <c r="H1727" s="59">
        <v>0</v>
      </c>
      <c r="I1727" s="59">
        <v>0</v>
      </c>
      <c r="J1727" s="69">
        <v>1</v>
      </c>
      <c r="K1727" s="69">
        <v>0</v>
      </c>
      <c r="L1727" s="59">
        <v>0</v>
      </c>
      <c r="M1727" s="59">
        <v>0</v>
      </c>
      <c r="N1727" s="59" t="s">
        <v>3742</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3740</v>
      </c>
      <c r="BF1727" s="260" t="s">
        <v>4085</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4086</v>
      </c>
      <c r="E1728" s="260" t="s">
        <v>1797</v>
      </c>
      <c r="F1728" s="69">
        <v>1</v>
      </c>
      <c r="G1728" s="69">
        <v>61023101</v>
      </c>
      <c r="H1728" s="59">
        <v>0</v>
      </c>
      <c r="I1728" s="59">
        <v>0</v>
      </c>
      <c r="J1728" s="69">
        <v>1</v>
      </c>
      <c r="K1728" s="69">
        <v>0</v>
      </c>
      <c r="L1728" s="59">
        <v>0</v>
      </c>
      <c r="M1728" s="59">
        <v>0</v>
      </c>
      <c r="N1728" s="59" t="s">
        <v>3745</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3743</v>
      </c>
      <c r="BF1728" s="260" t="s">
        <v>4087</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4088</v>
      </c>
      <c r="E1729" s="260" t="s">
        <v>1805</v>
      </c>
      <c r="F1729" s="69">
        <v>1</v>
      </c>
      <c r="G1729" s="69">
        <v>61023201</v>
      </c>
      <c r="H1729" s="59">
        <v>0</v>
      </c>
      <c r="I1729" s="59">
        <v>0</v>
      </c>
      <c r="J1729" s="69">
        <v>1</v>
      </c>
      <c r="K1729" s="69">
        <v>0</v>
      </c>
      <c r="L1729" s="59">
        <v>0</v>
      </c>
      <c r="M1729" s="59">
        <v>0</v>
      </c>
      <c r="N1729" s="59" t="s">
        <v>3748</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3746</v>
      </c>
      <c r="BF1729" s="260" t="s">
        <v>4089</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4090</v>
      </c>
      <c r="E1730" s="260" t="s">
        <v>1826</v>
      </c>
      <c r="F1730" s="69">
        <v>1</v>
      </c>
      <c r="G1730" s="69">
        <v>61023301</v>
      </c>
      <c r="H1730" s="59">
        <v>0</v>
      </c>
      <c r="I1730" s="59">
        <v>0</v>
      </c>
      <c r="J1730" s="69">
        <v>1</v>
      </c>
      <c r="K1730" s="69">
        <v>0</v>
      </c>
      <c r="L1730" s="59">
        <v>0</v>
      </c>
      <c r="M1730" s="59">
        <v>0</v>
      </c>
      <c r="N1730" s="59" t="s">
        <v>3751</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3749</v>
      </c>
      <c r="BF1730" s="260" t="s">
        <v>4091</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4092</v>
      </c>
      <c r="E1731" s="260" t="s">
        <v>4093</v>
      </c>
      <c r="F1731" s="69">
        <v>1</v>
      </c>
      <c r="G1731" s="69">
        <v>61023401</v>
      </c>
      <c r="H1731" s="59">
        <v>0</v>
      </c>
      <c r="I1731" s="59">
        <v>0</v>
      </c>
      <c r="J1731" s="69">
        <v>1</v>
      </c>
      <c r="K1731" s="69">
        <v>0</v>
      </c>
      <c r="L1731" s="59">
        <v>0</v>
      </c>
      <c r="M1731" s="59">
        <v>0</v>
      </c>
      <c r="N1731" s="59" t="s">
        <v>3754</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3752</v>
      </c>
      <c r="BF1731" s="260" t="s">
        <v>4094</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4095</v>
      </c>
      <c r="E1732" s="260" t="s">
        <v>1853</v>
      </c>
      <c r="F1732" s="69">
        <v>1</v>
      </c>
      <c r="G1732" s="69">
        <v>62011101</v>
      </c>
      <c r="H1732" s="59">
        <v>0</v>
      </c>
      <c r="I1732" s="59">
        <v>0</v>
      </c>
      <c r="J1732" s="69">
        <v>1</v>
      </c>
      <c r="K1732" s="69">
        <v>0</v>
      </c>
      <c r="L1732" s="59">
        <v>0</v>
      </c>
      <c r="M1732" s="59">
        <v>0</v>
      </c>
      <c r="N1732" s="59" t="s">
        <v>4096</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4097</v>
      </c>
      <c r="BF1732" s="260" t="s">
        <v>4098</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4099</v>
      </c>
      <c r="E1733" s="260" t="s">
        <v>1861</v>
      </c>
      <c r="F1733" s="69">
        <v>1</v>
      </c>
      <c r="G1733" s="69">
        <v>62011201</v>
      </c>
      <c r="H1733" s="59">
        <v>0</v>
      </c>
      <c r="I1733" s="59">
        <v>0</v>
      </c>
      <c r="J1733" s="69">
        <v>1</v>
      </c>
      <c r="K1733" s="69">
        <v>0</v>
      </c>
      <c r="L1733" s="59">
        <v>0</v>
      </c>
      <c r="M1733" s="59">
        <v>0</v>
      </c>
      <c r="N1733" s="59" t="s">
        <v>4100</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4101</v>
      </c>
      <c r="BF1733" s="260" t="s">
        <v>4102</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4103</v>
      </c>
      <c r="E1734" s="260" t="s">
        <v>1869</v>
      </c>
      <c r="F1734" s="69">
        <v>1</v>
      </c>
      <c r="G1734" s="69">
        <v>62011301</v>
      </c>
      <c r="H1734" s="59">
        <v>0</v>
      </c>
      <c r="I1734" s="59">
        <v>0</v>
      </c>
      <c r="J1734" s="69">
        <v>1</v>
      </c>
      <c r="K1734" s="69">
        <v>0</v>
      </c>
      <c r="L1734" s="59">
        <v>0</v>
      </c>
      <c r="M1734" s="59">
        <v>0</v>
      </c>
      <c r="N1734" s="59" t="s">
        <v>4104</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4105</v>
      </c>
      <c r="BF1734" s="260" t="s">
        <v>4106</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4107</v>
      </c>
      <c r="E1735" s="260" t="s">
        <v>1680</v>
      </c>
      <c r="F1735" s="69">
        <v>1</v>
      </c>
      <c r="G1735" s="69">
        <v>62021101</v>
      </c>
      <c r="H1735" s="59">
        <v>0</v>
      </c>
      <c r="I1735" s="59">
        <v>0</v>
      </c>
      <c r="J1735" s="69">
        <v>1</v>
      </c>
      <c r="K1735" s="69">
        <v>0</v>
      </c>
      <c r="L1735" s="59">
        <v>0</v>
      </c>
      <c r="M1735" s="59">
        <v>0</v>
      </c>
      <c r="N1735" s="59" t="s">
        <v>3772</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3770</v>
      </c>
      <c r="BF1735" s="260" t="s">
        <v>4108</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4109</v>
      </c>
      <c r="E1736" s="260" t="s">
        <v>1331</v>
      </c>
      <c r="F1736" s="69">
        <v>1</v>
      </c>
      <c r="G1736" s="69">
        <v>62021301</v>
      </c>
      <c r="H1736" s="59">
        <v>0</v>
      </c>
      <c r="I1736" s="59">
        <v>0</v>
      </c>
      <c r="J1736" s="69">
        <v>1</v>
      </c>
      <c r="K1736" s="69">
        <v>0</v>
      </c>
      <c r="L1736" s="59">
        <v>0</v>
      </c>
      <c r="M1736" s="59">
        <v>0</v>
      </c>
      <c r="N1736" s="59" t="s">
        <v>3775</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3773</v>
      </c>
      <c r="BF1736" s="260" t="s">
        <v>4110</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4111</v>
      </c>
      <c r="E1737" s="260" t="s">
        <v>374</v>
      </c>
      <c r="F1737" s="69">
        <v>1</v>
      </c>
      <c r="G1737" s="69">
        <v>62021401</v>
      </c>
      <c r="H1737" s="59">
        <v>0</v>
      </c>
      <c r="I1737" s="59">
        <v>0</v>
      </c>
      <c r="J1737" s="69">
        <v>1</v>
      </c>
      <c r="K1737" s="69">
        <v>0</v>
      </c>
      <c r="L1737" s="59">
        <v>0</v>
      </c>
      <c r="M1737" s="59">
        <v>0</v>
      </c>
      <c r="N1737" s="59" t="s">
        <v>3778</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3776</v>
      </c>
      <c r="BF1737" s="260" t="s">
        <v>4112</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4113</v>
      </c>
      <c r="E1738" s="260" t="s">
        <v>4114</v>
      </c>
      <c r="F1738" s="69">
        <v>1</v>
      </c>
      <c r="G1738" s="69">
        <v>62021501</v>
      </c>
      <c r="H1738" s="59">
        <v>0</v>
      </c>
      <c r="I1738" s="59">
        <v>0</v>
      </c>
      <c r="J1738" s="69">
        <v>1</v>
      </c>
      <c r="K1738" s="69">
        <v>0</v>
      </c>
      <c r="L1738" s="59">
        <v>0</v>
      </c>
      <c r="M1738" s="59">
        <v>0</v>
      </c>
      <c r="N1738" s="59" t="s">
        <v>3781</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3779</v>
      </c>
      <c r="BF1738" s="260" t="s">
        <v>4115</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4116</v>
      </c>
      <c r="E1739" s="260" t="s">
        <v>4117</v>
      </c>
      <c r="F1739" s="69">
        <v>1</v>
      </c>
      <c r="G1739" s="69">
        <v>62022101</v>
      </c>
      <c r="H1739" s="59">
        <v>0</v>
      </c>
      <c r="I1739" s="59">
        <v>0</v>
      </c>
      <c r="J1739" s="69">
        <v>1</v>
      </c>
      <c r="K1739" s="69">
        <v>0</v>
      </c>
      <c r="L1739" s="59">
        <v>0</v>
      </c>
      <c r="M1739" s="59">
        <v>0</v>
      </c>
      <c r="N1739" s="59" t="s">
        <v>3784</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3782</v>
      </c>
      <c r="BF1739" s="260" t="s">
        <v>4118</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4119</v>
      </c>
      <c r="E1740" s="260" t="s">
        <v>4120</v>
      </c>
      <c r="F1740" s="69">
        <v>1</v>
      </c>
      <c r="G1740" s="69">
        <v>62022201</v>
      </c>
      <c r="H1740" s="59">
        <v>0</v>
      </c>
      <c r="I1740" s="59">
        <v>0</v>
      </c>
      <c r="J1740" s="69">
        <v>1</v>
      </c>
      <c r="K1740" s="69">
        <v>0</v>
      </c>
      <c r="L1740" s="59">
        <v>0</v>
      </c>
      <c r="M1740" s="59">
        <v>0</v>
      </c>
      <c r="N1740" s="59" t="s">
        <v>3787</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3785</v>
      </c>
      <c r="BF1740" s="260" t="s">
        <v>4121</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4122</v>
      </c>
      <c r="E1741" s="260" t="s">
        <v>1971</v>
      </c>
      <c r="F1741" s="69">
        <v>1</v>
      </c>
      <c r="G1741" s="69">
        <v>62022301</v>
      </c>
      <c r="H1741" s="59">
        <v>0</v>
      </c>
      <c r="I1741" s="59">
        <v>0</v>
      </c>
      <c r="J1741" s="69">
        <v>1</v>
      </c>
      <c r="K1741" s="69">
        <v>0</v>
      </c>
      <c r="L1741" s="59">
        <v>0</v>
      </c>
      <c r="M1741" s="59">
        <v>0</v>
      </c>
      <c r="N1741" s="59" t="s">
        <v>3790</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3788</v>
      </c>
      <c r="BF1741" s="260" t="s">
        <v>4123</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4124</v>
      </c>
      <c r="E1742" s="260" t="s">
        <v>4125</v>
      </c>
      <c r="F1742" s="69">
        <v>1</v>
      </c>
      <c r="G1742" s="69">
        <v>62022401</v>
      </c>
      <c r="H1742" s="59">
        <v>0</v>
      </c>
      <c r="I1742" s="59">
        <v>0</v>
      </c>
      <c r="J1742" s="69">
        <v>1</v>
      </c>
      <c r="K1742" s="69">
        <v>0</v>
      </c>
      <c r="L1742" s="59">
        <v>0</v>
      </c>
      <c r="M1742" s="59">
        <v>0</v>
      </c>
      <c r="N1742" s="59" t="s">
        <v>3793</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3791</v>
      </c>
      <c r="BF1742" s="260" t="s">
        <v>4126</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4127</v>
      </c>
      <c r="E1743" s="260" t="s">
        <v>347</v>
      </c>
      <c r="F1743" s="69">
        <v>1</v>
      </c>
      <c r="G1743" s="69">
        <v>62021101</v>
      </c>
      <c r="H1743" s="59">
        <v>0</v>
      </c>
      <c r="I1743" s="59">
        <v>0</v>
      </c>
      <c r="J1743" s="69">
        <v>1</v>
      </c>
      <c r="K1743" s="69">
        <v>0</v>
      </c>
      <c r="L1743" s="59">
        <v>0</v>
      </c>
      <c r="M1743" s="59">
        <v>0</v>
      </c>
      <c r="N1743" s="59" t="s">
        <v>3796</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3794</v>
      </c>
      <c r="BF1743" s="260" t="s">
        <v>4128</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4129</v>
      </c>
      <c r="E1744" s="260" t="s">
        <v>4130</v>
      </c>
      <c r="F1744" s="69">
        <v>1</v>
      </c>
      <c r="G1744" s="69">
        <v>62023201</v>
      </c>
      <c r="H1744" s="59">
        <v>0</v>
      </c>
      <c r="I1744" s="59">
        <v>0</v>
      </c>
      <c r="J1744" s="69">
        <v>1</v>
      </c>
      <c r="K1744" s="69">
        <v>0</v>
      </c>
      <c r="L1744" s="59">
        <v>0</v>
      </c>
      <c r="M1744" s="59">
        <v>0</v>
      </c>
      <c r="N1744" s="59" t="s">
        <v>3799</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3797</v>
      </c>
      <c r="BF1744" s="260" t="s">
        <v>4131</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4132</v>
      </c>
      <c r="E1745" s="260" t="s">
        <v>2026</v>
      </c>
      <c r="F1745" s="69">
        <v>1</v>
      </c>
      <c r="G1745" s="69">
        <v>62023301</v>
      </c>
      <c r="H1745" s="59">
        <v>0</v>
      </c>
      <c r="I1745" s="59">
        <v>0</v>
      </c>
      <c r="J1745" s="69">
        <v>1</v>
      </c>
      <c r="K1745" s="69">
        <v>0</v>
      </c>
      <c r="L1745" s="59">
        <v>0</v>
      </c>
      <c r="M1745" s="59">
        <v>0</v>
      </c>
      <c r="N1745" s="59" t="s">
        <v>3802</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3800</v>
      </c>
      <c r="BF1745" s="260" t="s">
        <v>4133</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4134</v>
      </c>
      <c r="E1746" s="260" t="s">
        <v>4135</v>
      </c>
      <c r="F1746" s="69">
        <v>1</v>
      </c>
      <c r="G1746" s="69">
        <v>62023401</v>
      </c>
      <c r="H1746" s="59">
        <v>0</v>
      </c>
      <c r="I1746" s="59">
        <v>0</v>
      </c>
      <c r="J1746" s="69">
        <v>1</v>
      </c>
      <c r="K1746" s="69">
        <v>0</v>
      </c>
      <c r="L1746" s="59">
        <v>0</v>
      </c>
      <c r="M1746" s="59">
        <v>0</v>
      </c>
      <c r="N1746" s="59" t="s">
        <v>3805</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3803</v>
      </c>
      <c r="BF1746" s="260" t="s">
        <v>4136</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1405</v>
      </c>
      <c r="E1747" s="271" t="s">
        <v>2049</v>
      </c>
      <c r="F1747" s="272">
        <v>1</v>
      </c>
      <c r="G1747" s="69">
        <v>63011101</v>
      </c>
      <c r="H1747" s="273">
        <v>0</v>
      </c>
      <c r="I1747" s="273">
        <v>0</v>
      </c>
      <c r="J1747" s="272">
        <v>1</v>
      </c>
      <c r="K1747" s="272">
        <v>0</v>
      </c>
      <c r="L1747" s="273">
        <v>0</v>
      </c>
      <c r="M1747" s="273">
        <v>0</v>
      </c>
      <c r="N1747" s="273" t="s">
        <v>4137</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4138</v>
      </c>
      <c r="BF1747" s="273" t="s">
        <v>4139</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1413</v>
      </c>
      <c r="E1748" s="271" t="s">
        <v>2063</v>
      </c>
      <c r="F1748" s="272">
        <v>1</v>
      </c>
      <c r="G1748" s="69">
        <v>63011201</v>
      </c>
      <c r="H1748" s="273">
        <v>0</v>
      </c>
      <c r="I1748" s="273">
        <v>0</v>
      </c>
      <c r="J1748" s="272">
        <v>1</v>
      </c>
      <c r="K1748" s="272">
        <v>0</v>
      </c>
      <c r="L1748" s="273">
        <v>0</v>
      </c>
      <c r="M1748" s="273">
        <v>0</v>
      </c>
      <c r="N1748" s="273" t="s">
        <v>4140</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4141</v>
      </c>
      <c r="BF1748" s="273" t="s">
        <v>4142</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1421</v>
      </c>
      <c r="E1749" s="271" t="s">
        <v>2125</v>
      </c>
      <c r="F1749" s="272">
        <v>1</v>
      </c>
      <c r="G1749" s="69">
        <v>63011301</v>
      </c>
      <c r="H1749" s="273">
        <v>0</v>
      </c>
      <c r="I1749" s="273">
        <v>0</v>
      </c>
      <c r="J1749" s="272">
        <v>1</v>
      </c>
      <c r="K1749" s="272">
        <v>0</v>
      </c>
      <c r="L1749" s="273">
        <v>0</v>
      </c>
      <c r="M1749" s="273">
        <v>0</v>
      </c>
      <c r="N1749" s="273" t="s">
        <v>4143</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4144</v>
      </c>
      <c r="BF1749" s="273" t="s">
        <v>4145</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2140</v>
      </c>
      <c r="E1750" s="271" t="s">
        <v>2141</v>
      </c>
      <c r="F1750" s="272">
        <v>1</v>
      </c>
      <c r="G1750" s="69">
        <v>63021101</v>
      </c>
      <c r="H1750" s="273">
        <v>0</v>
      </c>
      <c r="I1750" s="273">
        <v>0</v>
      </c>
      <c r="J1750" s="272">
        <v>1</v>
      </c>
      <c r="K1750" s="272">
        <v>0</v>
      </c>
      <c r="L1750" s="273">
        <v>0</v>
      </c>
      <c r="M1750" s="273">
        <v>0</v>
      </c>
      <c r="N1750" s="273" t="s">
        <v>3822</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3820</v>
      </c>
      <c r="BF1750" s="273" t="s">
        <v>4146</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2164</v>
      </c>
      <c r="E1751" s="271" t="s">
        <v>2165</v>
      </c>
      <c r="F1751" s="272">
        <v>1</v>
      </c>
      <c r="G1751" s="69">
        <v>63021201</v>
      </c>
      <c r="H1751" s="273">
        <v>0</v>
      </c>
      <c r="I1751" s="273">
        <v>0</v>
      </c>
      <c r="J1751" s="272">
        <v>1</v>
      </c>
      <c r="K1751" s="272">
        <v>0</v>
      </c>
      <c r="L1751" s="273">
        <v>0</v>
      </c>
      <c r="M1751" s="273">
        <v>0</v>
      </c>
      <c r="N1751" s="273" t="s">
        <v>3825</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3823</v>
      </c>
      <c r="BF1751" s="273" t="s">
        <v>4147</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2188</v>
      </c>
      <c r="E1752" s="271" t="s">
        <v>2189</v>
      </c>
      <c r="F1752" s="272">
        <v>1</v>
      </c>
      <c r="G1752" s="69">
        <v>63021301</v>
      </c>
      <c r="H1752" s="273">
        <v>0</v>
      </c>
      <c r="I1752" s="273">
        <v>0</v>
      </c>
      <c r="J1752" s="272">
        <v>1</v>
      </c>
      <c r="K1752" s="272">
        <v>0</v>
      </c>
      <c r="L1752" s="273">
        <v>0</v>
      </c>
      <c r="M1752" s="273">
        <v>0</v>
      </c>
      <c r="N1752" s="273" t="s">
        <v>3828</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3826</v>
      </c>
      <c r="BF1752" s="273" t="s">
        <v>4148</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2195</v>
      </c>
      <c r="E1753" s="271" t="s">
        <v>2196</v>
      </c>
      <c r="F1753" s="272">
        <v>1</v>
      </c>
      <c r="G1753" s="69">
        <v>63021401</v>
      </c>
      <c r="H1753" s="273">
        <v>0</v>
      </c>
      <c r="I1753" s="273">
        <v>0</v>
      </c>
      <c r="J1753" s="272">
        <v>1</v>
      </c>
      <c r="K1753" s="272">
        <v>0</v>
      </c>
      <c r="L1753" s="273">
        <v>0</v>
      </c>
      <c r="M1753" s="273">
        <v>0</v>
      </c>
      <c r="N1753" s="273" t="s">
        <v>3831</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3829</v>
      </c>
      <c r="BF1753" s="273" t="s">
        <v>4149</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2228</v>
      </c>
      <c r="E1754" s="271" t="s">
        <v>2229</v>
      </c>
      <c r="F1754" s="272">
        <v>1</v>
      </c>
      <c r="G1754" s="69">
        <v>63022101</v>
      </c>
      <c r="H1754" s="273">
        <v>0</v>
      </c>
      <c r="I1754" s="273">
        <v>0</v>
      </c>
      <c r="J1754" s="272">
        <v>1</v>
      </c>
      <c r="K1754" s="272">
        <v>0</v>
      </c>
      <c r="L1754" s="273">
        <v>0</v>
      </c>
      <c r="M1754" s="273">
        <v>0</v>
      </c>
      <c r="N1754" s="273" t="s">
        <v>3834</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3832</v>
      </c>
      <c r="BF1754" s="273" t="s">
        <v>4150</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2235</v>
      </c>
      <c r="E1755" s="271" t="s">
        <v>2236</v>
      </c>
      <c r="F1755" s="272">
        <v>1</v>
      </c>
      <c r="G1755" s="69">
        <v>63022201</v>
      </c>
      <c r="H1755" s="273">
        <v>0</v>
      </c>
      <c r="I1755" s="273">
        <v>0</v>
      </c>
      <c r="J1755" s="272">
        <v>1</v>
      </c>
      <c r="K1755" s="272">
        <v>0</v>
      </c>
      <c r="L1755" s="273">
        <v>0</v>
      </c>
      <c r="M1755" s="273">
        <v>0</v>
      </c>
      <c r="N1755" s="273" t="s">
        <v>3837</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3835</v>
      </c>
      <c r="BF1755" s="273" t="s">
        <v>4151</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3840</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3838</v>
      </c>
      <c r="BF1756" s="273" t="s">
        <v>4152</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2248</v>
      </c>
      <c r="E1757" s="271" t="s">
        <v>2249</v>
      </c>
      <c r="F1757" s="272">
        <v>1</v>
      </c>
      <c r="G1757" s="69">
        <v>63022401</v>
      </c>
      <c r="H1757" s="273">
        <v>0</v>
      </c>
      <c r="I1757" s="273">
        <v>0</v>
      </c>
      <c r="J1757" s="272">
        <v>1</v>
      </c>
      <c r="K1757" s="272">
        <v>0</v>
      </c>
      <c r="L1757" s="273">
        <v>0</v>
      </c>
      <c r="M1757" s="273">
        <v>0</v>
      </c>
      <c r="N1757" s="273" t="s">
        <v>3843</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3841</v>
      </c>
      <c r="BF1757" s="273" t="s">
        <v>4153</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2256</v>
      </c>
      <c r="E1758" s="271" t="s">
        <v>2257</v>
      </c>
      <c r="F1758" s="272">
        <v>1</v>
      </c>
      <c r="G1758" s="69">
        <v>63021101</v>
      </c>
      <c r="H1758" s="273">
        <v>0</v>
      </c>
      <c r="I1758" s="273">
        <v>0</v>
      </c>
      <c r="J1758" s="272">
        <v>1</v>
      </c>
      <c r="K1758" s="272">
        <v>0</v>
      </c>
      <c r="L1758" s="273">
        <v>0</v>
      </c>
      <c r="M1758" s="273">
        <v>0</v>
      </c>
      <c r="N1758" s="273" t="s">
        <v>3846</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3844</v>
      </c>
      <c r="BF1758" s="273" t="s">
        <v>4154</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2279</v>
      </c>
      <c r="E1759" s="271" t="s">
        <v>2280</v>
      </c>
      <c r="F1759" s="272">
        <v>1</v>
      </c>
      <c r="G1759" s="69">
        <v>63023201</v>
      </c>
      <c r="H1759" s="273">
        <v>0</v>
      </c>
      <c r="I1759" s="273">
        <v>0</v>
      </c>
      <c r="J1759" s="272">
        <v>1</v>
      </c>
      <c r="K1759" s="272">
        <v>0</v>
      </c>
      <c r="L1759" s="273">
        <v>0</v>
      </c>
      <c r="M1759" s="273">
        <v>0</v>
      </c>
      <c r="N1759" s="273" t="s">
        <v>3849</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3847</v>
      </c>
      <c r="BF1759" s="273" t="s">
        <v>4155</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2286</v>
      </c>
      <c r="E1760" s="271" t="s">
        <v>2287</v>
      </c>
      <c r="F1760" s="272">
        <v>1</v>
      </c>
      <c r="G1760" s="69">
        <v>63023301</v>
      </c>
      <c r="H1760" s="273">
        <v>0</v>
      </c>
      <c r="I1760" s="273">
        <v>0</v>
      </c>
      <c r="J1760" s="272">
        <v>1</v>
      </c>
      <c r="K1760" s="272">
        <v>0</v>
      </c>
      <c r="L1760" s="273">
        <v>0</v>
      </c>
      <c r="M1760" s="273">
        <v>0</v>
      </c>
      <c r="N1760" s="273" t="s">
        <v>3852</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3850</v>
      </c>
      <c r="BF1760" s="273" t="s">
        <v>4156</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2293</v>
      </c>
      <c r="E1761" s="271" t="s">
        <v>2294</v>
      </c>
      <c r="F1761" s="272">
        <v>1</v>
      </c>
      <c r="G1761" s="69">
        <v>63023401</v>
      </c>
      <c r="H1761" s="273">
        <v>0</v>
      </c>
      <c r="I1761" s="273">
        <v>0</v>
      </c>
      <c r="J1761" s="272">
        <v>1</v>
      </c>
      <c r="K1761" s="272">
        <v>0</v>
      </c>
      <c r="L1761" s="273">
        <v>0</v>
      </c>
      <c r="M1761" s="273">
        <v>0</v>
      </c>
      <c r="N1761" s="273" t="s">
        <v>3855</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3853</v>
      </c>
      <c r="BF1761" s="273" t="s">
        <v>4157</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1429</v>
      </c>
      <c r="E1762" s="260" t="s">
        <v>2333</v>
      </c>
      <c r="F1762" s="69">
        <v>1</v>
      </c>
      <c r="G1762" s="69">
        <v>64011101</v>
      </c>
      <c r="H1762" s="59">
        <v>0</v>
      </c>
      <c r="I1762" s="59">
        <v>0</v>
      </c>
      <c r="J1762" s="69">
        <v>1</v>
      </c>
      <c r="K1762" s="69">
        <v>0</v>
      </c>
      <c r="L1762" s="59">
        <v>0</v>
      </c>
      <c r="M1762" s="59">
        <v>0</v>
      </c>
      <c r="N1762" s="59" t="s">
        <v>4158</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4159</v>
      </c>
      <c r="BF1762" s="260" t="s">
        <v>4160</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1436</v>
      </c>
      <c r="E1763" s="260" t="s">
        <v>1437</v>
      </c>
      <c r="F1763" s="69">
        <v>1</v>
      </c>
      <c r="G1763" s="69">
        <v>64011201</v>
      </c>
      <c r="H1763" s="59">
        <v>0</v>
      </c>
      <c r="I1763" s="59">
        <v>0</v>
      </c>
      <c r="J1763" s="69">
        <v>1</v>
      </c>
      <c r="K1763" s="69">
        <v>0</v>
      </c>
      <c r="L1763" s="59">
        <v>0</v>
      </c>
      <c r="M1763" s="59">
        <v>0</v>
      </c>
      <c r="N1763" s="59" t="s">
        <v>4161</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4162</v>
      </c>
      <c r="BF1763" s="260" t="s">
        <v>4163</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2348</v>
      </c>
      <c r="E1764" s="260" t="s">
        <v>2349</v>
      </c>
      <c r="F1764" s="69">
        <v>1</v>
      </c>
      <c r="G1764" s="69">
        <v>64011301</v>
      </c>
      <c r="H1764" s="59">
        <v>0</v>
      </c>
      <c r="I1764" s="59">
        <v>0</v>
      </c>
      <c r="J1764" s="69">
        <v>1</v>
      </c>
      <c r="K1764" s="69">
        <v>0</v>
      </c>
      <c r="L1764" s="59">
        <v>0</v>
      </c>
      <c r="M1764" s="59">
        <v>0</v>
      </c>
      <c r="N1764" s="59" t="s">
        <v>4164</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4165</v>
      </c>
      <c r="BF1764" s="260" t="s">
        <v>4166</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2407</v>
      </c>
      <c r="E1765" s="260" t="s">
        <v>2408</v>
      </c>
      <c r="F1765" s="69">
        <v>1</v>
      </c>
      <c r="G1765" s="69">
        <v>64013101</v>
      </c>
      <c r="H1765" s="59">
        <v>0</v>
      </c>
      <c r="I1765" s="59">
        <v>0</v>
      </c>
      <c r="J1765" s="69">
        <v>1</v>
      </c>
      <c r="K1765" s="69">
        <v>0</v>
      </c>
      <c r="L1765" s="59">
        <v>0</v>
      </c>
      <c r="M1765" s="59">
        <v>0</v>
      </c>
      <c r="N1765" s="59" t="s">
        <v>4167</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4168</v>
      </c>
      <c r="BF1765" s="59" t="s">
        <v>4169</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2414</v>
      </c>
      <c r="E1766" s="260" t="s">
        <v>2415</v>
      </c>
      <c r="F1766" s="69">
        <v>1</v>
      </c>
      <c r="G1766" s="69">
        <v>64013201</v>
      </c>
      <c r="H1766" s="59">
        <v>0</v>
      </c>
      <c r="I1766" s="59">
        <v>0</v>
      </c>
      <c r="J1766" s="69">
        <v>1</v>
      </c>
      <c r="K1766" s="69">
        <v>0</v>
      </c>
      <c r="L1766" s="59">
        <v>0</v>
      </c>
      <c r="M1766" s="59">
        <v>0</v>
      </c>
      <c r="N1766" s="59" t="s">
        <v>4170</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4171</v>
      </c>
      <c r="BF1766" s="59" t="s">
        <v>4172</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2421</v>
      </c>
      <c r="E1767" s="260" t="s">
        <v>2422</v>
      </c>
      <c r="F1767" s="69">
        <v>1</v>
      </c>
      <c r="G1767" s="69">
        <v>64013301</v>
      </c>
      <c r="H1767" s="59">
        <v>0</v>
      </c>
      <c r="I1767" s="59">
        <v>0</v>
      </c>
      <c r="J1767" s="69">
        <v>1</v>
      </c>
      <c r="K1767" s="69">
        <v>0</v>
      </c>
      <c r="L1767" s="59">
        <v>0</v>
      </c>
      <c r="M1767" s="59">
        <v>0</v>
      </c>
      <c r="N1767" s="59" t="s">
        <v>4173</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4174</v>
      </c>
      <c r="BF1767" s="59" t="s">
        <v>4175</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2441</v>
      </c>
      <c r="E1768" s="260" t="s">
        <v>2442</v>
      </c>
      <c r="F1768" s="69">
        <v>1</v>
      </c>
      <c r="G1768" s="69">
        <v>64013401</v>
      </c>
      <c r="H1768" s="59">
        <v>0</v>
      </c>
      <c r="I1768" s="59">
        <v>0</v>
      </c>
      <c r="J1768" s="69">
        <v>1</v>
      </c>
      <c r="K1768" s="69">
        <v>0</v>
      </c>
      <c r="L1768" s="59">
        <v>0</v>
      </c>
      <c r="M1768" s="59">
        <v>0</v>
      </c>
      <c r="N1768" s="59" t="s">
        <v>4176</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4177</v>
      </c>
      <c r="BF1768" s="59" t="s">
        <v>4178</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2456</v>
      </c>
      <c r="E1769" s="260" t="s">
        <v>2457</v>
      </c>
      <c r="F1769" s="69">
        <v>1</v>
      </c>
      <c r="G1769" s="69">
        <v>64014101</v>
      </c>
      <c r="H1769" s="59">
        <v>0</v>
      </c>
      <c r="I1769" s="59">
        <v>0</v>
      </c>
      <c r="J1769" s="69">
        <v>1</v>
      </c>
      <c r="K1769" s="69">
        <v>0</v>
      </c>
      <c r="L1769" s="59">
        <v>0</v>
      </c>
      <c r="M1769" s="59">
        <v>0</v>
      </c>
      <c r="N1769" s="59" t="s">
        <v>4179</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4180</v>
      </c>
      <c r="BF1769" s="59" t="s">
        <v>4181</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2463</v>
      </c>
      <c r="E1770" s="260" t="s">
        <v>2464</v>
      </c>
      <c r="F1770" s="69">
        <v>1</v>
      </c>
      <c r="G1770" s="69">
        <v>64014201</v>
      </c>
      <c r="H1770" s="59">
        <v>0</v>
      </c>
      <c r="I1770" s="59">
        <v>0</v>
      </c>
      <c r="J1770" s="69">
        <v>1</v>
      </c>
      <c r="K1770" s="69">
        <v>0</v>
      </c>
      <c r="L1770" s="59">
        <v>0</v>
      </c>
      <c r="M1770" s="59">
        <v>0</v>
      </c>
      <c r="N1770" s="59" t="s">
        <v>4182</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4183</v>
      </c>
      <c r="BF1770" s="59" t="s">
        <v>4184</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2472</v>
      </c>
      <c r="E1771" s="260" t="s">
        <v>2473</v>
      </c>
      <c r="F1771" s="69">
        <v>1</v>
      </c>
      <c r="G1771" s="69">
        <v>64014301</v>
      </c>
      <c r="H1771" s="59">
        <v>0</v>
      </c>
      <c r="I1771" s="59">
        <v>0</v>
      </c>
      <c r="J1771" s="69">
        <v>1</v>
      </c>
      <c r="K1771" s="69">
        <v>0</v>
      </c>
      <c r="L1771" s="59">
        <v>0</v>
      </c>
      <c r="M1771" s="59">
        <v>0</v>
      </c>
      <c r="N1771" s="59" t="s">
        <v>4185</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4186</v>
      </c>
      <c r="BF1771" s="59" t="s">
        <v>4187</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2485</v>
      </c>
      <c r="E1772" s="260" t="s">
        <v>2486</v>
      </c>
      <c r="F1772" s="69">
        <v>1</v>
      </c>
      <c r="G1772" s="69">
        <v>64014401</v>
      </c>
      <c r="H1772" s="59">
        <v>0</v>
      </c>
      <c r="I1772" s="59">
        <v>0</v>
      </c>
      <c r="J1772" s="69">
        <v>1</v>
      </c>
      <c r="K1772" s="69">
        <v>0</v>
      </c>
      <c r="L1772" s="59">
        <v>0</v>
      </c>
      <c r="M1772" s="59">
        <v>0</v>
      </c>
      <c r="N1772" s="59" t="s">
        <v>4188</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4189</v>
      </c>
      <c r="BF1772" s="59" t="s">
        <v>4190</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2508</v>
      </c>
      <c r="E1773" s="260" t="s">
        <v>2509</v>
      </c>
      <c r="F1773" s="69">
        <v>1</v>
      </c>
      <c r="G1773" s="69">
        <v>64015101</v>
      </c>
      <c r="H1773" s="59">
        <v>0</v>
      </c>
      <c r="I1773" s="59">
        <v>0</v>
      </c>
      <c r="J1773" s="69">
        <v>1</v>
      </c>
      <c r="K1773" s="69">
        <v>0</v>
      </c>
      <c r="L1773" s="59">
        <v>0</v>
      </c>
      <c r="M1773" s="59">
        <v>0</v>
      </c>
      <c r="N1773" s="59" t="s">
        <v>4191</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4192</v>
      </c>
      <c r="BF1773" s="59" t="s">
        <v>4193</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2517</v>
      </c>
      <c r="E1774" s="260" t="s">
        <v>2518</v>
      </c>
      <c r="F1774" s="69">
        <v>1</v>
      </c>
      <c r="G1774" s="69">
        <v>64015201</v>
      </c>
      <c r="H1774" s="59">
        <v>0</v>
      </c>
      <c r="I1774" s="59">
        <v>0</v>
      </c>
      <c r="J1774" s="69">
        <v>1</v>
      </c>
      <c r="K1774" s="69">
        <v>0</v>
      </c>
      <c r="L1774" s="59">
        <v>0</v>
      </c>
      <c r="M1774" s="59">
        <v>0</v>
      </c>
      <c r="N1774" s="59" t="s">
        <v>4194</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4195</v>
      </c>
      <c r="BF1774" s="59" t="s">
        <v>4196</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2519</v>
      </c>
      <c r="E1775" s="260" t="s">
        <v>2520</v>
      </c>
      <c r="F1775" s="69">
        <v>1</v>
      </c>
      <c r="G1775" s="69">
        <v>64015301</v>
      </c>
      <c r="H1775" s="59">
        <v>0</v>
      </c>
      <c r="I1775" s="59">
        <v>0</v>
      </c>
      <c r="J1775" s="69">
        <v>1</v>
      </c>
      <c r="K1775" s="69">
        <v>0</v>
      </c>
      <c r="L1775" s="59">
        <v>0</v>
      </c>
      <c r="M1775" s="59">
        <v>0</v>
      </c>
      <c r="N1775" s="59" t="s">
        <v>4197</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4198</v>
      </c>
      <c r="BF1775" s="59" t="s">
        <v>4199</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2526</v>
      </c>
      <c r="E1776" s="260" t="s">
        <v>2527</v>
      </c>
      <c r="F1776" s="69">
        <v>1</v>
      </c>
      <c r="G1776" s="69">
        <v>64015401</v>
      </c>
      <c r="H1776" s="59">
        <v>0</v>
      </c>
      <c r="I1776" s="59">
        <v>0</v>
      </c>
      <c r="J1776" s="69">
        <v>1</v>
      </c>
      <c r="K1776" s="69">
        <v>0</v>
      </c>
      <c r="L1776" s="59">
        <v>0</v>
      </c>
      <c r="M1776" s="59">
        <v>0</v>
      </c>
      <c r="N1776" s="59" t="s">
        <v>4200</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4201</v>
      </c>
      <c r="BF1776" s="59" t="s">
        <v>4202</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1450</v>
      </c>
      <c r="E1777" s="263" t="s">
        <v>1732</v>
      </c>
      <c r="F1777" s="264">
        <v>1</v>
      </c>
      <c r="G1777" s="74">
        <v>65011101</v>
      </c>
      <c r="H1777" s="265">
        <v>0</v>
      </c>
      <c r="I1777" s="265">
        <v>0</v>
      </c>
      <c r="J1777" s="264">
        <v>1</v>
      </c>
      <c r="K1777" s="264">
        <v>0</v>
      </c>
      <c r="L1777" s="265">
        <v>0</v>
      </c>
      <c r="M1777" s="265">
        <v>0</v>
      </c>
      <c r="N1777" s="265" t="s">
        <v>4203</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4204</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1457</v>
      </c>
      <c r="E1778" s="263" t="s">
        <v>1797</v>
      </c>
      <c r="F1778" s="264">
        <v>1</v>
      </c>
      <c r="G1778" s="74">
        <v>65011201</v>
      </c>
      <c r="H1778" s="265">
        <v>0</v>
      </c>
      <c r="I1778" s="265">
        <v>0</v>
      </c>
      <c r="J1778" s="264">
        <v>1</v>
      </c>
      <c r="K1778" s="264">
        <v>0</v>
      </c>
      <c r="L1778" s="265">
        <v>0</v>
      </c>
      <c r="M1778" s="265">
        <v>0</v>
      </c>
      <c r="N1778" s="265" t="s">
        <v>4205</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4206</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1464</v>
      </c>
      <c r="E1779" s="263" t="s">
        <v>1646</v>
      </c>
      <c r="F1779" s="264">
        <v>1</v>
      </c>
      <c r="G1779" s="74">
        <v>65011301</v>
      </c>
      <c r="H1779" s="265">
        <v>0</v>
      </c>
      <c r="I1779" s="265">
        <v>0</v>
      </c>
      <c r="J1779" s="264">
        <v>1</v>
      </c>
      <c r="K1779" s="264">
        <v>0</v>
      </c>
      <c r="L1779" s="265">
        <v>0</v>
      </c>
      <c r="M1779" s="265">
        <v>0</v>
      </c>
      <c r="N1779" s="265" t="s">
        <v>4207</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4208</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2589</v>
      </c>
      <c r="E1780" s="263" t="s">
        <v>1723</v>
      </c>
      <c r="F1780" s="264">
        <v>1</v>
      </c>
      <c r="G1780" s="74">
        <v>65021101</v>
      </c>
      <c r="H1780" s="265">
        <v>0</v>
      </c>
      <c r="I1780" s="265">
        <v>0</v>
      </c>
      <c r="J1780" s="264">
        <v>1</v>
      </c>
      <c r="K1780" s="264">
        <v>0</v>
      </c>
      <c r="L1780" s="265">
        <v>0</v>
      </c>
      <c r="M1780" s="265">
        <v>0</v>
      </c>
      <c r="N1780" s="265" t="s">
        <v>4209</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2597</v>
      </c>
      <c r="E1781" s="263" t="s">
        <v>4210</v>
      </c>
      <c r="F1781" s="264">
        <v>1</v>
      </c>
      <c r="G1781" s="74">
        <v>65021201</v>
      </c>
      <c r="H1781" s="265">
        <v>0</v>
      </c>
      <c r="I1781" s="265">
        <v>0</v>
      </c>
      <c r="J1781" s="264">
        <v>1</v>
      </c>
      <c r="K1781" s="264">
        <v>0</v>
      </c>
      <c r="L1781" s="265">
        <v>0</v>
      </c>
      <c r="M1781" s="265">
        <v>0</v>
      </c>
      <c r="N1781" s="265" t="s">
        <v>4211</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50">"技能:"&amp;D1781&amp;"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2606</v>
      </c>
      <c r="E1782" s="263" t="s">
        <v>1748</v>
      </c>
      <c r="F1782" s="264">
        <v>1</v>
      </c>
      <c r="G1782" s="74">
        <v>65021301</v>
      </c>
      <c r="H1782" s="265">
        <v>0</v>
      </c>
      <c r="I1782" s="265">
        <v>0</v>
      </c>
      <c r="J1782" s="264">
        <v>1</v>
      </c>
      <c r="K1782" s="264">
        <v>0</v>
      </c>
      <c r="L1782" s="265">
        <v>0</v>
      </c>
      <c r="M1782" s="265">
        <v>0</v>
      </c>
      <c r="N1782" s="265" t="s">
        <v>4212</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2619</v>
      </c>
      <c r="E1783" s="263" t="s">
        <v>1797</v>
      </c>
      <c r="F1783" s="264">
        <v>1</v>
      </c>
      <c r="G1783" s="74">
        <v>65021401</v>
      </c>
      <c r="H1783" s="265">
        <v>0</v>
      </c>
      <c r="I1783" s="265">
        <v>0</v>
      </c>
      <c r="J1783" s="264">
        <v>1</v>
      </c>
      <c r="K1783" s="264">
        <v>0</v>
      </c>
      <c r="L1783" s="265">
        <v>0</v>
      </c>
      <c r="M1783" s="265">
        <v>0</v>
      </c>
      <c r="N1783" s="265" t="s">
        <v>4213</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2631</v>
      </c>
      <c r="E1784" s="263" t="s">
        <v>1748</v>
      </c>
      <c r="F1784" s="264">
        <v>1</v>
      </c>
      <c r="G1784" s="74">
        <v>65022101</v>
      </c>
      <c r="H1784" s="265">
        <v>0</v>
      </c>
      <c r="I1784" s="265">
        <v>0</v>
      </c>
      <c r="J1784" s="264">
        <v>1</v>
      </c>
      <c r="K1784" s="264">
        <v>0</v>
      </c>
      <c r="L1784" s="265">
        <v>0</v>
      </c>
      <c r="M1784" s="265">
        <v>0</v>
      </c>
      <c r="N1784" s="265" t="s">
        <v>4214</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2644</v>
      </c>
      <c r="E1785" s="263" t="s">
        <v>1444</v>
      </c>
      <c r="F1785" s="264">
        <v>1</v>
      </c>
      <c r="G1785" s="74">
        <v>65022201</v>
      </c>
      <c r="H1785" s="265">
        <v>0</v>
      </c>
      <c r="I1785" s="265">
        <v>0</v>
      </c>
      <c r="J1785" s="264">
        <v>1</v>
      </c>
      <c r="K1785" s="264">
        <v>0</v>
      </c>
      <c r="L1785" s="265">
        <v>0</v>
      </c>
      <c r="M1785" s="265">
        <v>0</v>
      </c>
      <c r="N1785" s="265" t="s">
        <v>4215</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2662</v>
      </c>
      <c r="E1786" s="263" t="s">
        <v>2442</v>
      </c>
      <c r="F1786" s="264">
        <v>1</v>
      </c>
      <c r="G1786" s="74">
        <v>65022301</v>
      </c>
      <c r="H1786" s="265">
        <v>0</v>
      </c>
      <c r="I1786" s="265">
        <v>0</v>
      </c>
      <c r="J1786" s="264">
        <v>1</v>
      </c>
      <c r="K1786" s="264">
        <v>0</v>
      </c>
      <c r="L1786" s="265">
        <v>0</v>
      </c>
      <c r="M1786" s="265">
        <v>0</v>
      </c>
      <c r="N1786" s="265" t="s">
        <v>4216</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2670</v>
      </c>
      <c r="E1787" s="263" t="s">
        <v>2196</v>
      </c>
      <c r="F1787" s="264">
        <v>1</v>
      </c>
      <c r="G1787" s="74">
        <v>65022401</v>
      </c>
      <c r="H1787" s="265">
        <v>0</v>
      </c>
      <c r="I1787" s="265">
        <v>0</v>
      </c>
      <c r="J1787" s="264">
        <v>1</v>
      </c>
      <c r="K1787" s="264">
        <v>0</v>
      </c>
      <c r="L1787" s="265">
        <v>0</v>
      </c>
      <c r="M1787" s="265">
        <v>0</v>
      </c>
      <c r="N1787" s="265" t="s">
        <v>4217</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2687</v>
      </c>
      <c r="E1788" s="263" t="s">
        <v>1923</v>
      </c>
      <c r="F1788" s="264">
        <v>1</v>
      </c>
      <c r="G1788" s="74">
        <v>65021101</v>
      </c>
      <c r="H1788" s="265">
        <v>0</v>
      </c>
      <c r="I1788" s="265">
        <v>0</v>
      </c>
      <c r="J1788" s="264">
        <v>1</v>
      </c>
      <c r="K1788" s="264">
        <v>0</v>
      </c>
      <c r="L1788" s="265">
        <v>0</v>
      </c>
      <c r="M1788" s="265">
        <v>0</v>
      </c>
      <c r="N1788" s="265" t="s">
        <v>4218</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2705</v>
      </c>
      <c r="E1789" s="263" t="s">
        <v>1748</v>
      </c>
      <c r="F1789" s="264">
        <v>1</v>
      </c>
      <c r="G1789" s="74">
        <v>65023201</v>
      </c>
      <c r="H1789" s="265">
        <v>0</v>
      </c>
      <c r="I1789" s="265">
        <v>0</v>
      </c>
      <c r="J1789" s="264">
        <v>1</v>
      </c>
      <c r="K1789" s="264">
        <v>0</v>
      </c>
      <c r="L1789" s="265">
        <v>0</v>
      </c>
      <c r="M1789" s="265">
        <v>0</v>
      </c>
      <c r="N1789" s="265" t="s">
        <v>4219</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2722</v>
      </c>
      <c r="E1790" s="263" t="s">
        <v>1889</v>
      </c>
      <c r="F1790" s="264">
        <v>1</v>
      </c>
      <c r="G1790" s="74">
        <v>65023301</v>
      </c>
      <c r="H1790" s="265">
        <v>0</v>
      </c>
      <c r="I1790" s="265">
        <v>0</v>
      </c>
      <c r="J1790" s="264">
        <v>1</v>
      </c>
      <c r="K1790" s="264">
        <v>0</v>
      </c>
      <c r="L1790" s="265">
        <v>0</v>
      </c>
      <c r="M1790" s="265">
        <v>0</v>
      </c>
      <c r="N1790" s="265" t="s">
        <v>4220</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2731</v>
      </c>
      <c r="E1791" s="263" t="s">
        <v>1797</v>
      </c>
      <c r="F1791" s="264">
        <v>1</v>
      </c>
      <c r="G1791" s="74">
        <v>65023401</v>
      </c>
      <c r="H1791" s="265">
        <v>0</v>
      </c>
      <c r="I1791" s="265">
        <v>0</v>
      </c>
      <c r="J1791" s="264">
        <v>1</v>
      </c>
      <c r="K1791" s="264">
        <v>0</v>
      </c>
      <c r="L1791" s="265">
        <v>0</v>
      </c>
      <c r="M1791" s="265">
        <v>0</v>
      </c>
      <c r="N1791" s="265" t="s">
        <v>4221</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50"/>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4222</v>
      </c>
      <c r="E1792" s="35" t="s">
        <v>4223</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4224</v>
      </c>
      <c r="BC1792" s="31">
        <v>0</v>
      </c>
      <c r="BD1792" s="31">
        <v>1</v>
      </c>
      <c r="BE1792" s="35" t="s">
        <v>4225</v>
      </c>
      <c r="BF1792" s="35" t="s">
        <v>4226</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4227</v>
      </c>
      <c r="E1793" s="35" t="s">
        <v>4228</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4229</v>
      </c>
      <c r="BC1793" s="31">
        <v>0</v>
      </c>
      <c r="BD1793" s="31">
        <v>1</v>
      </c>
      <c r="BE1793" s="35" t="s">
        <v>4230</v>
      </c>
      <c r="BF1793" s="35" t="s">
        <v>4231</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4232</v>
      </c>
      <c r="E1794" s="35" t="s">
        <v>4233</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4234</v>
      </c>
      <c r="BC1794" s="31">
        <v>0</v>
      </c>
      <c r="BD1794" s="31">
        <v>1</v>
      </c>
      <c r="BE1794" s="35" t="s">
        <v>4235</v>
      </c>
      <c r="BF1794" s="35" t="s">
        <v>4236</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4237</v>
      </c>
      <c r="E1795" s="35" t="s">
        <v>4238</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4239</v>
      </c>
      <c r="BC1795" s="31">
        <v>0</v>
      </c>
      <c r="BD1795" s="31">
        <v>1</v>
      </c>
      <c r="BE1795" s="35" t="s">
        <v>4240</v>
      </c>
      <c r="BF1795" s="35" t="s">
        <v>4241</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4242</v>
      </c>
      <c r="E1796" s="35" t="s">
        <v>4243</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4244</v>
      </c>
      <c r="BC1796" s="31">
        <v>0</v>
      </c>
      <c r="BD1796" s="31">
        <v>1</v>
      </c>
      <c r="BE1796" s="35" t="s">
        <v>4245</v>
      </c>
      <c r="BF1796" s="35" t="s">
        <v>4246</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4247</v>
      </c>
      <c r="E1797" s="35" t="s">
        <v>4248</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4249</v>
      </c>
      <c r="BC1797" s="31">
        <v>0</v>
      </c>
      <c r="BD1797" s="31">
        <v>1</v>
      </c>
      <c r="BE1797" s="35" t="s">
        <v>4250</v>
      </c>
      <c r="BF1797" s="35" t="s">
        <v>4251</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4252</v>
      </c>
      <c r="E1798" s="35" t="s">
        <v>4253</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4254</v>
      </c>
      <c r="BC1798" s="31">
        <v>0</v>
      </c>
      <c r="BD1798" s="31">
        <v>1</v>
      </c>
      <c r="BE1798" s="35" t="s">
        <v>4255</v>
      </c>
      <c r="BF1798" s="35" t="s">
        <v>4256</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4257</v>
      </c>
      <c r="E1799" s="35" t="s">
        <v>4258</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4259</v>
      </c>
      <c r="BC1799" s="31">
        <v>0</v>
      </c>
      <c r="BD1799" s="31">
        <v>1</v>
      </c>
      <c r="BE1799" s="35" t="s">
        <v>4260</v>
      </c>
      <c r="BF1799" s="35" t="s">
        <v>4261</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4262</v>
      </c>
      <c r="E1800" s="35" t="s">
        <v>4263</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4264</v>
      </c>
      <c r="BC1800" s="31">
        <v>0</v>
      </c>
      <c r="BD1800" s="31">
        <v>1</v>
      </c>
      <c r="BE1800" s="35" t="s">
        <v>4265</v>
      </c>
      <c r="BF1800" s="35" t="s">
        <v>4266</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4267</v>
      </c>
      <c r="E1801" s="35" t="s">
        <v>4268</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4269</v>
      </c>
      <c r="BC1801" s="31">
        <v>0</v>
      </c>
      <c r="BD1801" s="31">
        <v>1</v>
      </c>
      <c r="BE1801" s="35" t="s">
        <v>4270</v>
      </c>
      <c r="BF1801" s="35" t="s">
        <v>4271</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4272</v>
      </c>
      <c r="E1802" s="35" t="s">
        <v>4273</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4274</v>
      </c>
      <c r="BC1802" s="31">
        <v>0</v>
      </c>
      <c r="BD1802" s="31">
        <v>1</v>
      </c>
      <c r="BE1802" s="35" t="s">
        <v>4275</v>
      </c>
      <c r="BF1802" s="35" t="s">
        <v>4276</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4277</v>
      </c>
      <c r="E1803" s="35" t="s">
        <v>4278</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4279</v>
      </c>
      <c r="BC1803" s="31">
        <v>0</v>
      </c>
      <c r="BD1803" s="31">
        <v>1</v>
      </c>
      <c r="BE1803" s="35" t="s">
        <v>4225</v>
      </c>
      <c r="BF1803" s="35" t="s">
        <v>4226</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4280</v>
      </c>
      <c r="E1804" s="35" t="s">
        <v>4281</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4282</v>
      </c>
      <c r="BC1804" s="31">
        <v>0</v>
      </c>
      <c r="BD1804" s="31">
        <v>1</v>
      </c>
      <c r="BE1804" s="35" t="s">
        <v>4283</v>
      </c>
      <c r="BF1804" s="35" t="s">
        <v>4284</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4285</v>
      </c>
      <c r="E1805" s="35" t="s">
        <v>4286</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4287</v>
      </c>
      <c r="BC1805" s="31">
        <v>0</v>
      </c>
      <c r="BD1805" s="31">
        <v>1</v>
      </c>
      <c r="BE1805" s="35" t="s">
        <v>4288</v>
      </c>
      <c r="BF1805" s="35" t="s">
        <v>4289</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4290</v>
      </c>
      <c r="E1806" s="35" t="s">
        <v>4291</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4292</v>
      </c>
      <c r="BC1806" s="31">
        <v>0</v>
      </c>
      <c r="BD1806" s="31">
        <v>1</v>
      </c>
      <c r="BE1806" s="35" t="s">
        <v>4293</v>
      </c>
      <c r="BF1806" s="35" t="s">
        <v>4294</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4295</v>
      </c>
      <c r="E1807" s="35" t="s">
        <v>4296</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4297</v>
      </c>
      <c r="BC1807" s="31">
        <v>0</v>
      </c>
      <c r="BD1807" s="31">
        <v>1</v>
      </c>
      <c r="BE1807" s="35" t="s">
        <v>4298</v>
      </c>
      <c r="BF1807" s="35" t="s">
        <v>4299</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4300</v>
      </c>
      <c r="E1808" s="35" t="s">
        <v>4301</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4302</v>
      </c>
      <c r="BC1808" s="31">
        <v>0</v>
      </c>
      <c r="BD1808" s="31">
        <v>1</v>
      </c>
      <c r="BE1808" s="35" t="s">
        <v>4303</v>
      </c>
      <c r="BF1808" s="35" t="s">
        <v>4304</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4305</v>
      </c>
      <c r="E1809" s="35" t="s">
        <v>4306</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4307</v>
      </c>
      <c r="BC1809" s="31">
        <v>0</v>
      </c>
      <c r="BD1809" s="31">
        <v>1</v>
      </c>
      <c r="BE1809" s="35" t="s">
        <v>4308</v>
      </c>
      <c r="BF1809" s="35" t="s">
        <v>4309</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4310</v>
      </c>
      <c r="E1810" s="35" t="s">
        <v>4311</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4312</v>
      </c>
      <c r="BC1810" s="31">
        <v>0</v>
      </c>
      <c r="BD1810" s="31">
        <v>1</v>
      </c>
      <c r="BE1810" s="35" t="s">
        <v>4313</v>
      </c>
      <c r="BF1810" s="35" t="s">
        <v>4314</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4315</v>
      </c>
      <c r="E1811" s="35" t="s">
        <v>4316</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4317</v>
      </c>
      <c r="BC1811" s="31">
        <v>0</v>
      </c>
      <c r="BD1811" s="31">
        <v>1</v>
      </c>
      <c r="BE1811" s="35" t="s">
        <v>4318</v>
      </c>
      <c r="BF1811" s="35" t="s">
        <v>4319</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4320</v>
      </c>
      <c r="E1812" s="35" t="s">
        <v>4321</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4322</v>
      </c>
      <c r="BC1812" s="31">
        <v>0</v>
      </c>
      <c r="BD1812" s="31">
        <v>1</v>
      </c>
      <c r="BE1812" s="35" t="s">
        <v>4323</v>
      </c>
      <c r="BF1812" s="35" t="s">
        <v>4324</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4325</v>
      </c>
      <c r="E1813" s="35" t="s">
        <v>4326</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4327</v>
      </c>
      <c r="BC1813" s="31">
        <v>0</v>
      </c>
      <c r="BD1813" s="31">
        <v>1</v>
      </c>
      <c r="BE1813" s="35" t="s">
        <v>4328</v>
      </c>
      <c r="BF1813" s="35" t="s">
        <v>4329</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4330</v>
      </c>
      <c r="E1814" s="35" t="s">
        <v>4331</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4332</v>
      </c>
      <c r="BC1814" s="31">
        <v>0</v>
      </c>
      <c r="BD1814" s="31">
        <v>1</v>
      </c>
      <c r="BE1814" s="35" t="s">
        <v>4225</v>
      </c>
      <c r="BF1814" s="35" t="s">
        <v>4226</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4333</v>
      </c>
      <c r="E1815" s="35" t="s">
        <v>4334</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4335</v>
      </c>
      <c r="BC1815" s="31">
        <v>0</v>
      </c>
      <c r="BD1815" s="31">
        <v>1</v>
      </c>
      <c r="BE1815" s="35" t="s">
        <v>4336</v>
      </c>
      <c r="BF1815" s="35" t="s">
        <v>4337</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4338</v>
      </c>
      <c r="E1816" s="35" t="s">
        <v>4339</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4340</v>
      </c>
      <c r="BC1816" s="31">
        <v>0</v>
      </c>
      <c r="BD1816" s="31">
        <v>1</v>
      </c>
      <c r="BE1816" s="35" t="s">
        <v>4341</v>
      </c>
      <c r="BF1816" s="35" t="s">
        <v>4342</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4343</v>
      </c>
      <c r="E1817" s="35" t="s">
        <v>4344</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4345</v>
      </c>
      <c r="BC1817" s="31">
        <v>0</v>
      </c>
      <c r="BD1817" s="31">
        <v>1</v>
      </c>
      <c r="BE1817" s="35" t="s">
        <v>4346</v>
      </c>
      <c r="BF1817" s="35" t="s">
        <v>4347</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4348</v>
      </c>
      <c r="E1818" s="35" t="s">
        <v>4349</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4350</v>
      </c>
      <c r="BC1818" s="31">
        <v>0</v>
      </c>
      <c r="BD1818" s="31">
        <v>1</v>
      </c>
      <c r="BE1818" s="35" t="s">
        <v>4351</v>
      </c>
      <c r="BF1818" s="35" t="s">
        <v>4352</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4353</v>
      </c>
      <c r="E1819" s="35" t="s">
        <v>4354</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4355</v>
      </c>
      <c r="BC1819" s="31">
        <v>0</v>
      </c>
      <c r="BD1819" s="31">
        <v>1</v>
      </c>
      <c r="BE1819" s="35" t="s">
        <v>4356</v>
      </c>
      <c r="BF1819" s="35" t="s">
        <v>4357</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4358</v>
      </c>
      <c r="E1820" s="35" t="s">
        <v>4359</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4360</v>
      </c>
      <c r="BC1820" s="31">
        <v>0</v>
      </c>
      <c r="BD1820" s="31">
        <v>1</v>
      </c>
      <c r="BE1820" s="35" t="s">
        <v>4361</v>
      </c>
      <c r="BF1820" s="35" t="s">
        <v>4362</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4363</v>
      </c>
      <c r="E1821" s="35" t="s">
        <v>4364</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4365</v>
      </c>
      <c r="BC1821" s="31">
        <v>0</v>
      </c>
      <c r="BD1821" s="31">
        <v>1</v>
      </c>
      <c r="BE1821" s="35" t="s">
        <v>4366</v>
      </c>
      <c r="BF1821" s="35" t="s">
        <v>4367</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4368</v>
      </c>
      <c r="E1822" s="35" t="s">
        <v>4369</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4370</v>
      </c>
      <c r="BC1822" s="31">
        <v>0</v>
      </c>
      <c r="BD1822" s="31">
        <v>1</v>
      </c>
      <c r="BE1822" s="35" t="s">
        <v>4371</v>
      </c>
      <c r="BF1822" s="35" t="s">
        <v>4372</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4373</v>
      </c>
      <c r="E1823" s="35" t="s">
        <v>4374</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4375</v>
      </c>
      <c r="BC1823" s="31">
        <v>0</v>
      </c>
      <c r="BD1823" s="31">
        <v>1</v>
      </c>
      <c r="BE1823" s="35" t="s">
        <v>4376</v>
      </c>
      <c r="BF1823" s="35" t="s">
        <v>4377</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4378</v>
      </c>
      <c r="E1824" s="35" t="s">
        <v>4379</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4380</v>
      </c>
      <c r="BC1824" s="31">
        <v>0</v>
      </c>
      <c r="BD1824" s="31">
        <v>1</v>
      </c>
      <c r="BE1824" s="35" t="s">
        <v>4381</v>
      </c>
      <c r="BF1824" s="35" t="s">
        <v>4382</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4383</v>
      </c>
      <c r="E1825" s="35" t="s">
        <v>4384</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4385</v>
      </c>
      <c r="BC1825" s="31">
        <v>0</v>
      </c>
      <c r="BD1825" s="31">
        <v>1</v>
      </c>
      <c r="BE1825" s="35" t="s">
        <v>4225</v>
      </c>
      <c r="BF1825" s="35" t="s">
        <v>4226</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4386</v>
      </c>
      <c r="E1826" s="35" t="s">
        <v>4387</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4388</v>
      </c>
      <c r="BC1826" s="31">
        <v>0</v>
      </c>
      <c r="BD1826" s="31">
        <v>1</v>
      </c>
      <c r="BE1826" s="35" t="s">
        <v>4389</v>
      </c>
      <c r="BF1826" s="35" t="s">
        <v>4390</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4391</v>
      </c>
      <c r="E1827" s="35" t="s">
        <v>4392</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4393</v>
      </c>
      <c r="BC1827" s="31">
        <v>0</v>
      </c>
      <c r="BD1827" s="31">
        <v>1</v>
      </c>
      <c r="BE1827" s="35" t="s">
        <v>4394</v>
      </c>
      <c r="BF1827" s="35" t="s">
        <v>4395</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4396</v>
      </c>
      <c r="E1828" s="35" t="s">
        <v>4397</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4398</v>
      </c>
      <c r="BC1828" s="31">
        <v>0</v>
      </c>
      <c r="BD1828" s="31">
        <v>1</v>
      </c>
      <c r="BE1828" s="35" t="s">
        <v>4399</v>
      </c>
      <c r="BF1828" s="35" t="s">
        <v>4400</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4401</v>
      </c>
      <c r="E1829" s="35" t="s">
        <v>4402</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4403</v>
      </c>
      <c r="BC1829" s="31">
        <v>0</v>
      </c>
      <c r="BD1829" s="31">
        <v>1</v>
      </c>
      <c r="BE1829" s="35" t="s">
        <v>4404</v>
      </c>
      <c r="BF1829" s="35" t="s">
        <v>4405</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4406</v>
      </c>
      <c r="E1830" s="35" t="s">
        <v>4407</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4408</v>
      </c>
      <c r="BC1830" s="31">
        <v>0</v>
      </c>
      <c r="BD1830" s="31">
        <v>1</v>
      </c>
      <c r="BE1830" s="35" t="s">
        <v>4409</v>
      </c>
      <c r="BF1830" s="35" t="s">
        <v>4410</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4411</v>
      </c>
      <c r="E1831" s="35" t="s">
        <v>4412</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4413</v>
      </c>
      <c r="BC1831" s="31">
        <v>0</v>
      </c>
      <c r="BD1831" s="31">
        <v>1</v>
      </c>
      <c r="BE1831" s="35" t="s">
        <v>4414</v>
      </c>
      <c r="BF1831" s="35" t="s">
        <v>4415</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4416</v>
      </c>
      <c r="E1832" s="35" t="s">
        <v>4417</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4418</v>
      </c>
      <c r="BC1832" s="31">
        <v>0</v>
      </c>
      <c r="BD1832" s="31">
        <v>1</v>
      </c>
      <c r="BE1832" s="35" t="s">
        <v>4419</v>
      </c>
      <c r="BF1832" s="35" t="s">
        <v>4420</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4421</v>
      </c>
      <c r="E1833" s="35" t="s">
        <v>4422</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4423</v>
      </c>
      <c r="BC1833" s="31">
        <v>0</v>
      </c>
      <c r="BD1833" s="31">
        <v>1</v>
      </c>
      <c r="BE1833" s="35" t="s">
        <v>4424</v>
      </c>
      <c r="BF1833" s="35" t="s">
        <v>4425</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4426</v>
      </c>
      <c r="E1834" s="35" t="s">
        <v>4427</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4428</v>
      </c>
      <c r="BC1834" s="31">
        <v>0</v>
      </c>
      <c r="BD1834" s="31">
        <v>1</v>
      </c>
      <c r="BE1834" s="35" t="s">
        <v>4429</v>
      </c>
      <c r="BF1834" s="35" t="s">
        <v>4430</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4431</v>
      </c>
      <c r="E1835" s="35" t="s">
        <v>4432</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4433</v>
      </c>
      <c r="BC1835" s="31">
        <v>0</v>
      </c>
      <c r="BD1835" s="31">
        <v>1</v>
      </c>
      <c r="BE1835" s="35" t="s">
        <v>4434</v>
      </c>
      <c r="BF1835" s="35" t="s">
        <v>4435</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4436</v>
      </c>
      <c r="E1836" s="35" t="s">
        <v>4437</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4438</v>
      </c>
      <c r="BC1836" s="31">
        <v>0</v>
      </c>
      <c r="BD1836" s="31">
        <v>1</v>
      </c>
      <c r="BE1836" s="35" t="s">
        <v>4225</v>
      </c>
      <c r="BF1836" s="35" t="s">
        <v>4226</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4439</v>
      </c>
      <c r="E1837" s="35" t="s">
        <v>4440</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4441</v>
      </c>
      <c r="BC1837" s="31">
        <v>0</v>
      </c>
      <c r="BD1837" s="31">
        <v>1</v>
      </c>
      <c r="BE1837" s="35" t="s">
        <v>4442</v>
      </c>
      <c r="BF1837" s="35" t="s">
        <v>4443</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4444</v>
      </c>
      <c r="E1838" s="35" t="s">
        <v>4445</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4446</v>
      </c>
      <c r="BC1838" s="31">
        <v>0</v>
      </c>
      <c r="BD1838" s="31">
        <v>1</v>
      </c>
      <c r="BE1838" s="35" t="s">
        <v>4447</v>
      </c>
      <c r="BF1838" s="35" t="s">
        <v>4448</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4449</v>
      </c>
      <c r="E1839" s="35" t="s">
        <v>4450</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4451</v>
      </c>
      <c r="BC1839" s="31">
        <v>0</v>
      </c>
      <c r="BD1839" s="31">
        <v>1</v>
      </c>
      <c r="BE1839" s="35" t="s">
        <v>4452</v>
      </c>
      <c r="BF1839" s="35" t="s">
        <v>4453</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4454</v>
      </c>
      <c r="E1840" s="35" t="s">
        <v>4455</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4456</v>
      </c>
      <c r="BC1840" s="31">
        <v>0</v>
      </c>
      <c r="BD1840" s="31">
        <v>1</v>
      </c>
      <c r="BE1840" s="35" t="s">
        <v>4457</v>
      </c>
      <c r="BF1840" s="35" t="s">
        <v>4458</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4459</v>
      </c>
      <c r="E1841" s="35" t="s">
        <v>4460</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4461</v>
      </c>
      <c r="BC1841" s="31">
        <v>0</v>
      </c>
      <c r="BD1841" s="31">
        <v>1</v>
      </c>
      <c r="BE1841" s="35" t="s">
        <v>4462</v>
      </c>
      <c r="BF1841" s="35" t="s">
        <v>4463</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4464</v>
      </c>
      <c r="E1842" s="35" t="s">
        <v>4465</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4466</v>
      </c>
      <c r="BC1842" s="31">
        <v>0</v>
      </c>
      <c r="BD1842" s="31">
        <v>1</v>
      </c>
      <c r="BE1842" s="35" t="s">
        <v>4467</v>
      </c>
      <c r="BF1842" s="35" t="s">
        <v>4468</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4469</v>
      </c>
      <c r="E1843" s="35" t="s">
        <v>4470</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4471</v>
      </c>
      <c r="BC1843" s="31">
        <v>0</v>
      </c>
      <c r="BD1843" s="31">
        <v>1</v>
      </c>
      <c r="BE1843" s="35" t="s">
        <v>4472</v>
      </c>
      <c r="BF1843" s="35" t="s">
        <v>4473</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4474</v>
      </c>
      <c r="E1844" s="35" t="s">
        <v>4475</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4476</v>
      </c>
      <c r="BC1844" s="31">
        <v>0</v>
      </c>
      <c r="BD1844" s="31">
        <v>1</v>
      </c>
      <c r="BE1844" s="35" t="s">
        <v>4477</v>
      </c>
      <c r="BF1844" s="35" t="s">
        <v>4478</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4479</v>
      </c>
      <c r="E1845" s="35" t="s">
        <v>4480</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4481</v>
      </c>
      <c r="BC1845" s="31">
        <v>0</v>
      </c>
      <c r="BD1845" s="31">
        <v>1</v>
      </c>
      <c r="BE1845" s="35" t="s">
        <v>4482</v>
      </c>
      <c r="BF1845" s="35" t="s">
        <v>4483</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4484</v>
      </c>
      <c r="E1846" s="35" t="s">
        <v>4485</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4486</v>
      </c>
      <c r="BC1846" s="31">
        <v>0</v>
      </c>
      <c r="BD1846" s="31">
        <v>1</v>
      </c>
      <c r="BE1846" s="35" t="s">
        <v>4487</v>
      </c>
      <c r="BF1846" s="35" t="s">
        <v>4488</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4489</v>
      </c>
      <c r="E1847" s="35" t="s">
        <v>4490</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4491</v>
      </c>
      <c r="BC1847" s="31">
        <v>0</v>
      </c>
      <c r="BD1847" s="31">
        <v>1</v>
      </c>
      <c r="BE1847" s="35" t="s">
        <v>4225</v>
      </c>
      <c r="BF1847" s="35" t="s">
        <v>4226</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4492</v>
      </c>
      <c r="E1848" s="35" t="s">
        <v>4493</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4494</v>
      </c>
      <c r="BF1848" s="35" t="s">
        <v>4495</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4496</v>
      </c>
      <c r="E1849" s="35" t="s">
        <v>4497</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4498</v>
      </c>
      <c r="BC1849" s="31">
        <v>0</v>
      </c>
      <c r="BD1849" s="31">
        <v>1</v>
      </c>
      <c r="BE1849" s="35" t="s">
        <v>4499</v>
      </c>
      <c r="BF1849" s="35" t="s">
        <v>4500</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4501</v>
      </c>
      <c r="E1850" s="35" t="s">
        <v>4502</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4491</v>
      </c>
      <c r="BC1850" s="31">
        <v>0</v>
      </c>
      <c r="BD1850" s="31">
        <v>1</v>
      </c>
      <c r="BE1850" s="35" t="s">
        <v>4225</v>
      </c>
      <c r="BF1850" s="35" t="s">
        <v>4226</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4503</v>
      </c>
      <c r="E1851" s="35" t="s">
        <v>4504</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4505</v>
      </c>
      <c r="BF1851" s="35" t="s">
        <v>4506</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4507</v>
      </c>
      <c r="E1852" s="35" t="s">
        <v>4508</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4498</v>
      </c>
      <c r="BC1852" s="31">
        <v>0</v>
      </c>
      <c r="BD1852" s="31">
        <v>1</v>
      </c>
      <c r="BE1852" s="35" t="s">
        <v>4509</v>
      </c>
      <c r="BF1852" s="35" t="s">
        <v>4510</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4511</v>
      </c>
      <c r="E1853" s="238" t="s">
        <v>4512</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4225</v>
      </c>
      <c r="BF1853" s="35" t="s">
        <v>4226</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4511</v>
      </c>
      <c r="E1854" s="238" t="s">
        <v>4512</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1582</v>
      </c>
      <c r="AY1854" s="239">
        <v>0</v>
      </c>
      <c r="AZ1854" s="239">
        <v>40000003</v>
      </c>
      <c r="BA1854" s="238" t="s">
        <v>206</v>
      </c>
      <c r="BB1854" s="239" t="s">
        <v>204</v>
      </c>
      <c r="BC1854" s="239">
        <v>0</v>
      </c>
      <c r="BD1854" s="239">
        <v>1</v>
      </c>
      <c r="BE1854" s="238" t="s">
        <v>4513</v>
      </c>
      <c r="BF1854" s="238" t="s">
        <v>4514</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4515</v>
      </c>
      <c r="E1855" s="35" t="s">
        <v>4516</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4517</v>
      </c>
      <c r="E1856" s="88" t="s">
        <v>4518</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4519</v>
      </c>
      <c r="E1857" s="88" t="s">
        <v>4520</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4521</v>
      </c>
      <c r="E1858" s="88" t="s">
        <v>4522</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4523</v>
      </c>
      <c r="E1859" s="35" t="s">
        <v>4524</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4517</v>
      </c>
      <c r="E1860" s="88" t="s">
        <v>4518</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4525</v>
      </c>
      <c r="E1861" s="88" t="s">
        <v>4526</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4527</v>
      </c>
      <c r="E1862" s="88" t="s">
        <v>4528</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4525</v>
      </c>
      <c r="E1863" s="88" t="s">
        <v>4526</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4529</v>
      </c>
      <c r="E1864" s="35" t="s">
        <v>4530</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4531</v>
      </c>
      <c r="E1865" s="88" t="s">
        <v>4532</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4515</v>
      </c>
      <c r="E1866" s="35" t="s">
        <v>4516</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4515</v>
      </c>
      <c r="E1867" s="35" t="s">
        <v>4516</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4515</v>
      </c>
      <c r="E1868" s="35" t="s">
        <v>4516</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4515</v>
      </c>
      <c r="E1869" s="35" t="s">
        <v>4516</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4515</v>
      </c>
      <c r="E1870" s="35" t="s">
        <v>4516</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4515</v>
      </c>
      <c r="E1871" s="35" t="s">
        <v>4516</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4515</v>
      </c>
      <c r="E1872" s="35" t="s">
        <v>4516</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4515</v>
      </c>
      <c r="E1873" s="35" t="s">
        <v>4516</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4515</v>
      </c>
      <c r="E1874" s="35" t="s">
        <v>4516</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4515</v>
      </c>
      <c r="E1875" s="35" t="s">
        <v>4516</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4515</v>
      </c>
      <c r="E1876" s="35" t="s">
        <v>4516</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4533</v>
      </c>
      <c r="BC1878" s="31">
        <v>0</v>
      </c>
      <c r="BD1878" s="31">
        <v>0</v>
      </c>
      <c r="BE1878" s="33" t="s">
        <v>4534</v>
      </c>
      <c r="BF1878" s="33" t="s">
        <v>4535</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4536</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3282</v>
      </c>
      <c r="E1883" s="30" t="s">
        <v>3283</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3284</v>
      </c>
      <c r="BC1883" s="31">
        <v>0</v>
      </c>
      <c r="BD1883" s="31">
        <v>0</v>
      </c>
      <c r="BE1883" s="33" t="s">
        <v>3285</v>
      </c>
      <c r="BF1883" s="33" t="s">
        <v>3286</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4537</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4538</v>
      </c>
      <c r="BC1886" s="31">
        <v>0</v>
      </c>
      <c r="BD1886" s="31">
        <v>0</v>
      </c>
      <c r="BE1886" s="33" t="s">
        <v>4539</v>
      </c>
      <c r="BF1886" s="33" t="s">
        <v>4540</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4541</v>
      </c>
      <c r="BC1887" s="31">
        <v>0</v>
      </c>
      <c r="BD1887" s="31">
        <v>0</v>
      </c>
      <c r="BE1887" s="33" t="s">
        <v>4542</v>
      </c>
      <c r="BF1887" s="33" t="s">
        <v>4543</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4544</v>
      </c>
      <c r="E1889" s="30" t="s">
        <v>4545</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4546</v>
      </c>
      <c r="BC1889" s="31">
        <v>0</v>
      </c>
      <c r="BD1889" s="31">
        <v>0</v>
      </c>
      <c r="BE1889" s="33" t="s">
        <v>4547</v>
      </c>
      <c r="BF1889" s="33" t="s">
        <v>4548</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4549</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4550</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4551</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4544</v>
      </c>
      <c r="E1901" s="30" t="s">
        <v>4545</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4552</v>
      </c>
      <c r="BC1901" s="31">
        <v>0</v>
      </c>
      <c r="BD1901" s="31">
        <v>0</v>
      </c>
      <c r="BE1901" s="33" t="s">
        <v>4553</v>
      </c>
      <c r="BF1901" s="33" t="s">
        <v>4554</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4555</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4556</v>
      </c>
      <c r="E1904" s="30" t="s">
        <v>4557</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4558</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4559</v>
      </c>
      <c r="BF1904" s="33" t="s">
        <v>4560</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4561</v>
      </c>
      <c r="E1905" s="35" t="s">
        <v>4562</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4563</v>
      </c>
      <c r="BC1907" s="31">
        <v>0</v>
      </c>
      <c r="BD1907" s="31">
        <v>0</v>
      </c>
      <c r="BE1907" s="33" t="s">
        <v>4564</v>
      </c>
      <c r="BF1907" s="33" t="s">
        <v>4565</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3291</v>
      </c>
      <c r="BF1908" s="60" t="s">
        <v>3292</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29" t="s">
        <v>1025</v>
      </c>
      <c r="AV1909" s="19"/>
      <c r="AW1909" s="35" t="s">
        <v>293</v>
      </c>
      <c r="AX1909" s="21" t="s">
        <v>540</v>
      </c>
      <c r="AY1909" s="32">
        <v>10000007</v>
      </c>
      <c r="AZ1909" s="32">
        <v>70202004</v>
      </c>
      <c r="BA1909" s="35" t="s">
        <v>321</v>
      </c>
      <c r="BB1909" s="35" t="s">
        <v>377</v>
      </c>
      <c r="BC1909" s="31">
        <v>0</v>
      </c>
      <c r="BD1909" s="31">
        <v>0</v>
      </c>
      <c r="BE1909" s="33" t="s">
        <v>4566</v>
      </c>
      <c r="BF1909" s="33" t="s">
        <v>4567</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4568</v>
      </c>
      <c r="E1910" s="30" t="s">
        <v>4569</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4570</v>
      </c>
      <c r="BF1910" s="33" t="s">
        <v>4571</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4572</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4573</v>
      </c>
      <c r="BC1912" s="31">
        <v>0</v>
      </c>
      <c r="BD1912" s="31">
        <v>0</v>
      </c>
      <c r="BE1912" s="33" t="s">
        <v>4574</v>
      </c>
      <c r="BF1912" s="33" t="s">
        <v>4575</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4576</v>
      </c>
      <c r="BF1913" s="33" t="s">
        <v>4577</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4578</v>
      </c>
      <c r="E1914" s="30" t="s">
        <v>4579</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4580</v>
      </c>
      <c r="BF1914" s="33" t="s">
        <v>4581</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4582</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4583</v>
      </c>
      <c r="BC1916" s="31">
        <v>0</v>
      </c>
      <c r="BD1916" s="31">
        <v>0</v>
      </c>
      <c r="BE1916" s="33" t="s">
        <v>4584</v>
      </c>
      <c r="BF1916" s="33" t="s">
        <v>4585</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4586</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4587</v>
      </c>
      <c r="BC1922" s="31">
        <v>0</v>
      </c>
      <c r="BD1922" s="31">
        <v>0</v>
      </c>
      <c r="BE1922" s="33" t="s">
        <v>4588</v>
      </c>
      <c r="BF1922" s="33" t="s">
        <v>4589</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4590</v>
      </c>
      <c r="E1925" s="30" t="s">
        <v>4591</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4592</v>
      </c>
      <c r="E1926" s="30" t="s">
        <v>4593</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4594</v>
      </c>
      <c r="BF1926" s="33" t="s">
        <v>4595</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4596</v>
      </c>
      <c r="E1927" s="30" t="s">
        <v>4597</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4598</v>
      </c>
      <c r="BC1927" s="31">
        <v>0</v>
      </c>
      <c r="BD1927" s="31">
        <v>0</v>
      </c>
      <c r="BE1927" s="33" t="s">
        <v>4599</v>
      </c>
      <c r="BF1927" s="33" t="s">
        <v>4600</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4601</v>
      </c>
      <c r="BC1928" s="31">
        <v>0</v>
      </c>
      <c r="BD1928" s="31">
        <v>0</v>
      </c>
      <c r="BE1928" s="33" t="s">
        <v>4602</v>
      </c>
      <c r="BF1928" s="33" t="s">
        <v>4603</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4604</v>
      </c>
      <c r="E1929" s="35" t="s">
        <v>4605</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4606</v>
      </c>
      <c r="AV1929" s="32"/>
      <c r="AW1929" s="35" t="s">
        <v>205</v>
      </c>
      <c r="AX1929" s="32" t="s">
        <v>354</v>
      </c>
      <c r="AY1929" s="32">
        <v>0</v>
      </c>
      <c r="AZ1929" s="32">
        <v>0</v>
      </c>
      <c r="BA1929" s="35" t="s">
        <v>206</v>
      </c>
      <c r="BB1929" s="35" t="s">
        <v>204</v>
      </c>
      <c r="BC1929" s="31">
        <v>0</v>
      </c>
      <c r="BD1929" s="31">
        <v>0</v>
      </c>
      <c r="BE1929" s="60" t="s">
        <v>4607</v>
      </c>
      <c r="BF1929" s="60" t="s">
        <v>4608</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4609</v>
      </c>
      <c r="E1930" s="35" t="s">
        <v>4610</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4611</v>
      </c>
      <c r="AV1930" s="32"/>
      <c r="AW1930" s="35" t="s">
        <v>747</v>
      </c>
      <c r="AX1930" s="32">
        <v>0</v>
      </c>
      <c r="AY1930" s="32">
        <v>10000011</v>
      </c>
      <c r="AZ1930" s="32">
        <v>50000001</v>
      </c>
      <c r="BA1930" s="35" t="s">
        <v>256</v>
      </c>
      <c r="BB1930" s="35" t="s">
        <v>204</v>
      </c>
      <c r="BC1930" s="31">
        <v>0</v>
      </c>
      <c r="BD1930" s="31">
        <v>0</v>
      </c>
      <c r="BE1930" s="60" t="s">
        <v>4612</v>
      </c>
      <c r="BF1930" s="60" t="s">
        <v>4613</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29"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4564</v>
      </c>
      <c r="BF1932" s="60" t="s">
        <v>4565</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3291</v>
      </c>
      <c r="BF1933" s="33" t="s">
        <v>3292</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4614</v>
      </c>
      <c r="BC1934" s="31">
        <v>0</v>
      </c>
      <c r="BD1934" s="31">
        <v>0</v>
      </c>
      <c r="BE1934" s="33" t="s">
        <v>4566</v>
      </c>
      <c r="BF1934" s="33" t="s">
        <v>4567</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4615</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4616</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4583</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4617</v>
      </c>
      <c r="E1939" s="30" t="s">
        <v>4618</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4619</v>
      </c>
      <c r="BC1939" s="31">
        <v>0</v>
      </c>
      <c r="BD1939" s="31">
        <v>0</v>
      </c>
      <c r="BE1939" s="33" t="s">
        <v>4620</v>
      </c>
      <c r="BF1939" s="33" t="s">
        <v>4621</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4561</v>
      </c>
      <c r="E1942" s="35" t="s">
        <v>4562</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4622</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4623</v>
      </c>
      <c r="BF1951" s="33" t="s">
        <v>4624</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4625</v>
      </c>
      <c r="E1952" s="30" t="s">
        <v>4626</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4627</v>
      </c>
      <c r="BC1952" s="31">
        <v>0</v>
      </c>
      <c r="BD1952" s="31">
        <v>0</v>
      </c>
      <c r="BE1952" s="33" t="s">
        <v>4628</v>
      </c>
      <c r="BF1952" s="33" t="s">
        <v>4629</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4630</v>
      </c>
      <c r="E1953" s="30" t="s">
        <v>4631</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4632</v>
      </c>
      <c r="BC1954" s="31">
        <v>0</v>
      </c>
      <c r="BD1954" s="31">
        <v>0</v>
      </c>
      <c r="BE1954" s="33" t="s">
        <v>4633</v>
      </c>
      <c r="BF1954" s="33" t="s">
        <v>4634</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4635</v>
      </c>
      <c r="E1955" s="30" t="s">
        <v>4636</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4637</v>
      </c>
      <c r="BC1955" s="31">
        <v>0</v>
      </c>
      <c r="BD1955" s="31">
        <v>0</v>
      </c>
      <c r="BE1955" s="33" t="s">
        <v>4638</v>
      </c>
      <c r="BF1955" s="33" t="s">
        <v>4639</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4640</v>
      </c>
      <c r="E1959" s="30" t="s">
        <v>4641</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4642</v>
      </c>
      <c r="AV1959" s="21"/>
      <c r="AW1959" s="35" t="s">
        <v>623</v>
      </c>
      <c r="AX1959" s="21" t="s">
        <v>551</v>
      </c>
      <c r="AY1959" s="32">
        <v>10000007</v>
      </c>
      <c r="AZ1959" s="32">
        <v>70401006</v>
      </c>
      <c r="BA1959" s="30" t="s">
        <v>206</v>
      </c>
      <c r="BB1959" s="21">
        <v>0</v>
      </c>
      <c r="BC1959" s="31">
        <v>0</v>
      </c>
      <c r="BD1959" s="31">
        <v>0</v>
      </c>
      <c r="BE1959" s="33" t="s">
        <v>4643</v>
      </c>
      <c r="BF1959" s="33" t="s">
        <v>4644</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29"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4645</v>
      </c>
      <c r="E1961" s="30" t="s">
        <v>4646</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4647</v>
      </c>
      <c r="BC1961" s="31">
        <v>0</v>
      </c>
      <c r="BD1961" s="31">
        <v>0</v>
      </c>
      <c r="BE1961" s="33" t="s">
        <v>4648</v>
      </c>
      <c r="BF1961" s="33" t="s">
        <v>4649</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4592</v>
      </c>
      <c r="E1962" s="30" t="s">
        <v>4593</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4623</v>
      </c>
      <c r="BF1962" s="33" t="s">
        <v>4624</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4650</v>
      </c>
      <c r="BF1963" s="60" t="s">
        <v>4651</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4652</v>
      </c>
      <c r="E1965" s="30" t="s">
        <v>4653</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4654</v>
      </c>
      <c r="BC1965" s="31">
        <v>0</v>
      </c>
      <c r="BD1965" s="31">
        <v>0</v>
      </c>
      <c r="BE1965" s="33" t="s">
        <v>4655</v>
      </c>
      <c r="BF1965" s="33" t="s">
        <v>4656</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4657</v>
      </c>
      <c r="E1966" s="30" t="s">
        <v>4658</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4643</v>
      </c>
      <c r="BF1966" s="33" t="s">
        <v>4644</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4623</v>
      </c>
      <c r="BF1967" s="33" t="s">
        <v>4624</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4659</v>
      </c>
      <c r="BC1968" s="31">
        <v>0</v>
      </c>
      <c r="BD1968" s="31">
        <v>0</v>
      </c>
      <c r="BE1968" s="33" t="s">
        <v>4660</v>
      </c>
      <c r="BF1968" s="33" t="s">
        <v>4661</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4662</v>
      </c>
      <c r="BC1971" s="31">
        <v>0</v>
      </c>
      <c r="BD1971" s="31">
        <v>0</v>
      </c>
      <c r="BE1971" s="33" t="s">
        <v>4663</v>
      </c>
      <c r="BF1971" s="33" t="s">
        <v>4664</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4665</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4666</v>
      </c>
      <c r="BF1975" s="33" t="s">
        <v>4667</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4668</v>
      </c>
      <c r="BF1976" s="33" t="s">
        <v>4669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4572</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4670</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4671</v>
      </c>
      <c r="BC1979" s="31">
        <v>0</v>
      </c>
      <c r="BD1979" s="31">
        <v>0</v>
      </c>
      <c r="BE1979" s="33" t="s">
        <v>4602</v>
      </c>
      <c r="BF1979" s="33" t="s">
        <v>4603</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4672</v>
      </c>
      <c r="E1982" s="30" t="s">
        <v>4673</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4674</v>
      </c>
      <c r="BF1982" s="33" t="s">
        <v>4675</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4676</v>
      </c>
      <c r="BC1985" s="31">
        <v>0</v>
      </c>
      <c r="BD1985" s="31">
        <v>0</v>
      </c>
      <c r="BE1985" s="33" t="s">
        <v>4668</v>
      </c>
      <c r="BF1985" s="33" t="s">
        <v>4669</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4677</v>
      </c>
      <c r="BF1988" s="60" t="s">
        <v>4678</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4640</v>
      </c>
      <c r="E1989" s="30" t="s">
        <v>4641</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4642</v>
      </c>
      <c r="AV1989" s="21"/>
      <c r="AW1989" s="35" t="s">
        <v>623</v>
      </c>
      <c r="AX1989" s="21" t="s">
        <v>551</v>
      </c>
      <c r="AY1989" s="32">
        <v>10000007</v>
      </c>
      <c r="AZ1989" s="32">
        <v>70401006</v>
      </c>
      <c r="BA1989" s="30" t="s">
        <v>206</v>
      </c>
      <c r="BB1989" s="21">
        <v>0</v>
      </c>
      <c r="BC1989" s="31">
        <v>0</v>
      </c>
      <c r="BD1989" s="31">
        <v>0</v>
      </c>
      <c r="BE1989" s="33" t="s">
        <v>4643</v>
      </c>
      <c r="BF1989" s="33" t="s">
        <v>4644</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4679</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4680</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4681</v>
      </c>
      <c r="BC1997" s="31">
        <v>0</v>
      </c>
      <c r="BD1997" s="31">
        <v>0</v>
      </c>
      <c r="BE1997" s="33" t="s">
        <v>4663</v>
      </c>
      <c r="BF1997" s="33" t="s">
        <v>4664</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4666</v>
      </c>
      <c r="BF2000" s="33" t="s">
        <v>4667</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4682</v>
      </c>
      <c r="BC2001" s="31">
        <v>0</v>
      </c>
      <c r="BD2001" s="31">
        <v>0</v>
      </c>
      <c r="BE2001" s="33" t="s">
        <v>4566</v>
      </c>
      <c r="BF2001" s="33" t="s">
        <v>4567</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4683</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4684</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4685</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4630</v>
      </c>
      <c r="E2012" s="30" t="s">
        <v>4631</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29"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4686</v>
      </c>
      <c r="E2015" s="35" t="s">
        <v>4687</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4688</v>
      </c>
      <c r="AV2015" s="32"/>
      <c r="AW2015" s="35" t="s">
        <v>262</v>
      </c>
      <c r="AX2015" s="32" t="s">
        <v>540</v>
      </c>
      <c r="AY2015" s="32" t="s">
        <v>204</v>
      </c>
      <c r="AZ2015" s="32" t="s">
        <v>204</v>
      </c>
      <c r="BA2015" s="35" t="s">
        <v>206</v>
      </c>
      <c r="BB2015" s="35">
        <v>0</v>
      </c>
      <c r="BC2015" s="31">
        <v>0</v>
      </c>
      <c r="BD2015" s="31">
        <v>0</v>
      </c>
      <c r="BE2015" s="60" t="s">
        <v>4689</v>
      </c>
      <c r="BF2015" s="60" t="s">
        <v>4690</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4691</v>
      </c>
      <c r="E2016" s="35" t="s">
        <v>4692</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4689</v>
      </c>
      <c r="BF2016" s="60" t="s">
        <v>4690</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4541</v>
      </c>
      <c r="BC2018" s="31">
        <v>0</v>
      </c>
      <c r="BD2018" s="31">
        <v>0</v>
      </c>
      <c r="BE2018" s="33" t="s">
        <v>4542</v>
      </c>
      <c r="BF2018" s="33" t="s">
        <v>4543</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4536</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4672</v>
      </c>
      <c r="E2020" s="30" t="s">
        <v>4673</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4674</v>
      </c>
      <c r="BF2020" s="33" t="s">
        <v>4675</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4544</v>
      </c>
      <c r="E2021" s="30" t="s">
        <v>4545</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4693</v>
      </c>
      <c r="BC2021" s="31">
        <v>0</v>
      </c>
      <c r="BD2021" s="31">
        <v>0</v>
      </c>
      <c r="BE2021" s="33" t="s">
        <v>4547</v>
      </c>
      <c r="BF2021" s="33" t="s">
        <v>4548</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3282</v>
      </c>
      <c r="E2022" s="30" t="s">
        <v>3283</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4694</v>
      </c>
      <c r="BC2022" s="31">
        <v>0</v>
      </c>
      <c r="BD2022" s="31">
        <v>0</v>
      </c>
      <c r="BE2022" s="33" t="s">
        <v>3285</v>
      </c>
      <c r="BF2022" s="33" t="s">
        <v>3286</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4544</v>
      </c>
      <c r="E2025" s="30" t="s">
        <v>4545</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4695</v>
      </c>
      <c r="BC2025" s="31">
        <v>0</v>
      </c>
      <c r="BD2025" s="31">
        <v>0</v>
      </c>
      <c r="BE2025" s="33" t="s">
        <v>4547</v>
      </c>
      <c r="BF2025" s="33" t="s">
        <v>4548</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3289</v>
      </c>
      <c r="BF2028" s="33" t="s">
        <v>3290</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4544</v>
      </c>
      <c r="E2029" s="30" t="s">
        <v>4545</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4696</v>
      </c>
      <c r="BC2029" s="31">
        <v>0</v>
      </c>
      <c r="BD2029" s="31">
        <v>0</v>
      </c>
      <c r="BE2029" s="33" t="s">
        <v>4547</v>
      </c>
      <c r="BF2029" s="33" t="s">
        <v>4548</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4697</v>
      </c>
      <c r="E2030" s="35" t="s">
        <v>4698</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4699</v>
      </c>
      <c r="BF2030" s="60" t="s">
        <v>4700</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4701</v>
      </c>
      <c r="E2031" s="35" t="s">
        <v>4702</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4701</v>
      </c>
      <c r="E2032" s="35" t="s">
        <v>4702</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29" t="s">
        <v>1025</v>
      </c>
      <c r="AV2033" s="19"/>
      <c r="AW2033" s="35" t="s">
        <v>293</v>
      </c>
      <c r="AX2033" s="21" t="s">
        <v>540</v>
      </c>
      <c r="AY2033" s="32">
        <v>10000007</v>
      </c>
      <c r="AZ2033" s="32">
        <v>70202004</v>
      </c>
      <c r="BA2033" s="35" t="s">
        <v>321</v>
      </c>
      <c r="BB2033" s="35" t="s">
        <v>377</v>
      </c>
      <c r="BC2033" s="31">
        <v>0</v>
      </c>
      <c r="BD2033" s="31">
        <v>0</v>
      </c>
      <c r="BE2033" s="33" t="s">
        <v>4703</v>
      </c>
      <c r="BF2033" s="33" t="s">
        <v>4704</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4705</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4706</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4707</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4623</v>
      </c>
      <c r="BF2040" s="33" t="s">
        <v>4624</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4708</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4709</v>
      </c>
      <c r="E2044" s="30" t="s">
        <v>4710</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4541</v>
      </c>
      <c r="BC2047" s="31">
        <v>0</v>
      </c>
      <c r="BD2047" s="31">
        <v>0</v>
      </c>
      <c r="BE2047" s="33" t="s">
        <v>4542</v>
      </c>
      <c r="BF2047" s="33" t="s">
        <v>4543</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4711</v>
      </c>
      <c r="BF2048" s="60" t="s">
        <v>4712</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4680</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4713</v>
      </c>
      <c r="E2050" s="35" t="s">
        <v>4714</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4715</v>
      </c>
      <c r="BF2050" s="60" t="s">
        <v>4716</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4623</v>
      </c>
      <c r="BF2051" s="33" t="s">
        <v>4624</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4717</v>
      </c>
      <c r="BC2053" s="75">
        <v>0</v>
      </c>
      <c r="BD2053" s="75">
        <v>0</v>
      </c>
      <c r="BE2053" s="76" t="s">
        <v>4718</v>
      </c>
      <c r="BF2053" s="76" t="s">
        <v>4719</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4720</v>
      </c>
      <c r="BC2054" s="31">
        <v>0</v>
      </c>
      <c r="BD2054" s="31">
        <v>0</v>
      </c>
      <c r="BE2054" s="33" t="s">
        <v>4547</v>
      </c>
      <c r="BF2054" s="33" t="s">
        <v>4548</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4721</v>
      </c>
      <c r="E2056" s="71" t="s">
        <v>4722</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4711</v>
      </c>
      <c r="BF2056" s="89" t="s">
        <v>4712</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4623</v>
      </c>
      <c r="BF2057" s="33" t="s">
        <v>4624</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4723</v>
      </c>
      <c r="E2059" s="30" t="s">
        <v>4724</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4541</v>
      </c>
      <c r="BC2059" s="31">
        <v>0</v>
      </c>
      <c r="BD2059" s="31">
        <v>0</v>
      </c>
      <c r="BE2059" s="33" t="s">
        <v>4542</v>
      </c>
      <c r="BF2059" s="33" t="s">
        <v>4543</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4725</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4726</v>
      </c>
      <c r="BF2061" s="60" t="s">
        <v>4727</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4728</v>
      </c>
      <c r="BC2062" s="31">
        <v>0</v>
      </c>
      <c r="BD2062" s="31">
        <v>0</v>
      </c>
      <c r="BE2062" s="33" t="s">
        <v>4729</v>
      </c>
      <c r="BF2062" s="33" t="s">
        <v>4730</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4731</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4726</v>
      </c>
      <c r="BF2065" s="60" t="s">
        <v>4727</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4623</v>
      </c>
      <c r="BF2066" s="33" t="s">
        <v>4624</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29" t="s">
        <v>1025</v>
      </c>
      <c r="AV2067" s="19"/>
      <c r="AW2067" s="35" t="s">
        <v>293</v>
      </c>
      <c r="AX2067" s="21" t="s">
        <v>540</v>
      </c>
      <c r="AY2067" s="32">
        <v>10000007</v>
      </c>
      <c r="AZ2067" s="32">
        <v>70202004</v>
      </c>
      <c r="BA2067" s="35" t="s">
        <v>321</v>
      </c>
      <c r="BB2067" s="35" t="s">
        <v>377</v>
      </c>
      <c r="BC2067" s="31">
        <v>0</v>
      </c>
      <c r="BD2067" s="31">
        <v>0</v>
      </c>
      <c r="BE2067" s="33" t="s">
        <v>4703</v>
      </c>
      <c r="BF2067" s="33" t="s">
        <v>4704</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4732</v>
      </c>
      <c r="E2068" s="30" t="s">
        <v>4733</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4732</v>
      </c>
      <c r="E2069" s="30" t="s">
        <v>4733</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4734</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4623</v>
      </c>
      <c r="BF2070" s="33" t="s">
        <v>4624</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4713</v>
      </c>
      <c r="E2072" s="35" t="s">
        <v>4714</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39" t="s">
        <v>4735</v>
      </c>
      <c r="AV2072" s="32"/>
      <c r="AW2072" s="35" t="s">
        <v>747</v>
      </c>
      <c r="AX2072" s="32">
        <v>0</v>
      </c>
      <c r="AY2072" s="32">
        <v>10007001</v>
      </c>
      <c r="AZ2072" s="32">
        <v>0</v>
      </c>
      <c r="BA2072" s="35" t="s">
        <v>206</v>
      </c>
      <c r="BB2072" s="35" t="s">
        <v>204</v>
      </c>
      <c r="BC2072" s="31">
        <v>0</v>
      </c>
      <c r="BD2072" s="31">
        <v>0</v>
      </c>
      <c r="BE2072" s="60" t="s">
        <v>4715</v>
      </c>
      <c r="BF2072" s="60" t="s">
        <v>4716</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4728</v>
      </c>
      <c r="BC2073" s="31">
        <v>0</v>
      </c>
      <c r="BD2073" s="31">
        <v>0</v>
      </c>
      <c r="BE2073" s="33" t="s">
        <v>4729</v>
      </c>
      <c r="BF2073" s="33" t="s">
        <v>4730</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4736</v>
      </c>
      <c r="E2075" s="35" t="s">
        <v>4737</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4738</v>
      </c>
      <c r="E2076" s="30" t="s">
        <v>4739</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4740</v>
      </c>
      <c r="BF2076" s="33" t="s">
        <v>4741</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4725</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4623</v>
      </c>
      <c r="BF2079" s="33" t="s">
        <v>4624</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4541</v>
      </c>
      <c r="BC2082" s="31">
        <v>0</v>
      </c>
      <c r="BD2082" s="31">
        <v>0</v>
      </c>
      <c r="BE2082" s="33" t="s">
        <v>4542</v>
      </c>
      <c r="BF2082" s="33" t="s">
        <v>4543</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29" t="s">
        <v>1025</v>
      </c>
      <c r="AV2084" s="19"/>
      <c r="AW2084" s="35" t="s">
        <v>293</v>
      </c>
      <c r="AX2084" s="21" t="s">
        <v>540</v>
      </c>
      <c r="AY2084" s="32">
        <v>10000007</v>
      </c>
      <c r="AZ2084" s="32">
        <v>70202004</v>
      </c>
      <c r="BA2084" s="35" t="s">
        <v>321</v>
      </c>
      <c r="BB2084" s="35" t="s">
        <v>377</v>
      </c>
      <c r="BC2084" s="31">
        <v>0</v>
      </c>
      <c r="BD2084" s="31">
        <v>0</v>
      </c>
      <c r="BE2084" s="33" t="s">
        <v>4703</v>
      </c>
      <c r="BF2084" s="33" t="s">
        <v>4704</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4672</v>
      </c>
      <c r="E2086" s="30" t="s">
        <v>4673</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4674</v>
      </c>
      <c r="BF2086" s="33" t="s">
        <v>4675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4713</v>
      </c>
      <c r="E2087" s="35" t="s">
        <v>4714</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4715</v>
      </c>
      <c r="BF2087" s="60" t="s">
        <v>4716</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4742</v>
      </c>
      <c r="BF2089" s="136" t="s">
        <v>4743</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3" t="s">
        <v>738</v>
      </c>
      <c r="AU2090" s="324" t="s">
        <v>739</v>
      </c>
      <c r="AV2090" s="109"/>
      <c r="AW2090" s="97" t="s">
        <v>293</v>
      </c>
      <c r="AX2090" s="98">
        <v>0</v>
      </c>
      <c r="AY2090" s="98">
        <v>0</v>
      </c>
      <c r="AZ2090" s="98">
        <v>62001401</v>
      </c>
      <c r="BA2090" s="104" t="s">
        <v>206</v>
      </c>
      <c r="BB2090" s="100">
        <v>0</v>
      </c>
      <c r="BC2090" s="105">
        <v>0</v>
      </c>
      <c r="BD2090" s="105">
        <v>0</v>
      </c>
      <c r="BE2090" s="106" t="s">
        <v>4744</v>
      </c>
      <c r="BF2090" s="106" t="s">
        <v>4745</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7"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28"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7" t="s">
        <v>204</v>
      </c>
      <c r="AV2093" s="118"/>
      <c r="AW2093" s="110" t="s">
        <v>205</v>
      </c>
      <c r="AX2093" s="100" t="s">
        <v>540</v>
      </c>
      <c r="AY2093" s="107">
        <v>10000007</v>
      </c>
      <c r="AZ2093" s="325"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6" t="s">
        <v>812</v>
      </c>
      <c r="AU2094" s="327"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3"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4623</v>
      </c>
      <c r="BF2098" s="33" t="s">
        <v>4624</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4706</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29" t="s">
        <v>1025</v>
      </c>
      <c r="AV2100" s="19"/>
      <c r="AW2100" s="35" t="s">
        <v>293</v>
      </c>
      <c r="AX2100" s="21" t="s">
        <v>540</v>
      </c>
      <c r="AY2100" s="32">
        <v>10000007</v>
      </c>
      <c r="AZ2100" s="32">
        <v>70202004</v>
      </c>
      <c r="BA2100" s="35" t="s">
        <v>321</v>
      </c>
      <c r="BB2100" s="35" t="s">
        <v>377</v>
      </c>
      <c r="BC2100" s="31">
        <v>0</v>
      </c>
      <c r="BD2100" s="31">
        <v>0</v>
      </c>
      <c r="BE2100" s="33" t="s">
        <v>4703</v>
      </c>
      <c r="BF2100" s="33" t="s">
        <v>4704</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4746</v>
      </c>
      <c r="E2101" s="30" t="s">
        <v>4747</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4748</v>
      </c>
      <c r="BC2101" s="31">
        <v>0</v>
      </c>
      <c r="BD2101" s="31">
        <v>0</v>
      </c>
      <c r="BE2101" s="33" t="s">
        <v>4749</v>
      </c>
      <c r="BF2101" s="33" t="s">
        <v>4750</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4751</v>
      </c>
      <c r="E2102" s="30" t="s">
        <v>4752</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4748</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4753</v>
      </c>
      <c r="E2103" s="30" t="s">
        <v>4754</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4748</v>
      </c>
      <c r="BC2103" s="31">
        <v>0</v>
      </c>
      <c r="BD2103" s="31">
        <v>0</v>
      </c>
      <c r="BE2103" s="33" t="s">
        <v>4755</v>
      </c>
      <c r="BF2103" s="33" t="s">
        <v>4756</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4757</v>
      </c>
      <c r="E2104" s="30" t="s">
        <v>4758</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4748</v>
      </c>
      <c r="BC2104" s="31">
        <v>0</v>
      </c>
      <c r="BD2104" s="31">
        <v>0</v>
      </c>
      <c r="BE2104" s="33" t="s">
        <v>4759</v>
      </c>
      <c r="BF2104" s="33" t="s">
        <v>4760</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4761</v>
      </c>
      <c r="E2105" s="30" t="s">
        <v>4762</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4748</v>
      </c>
      <c r="BC2105" s="31">
        <v>0</v>
      </c>
      <c r="BD2105" s="31">
        <v>0</v>
      </c>
      <c r="BE2105" s="33" t="s">
        <v>4763</v>
      </c>
      <c r="BF2105" s="33" t="s">
        <v>4764</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4765</v>
      </c>
      <c r="E2106" s="30" t="s">
        <v>4766</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4748</v>
      </c>
      <c r="BC2106" s="31">
        <v>0</v>
      </c>
      <c r="BD2106" s="31">
        <v>0</v>
      </c>
      <c r="BE2106" s="33" t="s">
        <v>4767</v>
      </c>
      <c r="BF2106" s="33" t="s">
        <v>4768</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4769</v>
      </c>
      <c r="E2107" s="30" t="s">
        <v>4770</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4748</v>
      </c>
      <c r="BC2107" s="31">
        <v>0</v>
      </c>
      <c r="BD2107" s="31">
        <v>0</v>
      </c>
      <c r="BE2107" s="33" t="s">
        <v>4771</v>
      </c>
      <c r="BF2107" s="33" t="s">
        <v>4772</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4773</v>
      </c>
      <c r="E2108" s="30" t="s">
        <v>4774</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4748</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4775</v>
      </c>
      <c r="E2109" s="279" t="s">
        <v>3514</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4776</v>
      </c>
      <c r="BC2109" s="31">
        <v>0</v>
      </c>
      <c r="BD2109" s="31">
        <v>0</v>
      </c>
      <c r="BE2109" s="33" t="s">
        <v>4777</v>
      </c>
      <c r="BF2109" s="33" t="s">
        <v>4778</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4779</v>
      </c>
      <c r="E2110" s="279" t="s">
        <v>4780</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4781</v>
      </c>
      <c r="BC2110" s="31">
        <v>0</v>
      </c>
      <c r="BD2110" s="31">
        <v>0</v>
      </c>
      <c r="BE2110" s="33" t="s">
        <v>4782</v>
      </c>
      <c r="BF2110" s="33" t="s">
        <v>4783</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4784</v>
      </c>
      <c r="E2111" s="279" t="s">
        <v>4785</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4786</v>
      </c>
      <c r="BC2111" s="31">
        <v>0</v>
      </c>
      <c r="BD2111" s="31">
        <v>0</v>
      </c>
      <c r="BE2111" s="33" t="s">
        <v>4787</v>
      </c>
      <c r="BF2111" s="33" t="s">
        <v>4788</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4789</v>
      </c>
      <c r="E2112" s="279" t="s">
        <v>4790</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4791</v>
      </c>
      <c r="BC2112" s="31">
        <v>0</v>
      </c>
      <c r="BD2112" s="31">
        <v>0</v>
      </c>
      <c r="BE2112" s="33" t="s">
        <v>4792</v>
      </c>
      <c r="BF2112" s="33" t="s">
        <v>4793</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4794</v>
      </c>
      <c r="E2113" s="279" t="s">
        <v>4795</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4796</v>
      </c>
      <c r="BC2113" s="31">
        <v>0</v>
      </c>
      <c r="BD2113" s="31">
        <v>0</v>
      </c>
      <c r="BE2113" s="33" t="s">
        <v>4797</v>
      </c>
      <c r="BF2113" s="33" t="s">
        <v>4798</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2086</v>
      </c>
      <c r="E2114" s="279" t="s">
        <v>4799</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4800</v>
      </c>
      <c r="BC2114" s="180">
        <v>0</v>
      </c>
      <c r="BD2114" s="180">
        <v>0</v>
      </c>
      <c r="BE2114" s="243" t="s">
        <v>4801</v>
      </c>
      <c r="BF2114" s="243" t="s">
        <v>4802</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3965</v>
      </c>
      <c r="E2115" s="279" t="s">
        <v>3966</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4803</v>
      </c>
      <c r="BF2115" s="33" t="s">
        <v>4804</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4805</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4806</v>
      </c>
      <c r="BF2116" s="33" t="s">
        <v>4807</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3970</v>
      </c>
      <c r="E2117" s="279" t="s">
        <v>3971</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4808</v>
      </c>
      <c r="BC2117" s="31">
        <v>0</v>
      </c>
      <c r="BD2117" s="31">
        <v>0</v>
      </c>
      <c r="BE2117" s="33" t="s">
        <v>4809</v>
      </c>
      <c r="BF2117" s="33" t="s">
        <v>4810</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2090</v>
      </c>
      <c r="E2118" s="279" t="s">
        <v>4811</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4812</v>
      </c>
      <c r="BC2118" s="31">
        <v>0</v>
      </c>
      <c r="BD2118" s="31">
        <v>0</v>
      </c>
      <c r="BE2118" s="33" t="s">
        <v>4813</v>
      </c>
      <c r="BF2118" s="33" t="s">
        <v>4814</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4815</v>
      </c>
      <c r="E2119" s="279" t="s">
        <v>4816</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4817</v>
      </c>
      <c r="BC2119" s="31">
        <v>0</v>
      </c>
      <c r="BD2119" s="31">
        <v>0</v>
      </c>
      <c r="BE2119" s="33" t="s">
        <v>4818</v>
      </c>
      <c r="BF2119" s="33" t="s">
        <v>4819</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4820</v>
      </c>
      <c r="E2120" s="279" t="s">
        <v>4821</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4822</v>
      </c>
      <c r="BC2120" s="31">
        <v>0</v>
      </c>
      <c r="BD2120" s="31">
        <v>0</v>
      </c>
      <c r="BE2120" s="33" t="s">
        <v>4823</v>
      </c>
      <c r="BF2120" s="33" t="s">
        <v>4824</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4825</v>
      </c>
      <c r="E2121" s="279" t="s">
        <v>4826</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4498</v>
      </c>
      <c r="BC2121" s="31">
        <v>0</v>
      </c>
      <c r="BD2121" s="31">
        <v>0</v>
      </c>
      <c r="BE2121" s="33" t="s">
        <v>4827</v>
      </c>
      <c r="BF2121" s="33" t="s">
        <v>4828</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3260</v>
      </c>
      <c r="E2122" s="279" t="s">
        <v>3261</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4829</v>
      </c>
      <c r="BC2122" s="31">
        <v>0</v>
      </c>
      <c r="BD2122" s="31">
        <v>0</v>
      </c>
      <c r="BE2122" s="33" t="s">
        <v>4830</v>
      </c>
      <c r="BF2122" s="33" t="s">
        <v>4831</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4832</v>
      </c>
      <c r="E2123" s="279" t="s">
        <v>4833</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4834</v>
      </c>
      <c r="BC2123" s="180">
        <v>0</v>
      </c>
      <c r="BD2123" s="180">
        <v>0</v>
      </c>
      <c r="BE2123" s="243" t="s">
        <v>4835</v>
      </c>
      <c r="BF2123" s="243" t="s">
        <v>4836</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4837</v>
      </c>
      <c r="E2124" s="279" t="s">
        <v>4838</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4839</v>
      </c>
      <c r="BC2124" s="31">
        <v>0</v>
      </c>
      <c r="BD2124" s="31">
        <v>0</v>
      </c>
      <c r="BE2124" s="33" t="s">
        <v>4840</v>
      </c>
      <c r="BF2124" s="33" t="s">
        <v>4841</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4842</v>
      </c>
      <c r="E2125" s="279" t="s">
        <v>4843</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4844</v>
      </c>
      <c r="BF2125" s="243" t="s">
        <v>4845</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4846</v>
      </c>
      <c r="E2126" s="279" t="s">
        <v>4847</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4848</v>
      </c>
      <c r="BC2126" s="31">
        <v>0</v>
      </c>
      <c r="BD2126" s="31">
        <v>0</v>
      </c>
      <c r="BE2126" s="33" t="s">
        <v>4849</v>
      </c>
      <c r="BF2126" s="33" t="s">
        <v>4850</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4851</v>
      </c>
      <c r="BC2127" s="31">
        <v>0</v>
      </c>
      <c r="BD2127" s="31">
        <v>0</v>
      </c>
      <c r="BE2127" s="33" t="s">
        <v>4852</v>
      </c>
      <c r="BF2127" s="33" t="s">
        <v>4853</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4854</v>
      </c>
      <c r="E2128" s="279" t="s">
        <v>4855</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4856</v>
      </c>
      <c r="BC2128" s="31">
        <v>0</v>
      </c>
      <c r="BD2128" s="31">
        <v>0</v>
      </c>
      <c r="BE2128" s="33" t="s">
        <v>4857</v>
      </c>
      <c r="BF2128" s="33" t="s">
        <v>4858</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2316</v>
      </c>
      <c r="E2129" s="279" t="s">
        <v>4859</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0">
        <v>23000080</v>
      </c>
      <c r="BA2129" s="30" t="s">
        <v>206</v>
      </c>
      <c r="BB2129" s="35" t="s">
        <v>204</v>
      </c>
      <c r="BC2129" s="31">
        <v>0</v>
      </c>
      <c r="BD2129" s="31">
        <v>0</v>
      </c>
      <c r="BE2129" s="33" t="s">
        <v>4860</v>
      </c>
      <c r="BF2129" s="33" t="s">
        <v>4861</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2320</v>
      </c>
      <c r="E2130" s="279" t="s">
        <v>4862</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29" t="s">
        <v>4863</v>
      </c>
      <c r="AV2130" s="19"/>
      <c r="AW2130" s="30" t="s">
        <v>205</v>
      </c>
      <c r="AX2130" s="19">
        <v>0</v>
      </c>
      <c r="AY2130" s="19" t="s">
        <v>204</v>
      </c>
      <c r="AZ2130" s="19">
        <v>0</v>
      </c>
      <c r="BA2130" s="20" t="s">
        <v>206</v>
      </c>
      <c r="BB2130" s="19">
        <v>0</v>
      </c>
      <c r="BC2130" s="31">
        <v>0</v>
      </c>
      <c r="BD2130" s="31">
        <v>0</v>
      </c>
      <c r="BE2130" s="33" t="s">
        <v>4864</v>
      </c>
      <c r="BF2130" s="33" t="s">
        <v>4865</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4866</v>
      </c>
      <c r="BF2131" s="33" t="s">
        <v>4867</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4868</v>
      </c>
      <c r="E2132" s="279" t="s">
        <v>4869</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4870</v>
      </c>
      <c r="BC2132" s="31">
        <v>0</v>
      </c>
      <c r="BD2132" s="31">
        <v>0</v>
      </c>
      <c r="BE2132" s="33" t="s">
        <v>4871</v>
      </c>
      <c r="BF2132" s="33" t="s">
        <v>4872</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4873</v>
      </c>
      <c r="E2133" s="279" t="s">
        <v>4874</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4875</v>
      </c>
      <c r="BF2133" s="22" t="s">
        <v>4876</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3221</v>
      </c>
      <c r="E2134" s="279" t="s">
        <v>3539</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4877</v>
      </c>
      <c r="BF2134" s="22" t="s">
        <v>4878</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4879</v>
      </c>
      <c r="E2135" s="279" t="s">
        <v>4880</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4881</v>
      </c>
      <c r="BC2135" s="31">
        <v>0</v>
      </c>
      <c r="BD2135" s="31">
        <v>0</v>
      </c>
      <c r="BE2135" s="33" t="s">
        <v>4882</v>
      </c>
      <c r="BF2135" s="33" t="s">
        <v>4883</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2082</v>
      </c>
      <c r="E2136" s="279" t="s">
        <v>4884</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4885</v>
      </c>
      <c r="BF2136" s="33" t="s">
        <v>4886</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4887</v>
      </c>
      <c r="E2137" s="279" t="s">
        <v>4888</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4889</v>
      </c>
      <c r="BC2137" s="31">
        <v>0</v>
      </c>
      <c r="BD2137" s="31">
        <v>0</v>
      </c>
      <c r="BE2137" s="33" t="s">
        <v>4890</v>
      </c>
      <c r="BF2137" s="33" t="s">
        <v>4891</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4892</v>
      </c>
      <c r="E2138" s="279" t="s">
        <v>4893</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4894</v>
      </c>
      <c r="E2139" s="279" t="s">
        <v>4895</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4896</v>
      </c>
      <c r="BC2139" s="31">
        <v>0</v>
      </c>
      <c r="BD2139" s="31">
        <v>0</v>
      </c>
      <c r="BE2139" s="33" t="s">
        <v>4897</v>
      </c>
      <c r="BF2139" s="33" t="s">
        <v>4898</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4899</v>
      </c>
      <c r="E2140" s="279" t="s">
        <v>4900</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4901</v>
      </c>
      <c r="BC2140" s="31">
        <v>0</v>
      </c>
      <c r="BD2140" s="31">
        <v>0</v>
      </c>
      <c r="BE2140" s="33" t="s">
        <v>4902</v>
      </c>
      <c r="BF2140" s="33" t="s">
        <v>4903</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4904</v>
      </c>
      <c r="E2141" s="279" t="s">
        <v>4905</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4906</v>
      </c>
      <c r="BC2141" s="31">
        <v>0</v>
      </c>
      <c r="BD2141" s="31">
        <v>0</v>
      </c>
      <c r="BE2141" s="33" t="s">
        <v>4907</v>
      </c>
      <c r="BF2141" s="33" t="s">
        <v>4908</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4909</v>
      </c>
      <c r="E2142" s="279" t="s">
        <v>4910</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4911</v>
      </c>
      <c r="BC2142" s="31">
        <v>0</v>
      </c>
      <c r="BD2142" s="31">
        <v>0</v>
      </c>
      <c r="BE2142" s="243" t="s">
        <v>4912</v>
      </c>
      <c r="BF2142" s="243" t="s">
        <v>4913</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4914</v>
      </c>
      <c r="E2143" s="279" t="s">
        <v>4915</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4803</v>
      </c>
      <c r="BF2143" s="33" t="s">
        <v>4804</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4916</v>
      </c>
      <c r="E2144" s="279" t="s">
        <v>4917</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4918</v>
      </c>
      <c r="BF2144" s="33" t="s">
        <v>4919</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4920</v>
      </c>
      <c r="E2145" s="279" t="s">
        <v>4921</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4922</v>
      </c>
      <c r="BC2145" s="31">
        <v>0</v>
      </c>
      <c r="BD2145" s="31">
        <v>0</v>
      </c>
      <c r="BE2145" s="33" t="s">
        <v>4923</v>
      </c>
      <c r="BF2145" s="33" t="s">
        <v>4924</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4925</v>
      </c>
      <c r="E2146" s="279" t="s">
        <v>4926</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4927</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4928</v>
      </c>
      <c r="E2147" s="279" t="s">
        <v>4929</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4930</v>
      </c>
      <c r="BC2147" s="31">
        <v>0</v>
      </c>
      <c r="BD2147" s="31">
        <v>0</v>
      </c>
      <c r="BE2147" s="33" t="s">
        <v>4931</v>
      </c>
      <c r="BF2147" s="33" t="s">
        <v>4932</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4933</v>
      </c>
      <c r="E2148" s="279" t="s">
        <v>4934</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4935</v>
      </c>
      <c r="BC2148" s="31">
        <v>0</v>
      </c>
      <c r="BD2148" s="31">
        <v>0</v>
      </c>
      <c r="BE2148" s="33" t="s">
        <v>4936</v>
      </c>
      <c r="BF2148" s="33" t="s">
        <v>4937</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4938</v>
      </c>
      <c r="E2149" s="279" t="s">
        <v>4939</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4940</v>
      </c>
      <c r="BC2149" s="31">
        <v>0</v>
      </c>
      <c r="BD2149" s="31">
        <v>0</v>
      </c>
      <c r="BE2149" s="33" t="s">
        <v>4941</v>
      </c>
      <c r="BF2149" s="33" t="s">
        <v>4942</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4943</v>
      </c>
      <c r="E2150" s="279" t="s">
        <v>4944</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4945</v>
      </c>
      <c r="BC2150" s="31">
        <v>0</v>
      </c>
      <c r="BD2150" s="31">
        <v>0</v>
      </c>
      <c r="BE2150" s="33" t="s">
        <v>4946</v>
      </c>
      <c r="BF2150" s="33" t="s">
        <v>4947</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4948</v>
      </c>
      <c r="E2151" s="279" t="s">
        <v>4949</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4950</v>
      </c>
      <c r="BC2151" s="180">
        <v>0</v>
      </c>
      <c r="BD2151" s="180">
        <v>0</v>
      </c>
      <c r="BE2151" s="243" t="s">
        <v>4951</v>
      </c>
      <c r="BF2151" s="243" t="s">
        <v>4952</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4953</v>
      </c>
      <c r="E2152" s="279" t="s">
        <v>4954</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4955</v>
      </c>
      <c r="BC2152" s="31">
        <v>0</v>
      </c>
      <c r="BD2152" s="31">
        <v>0</v>
      </c>
      <c r="BE2152" s="33" t="s">
        <v>4956</v>
      </c>
      <c r="BF2152" s="33" t="s">
        <v>4957</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4958</v>
      </c>
      <c r="E2153" s="279" t="s">
        <v>4959</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4960</v>
      </c>
      <c r="BF2153" s="243" t="s">
        <v>4961</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4962</v>
      </c>
      <c r="E2154" s="279" t="s">
        <v>4963</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4964</v>
      </c>
      <c r="BC2154" s="31">
        <v>0</v>
      </c>
      <c r="BD2154" s="31">
        <v>0</v>
      </c>
      <c r="BE2154" s="33" t="s">
        <v>4965</v>
      </c>
      <c r="BF2154" s="33" t="s">
        <v>4966</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4967</v>
      </c>
      <c r="E2155" s="279" t="s">
        <v>4968</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4969</v>
      </c>
      <c r="BC2155" s="31">
        <v>0</v>
      </c>
      <c r="BD2155" s="31">
        <v>0</v>
      </c>
      <c r="BE2155" s="33" t="s">
        <v>4970</v>
      </c>
      <c r="BF2155" s="33" t="s">
        <v>4971</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4972</v>
      </c>
      <c r="E2156" s="279" t="s">
        <v>4973</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4974</v>
      </c>
      <c r="BC2156" s="31">
        <v>0</v>
      </c>
      <c r="BD2156" s="31">
        <v>0</v>
      </c>
      <c r="BE2156" s="33" t="s">
        <v>4975</v>
      </c>
      <c r="BF2156" s="33" t="s">
        <v>4976</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4977</v>
      </c>
      <c r="E2157" s="279" t="s">
        <v>4978</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0">
        <v>23000080</v>
      </c>
      <c r="BA2157" s="30" t="s">
        <v>206</v>
      </c>
      <c r="BB2157" s="35" t="s">
        <v>204</v>
      </c>
      <c r="BC2157" s="31">
        <v>0</v>
      </c>
      <c r="BD2157" s="31">
        <v>0</v>
      </c>
      <c r="BE2157" s="33" t="s">
        <v>4979</v>
      </c>
      <c r="BF2157" s="33" t="s">
        <v>4980</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4981</v>
      </c>
      <c r="E2158" s="279" t="s">
        <v>4982</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29"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4983</v>
      </c>
      <c r="E2159" s="279" t="s">
        <v>4984</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4985</v>
      </c>
      <c r="E2160" s="279" t="s">
        <v>4986</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4870</v>
      </c>
      <c r="BC2160" s="31">
        <v>0</v>
      </c>
      <c r="BD2160" s="31">
        <v>0</v>
      </c>
      <c r="BE2160" s="33" t="s">
        <v>4987</v>
      </c>
      <c r="BF2160" s="33" t="s">
        <v>4988</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4989</v>
      </c>
      <c r="E2161" s="279" t="s">
        <v>4990</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4991</v>
      </c>
      <c r="BF2161" s="22" t="s">
        <v>4992</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4993</v>
      </c>
      <c r="E2162" s="279" t="s">
        <v>4994</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4995</v>
      </c>
      <c r="BF2162" s="22" t="s">
        <v>4996</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4997</v>
      </c>
      <c r="E2163" s="279" t="s">
        <v>4998</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4881</v>
      </c>
      <c r="BC2163" s="31">
        <v>0</v>
      </c>
      <c r="BD2163" s="31">
        <v>0</v>
      </c>
      <c r="BE2163" s="33" t="s">
        <v>4999</v>
      </c>
      <c r="BF2163" s="33" t="s">
        <v>5000</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5001</v>
      </c>
      <c r="E2164" s="279" t="s">
        <v>5002</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5003</v>
      </c>
      <c r="E2165" s="71" t="s">
        <v>5004</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5005</v>
      </c>
      <c r="BF2165" s="76" t="s">
        <v>5006</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5007</v>
      </c>
      <c r="E2166" s="71" t="s">
        <v>5008</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4" t="s">
        <v>5009</v>
      </c>
      <c r="AV2166" s="72"/>
      <c r="AW2166" s="71" t="s">
        <v>204</v>
      </c>
      <c r="AX2166" s="72">
        <v>0</v>
      </c>
      <c r="AY2166" s="74">
        <v>0</v>
      </c>
      <c r="AZ2166" s="74">
        <v>0</v>
      </c>
      <c r="BA2166" s="71" t="s">
        <v>206</v>
      </c>
      <c r="BB2166" s="72">
        <v>0</v>
      </c>
      <c r="BC2166" s="75">
        <v>0</v>
      </c>
      <c r="BD2166" s="75">
        <v>1</v>
      </c>
      <c r="BE2166" s="76" t="s">
        <v>5010</v>
      </c>
      <c r="BF2166" s="76" t="s">
        <v>5011</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5012</v>
      </c>
      <c r="E2167" s="71" t="s">
        <v>5013</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5014</v>
      </c>
      <c r="BF2167" s="76" t="s">
        <v>5015</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5016</v>
      </c>
      <c r="E2168" s="88" t="s">
        <v>5017</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5018</v>
      </c>
      <c r="BF2168" s="89" t="s">
        <v>5019</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5020</v>
      </c>
      <c r="BF2169" s="89" t="s">
        <v>5021</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5022</v>
      </c>
      <c r="E2170" s="71" t="s">
        <v>5023</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5024</v>
      </c>
      <c r="BF2170" s="76" t="s">
        <v>5025</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5026</v>
      </c>
      <c r="E2171" s="71" t="s">
        <v>5027</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5028</v>
      </c>
      <c r="BF2171" s="114" t="s">
        <v>5029</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5030</v>
      </c>
      <c r="E2172" s="71" t="s">
        <v>5031</v>
      </c>
      <c r="F2172" s="74">
        <v>1</v>
      </c>
      <c r="G2172" s="32">
        <v>80003008</v>
      </c>
      <c r="H2172" s="74">
        <v>0</v>
      </c>
      <c r="I2172" s="75">
        <v>0</v>
      </c>
      <c r="J2172" s="74">
        <v>1</v>
      </c>
      <c r="K2172" s="74">
        <v>0</v>
      </c>
      <c r="L2172" s="74">
        <v>0</v>
      </c>
      <c r="M2172" s="72">
        <v>0</v>
      </c>
      <c r="N2172" s="72">
        <v>0</v>
      </c>
      <c r="O2172" s="72">
        <v>2</v>
      </c>
      <c r="P2172" s="72" t="s">
        <v>5032</v>
      </c>
      <c r="Q2172" s="72" t="s">
        <v>5033</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0" t="s">
        <v>5034</v>
      </c>
      <c r="AU2172" s="72">
        <v>80005072</v>
      </c>
      <c r="AV2172" s="72"/>
      <c r="AW2172" s="88" t="s">
        <v>204</v>
      </c>
      <c r="AX2172" s="72" t="s">
        <v>540</v>
      </c>
      <c r="AY2172" s="74">
        <v>0</v>
      </c>
      <c r="AZ2172" s="74">
        <v>0</v>
      </c>
      <c r="BA2172" s="71" t="s">
        <v>206</v>
      </c>
      <c r="BB2172" s="72">
        <v>0</v>
      </c>
      <c r="BC2172" s="75">
        <v>0</v>
      </c>
      <c r="BD2172" s="75">
        <v>0</v>
      </c>
      <c r="BE2172" s="76" t="s">
        <v>5035</v>
      </c>
      <c r="BF2172" s="76" t="s">
        <v>5036</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5037</v>
      </c>
      <c r="E2173" s="30" t="s">
        <v>5038</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5039</v>
      </c>
      <c r="BF2173" s="33" t="s">
        <v>5040</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5041</v>
      </c>
      <c r="E2174" s="30" t="s">
        <v>5042</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5039</v>
      </c>
      <c r="BF2174" s="33" t="s">
        <v>5040</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5043</v>
      </c>
      <c r="E2175" s="30" t="s">
        <v>5044</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5039</v>
      </c>
      <c r="BF2175" s="33" t="s">
        <v>5040</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5045</v>
      </c>
      <c r="E2176" s="30" t="s">
        <v>5046</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5039</v>
      </c>
      <c r="BF2176" s="33" t="s">
        <v>5040</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5047</v>
      </c>
      <c r="E2177" s="30" t="s">
        <v>5048</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5039</v>
      </c>
      <c r="BF2177" s="33" t="s">
        <v>5040</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5049</v>
      </c>
      <c r="E2178" s="30" t="s">
        <v>5050</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5051</v>
      </c>
      <c r="BF2178" s="33" t="s">
        <v>5052</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5053</v>
      </c>
      <c r="E2179" s="30" t="s">
        <v>5054</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5055</v>
      </c>
      <c r="BF2179" s="33" t="s">
        <v>5056</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5057</v>
      </c>
      <c r="E2180" s="30" t="s">
        <v>5058</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5059</v>
      </c>
      <c r="BF2180" s="33" t="s">
        <v>5060</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5061</v>
      </c>
      <c r="E2181" s="30" t="s">
        <v>5062</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5063</v>
      </c>
      <c r="BF2181" s="33" t="s">
        <v>5064</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5065</v>
      </c>
      <c r="E2182" s="30" t="s">
        <v>5066</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5067</v>
      </c>
      <c r="BF2182" s="33" t="s">
        <v>5068</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5069</v>
      </c>
      <c r="E2183" s="71" t="s">
        <v>5070</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5071</v>
      </c>
      <c r="BF2183" s="33" t="s">
        <v>5072</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5073</v>
      </c>
      <c r="E2184" s="30" t="s">
        <v>5074</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5075</v>
      </c>
      <c r="BF2184" s="33" t="s">
        <v>5076</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5077</v>
      </c>
      <c r="E2185" s="30" t="s">
        <v>5078</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5079</v>
      </c>
      <c r="BF2185" s="33" t="s">
        <v>5080</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5081</v>
      </c>
      <c r="E2186" s="30" t="s">
        <v>5082</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5083</v>
      </c>
      <c r="BC2186" s="31">
        <v>0</v>
      </c>
      <c r="BD2186" s="31">
        <v>0</v>
      </c>
      <c r="BE2186" s="33" t="s">
        <v>5084</v>
      </c>
      <c r="BF2186" s="33" t="s">
        <v>5085</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5069</v>
      </c>
      <c r="E2187" s="71" t="s">
        <v>5070</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0" t="s">
        <v>5086</v>
      </c>
      <c r="AU2187" s="93">
        <v>0</v>
      </c>
      <c r="AV2187" s="93"/>
      <c r="AW2187" s="71" t="s">
        <v>204</v>
      </c>
      <c r="AX2187" s="72">
        <v>0</v>
      </c>
      <c r="AY2187" s="74">
        <v>0</v>
      </c>
      <c r="AZ2187" s="74">
        <v>0</v>
      </c>
      <c r="BA2187" s="71" t="s">
        <v>206</v>
      </c>
      <c r="BB2187" s="72">
        <v>0</v>
      </c>
      <c r="BC2187" s="75">
        <v>0</v>
      </c>
      <c r="BD2187" s="75">
        <v>0</v>
      </c>
      <c r="BE2187" s="76" t="s">
        <v>5087</v>
      </c>
      <c r="BF2187" s="76" t="s">
        <v>5088</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5089</v>
      </c>
      <c r="E2188" s="71" t="s">
        <v>5090</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5091</v>
      </c>
      <c r="BF2188" s="76" t="s">
        <v>5092</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5093</v>
      </c>
      <c r="E2189" s="71" t="s">
        <v>5094</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2" t="s">
        <v>5095</v>
      </c>
      <c r="AV2189" s="93"/>
      <c r="AW2189" s="71" t="s">
        <v>293</v>
      </c>
      <c r="AX2189" s="72">
        <v>0</v>
      </c>
      <c r="AY2189" s="74">
        <v>0</v>
      </c>
      <c r="AZ2189" s="74">
        <v>23000202</v>
      </c>
      <c r="BA2189" s="71" t="s">
        <v>206</v>
      </c>
      <c r="BB2189" s="72">
        <v>0</v>
      </c>
      <c r="BC2189" s="75">
        <v>0</v>
      </c>
      <c r="BD2189" s="75">
        <v>0</v>
      </c>
      <c r="BE2189" s="76" t="s">
        <v>5096</v>
      </c>
      <c r="BF2189" s="76" t="s">
        <v>5097</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5098</v>
      </c>
      <c r="E2190" s="71" t="s">
        <v>5099</v>
      </c>
      <c r="F2190" s="74">
        <v>1</v>
      </c>
      <c r="G2190" s="74">
        <v>80004008</v>
      </c>
      <c r="H2190" s="74">
        <v>0</v>
      </c>
      <c r="I2190" s="75">
        <v>0</v>
      </c>
      <c r="J2190" s="74">
        <v>1</v>
      </c>
      <c r="K2190" s="74">
        <v>0</v>
      </c>
      <c r="L2190" s="74">
        <v>0</v>
      </c>
      <c r="M2190" s="72">
        <v>0</v>
      </c>
      <c r="N2190" s="72">
        <v>0</v>
      </c>
      <c r="O2190" s="72">
        <v>2</v>
      </c>
      <c r="P2190" s="72" t="s">
        <v>5100</v>
      </c>
      <c r="Q2190" s="72" t="s">
        <v>5101</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1" t="s">
        <v>5102</v>
      </c>
      <c r="AU2190" s="322" t="s">
        <v>5103</v>
      </c>
      <c r="AV2190" s="93"/>
      <c r="AW2190" s="71" t="s">
        <v>293</v>
      </c>
      <c r="AX2190" s="72">
        <v>0</v>
      </c>
      <c r="AY2190" s="74">
        <v>0</v>
      </c>
      <c r="AZ2190" s="74">
        <v>23000211</v>
      </c>
      <c r="BA2190" s="71" t="s">
        <v>206</v>
      </c>
      <c r="BB2190" s="72">
        <v>0</v>
      </c>
      <c r="BC2190" s="75">
        <v>0</v>
      </c>
      <c r="BD2190" s="75">
        <v>0</v>
      </c>
      <c r="BE2190" s="76" t="s">
        <v>5104</v>
      </c>
      <c r="BF2190" s="76" t="s">
        <v>5105</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5106</v>
      </c>
      <c r="E2191" s="71" t="s">
        <v>5107</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2"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5108</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0" t="s">
        <v>5109</v>
      </c>
      <c r="AU2192" s="322" t="s">
        <v>5110</v>
      </c>
      <c r="AV2192" s="93"/>
      <c r="AW2192" s="71" t="s">
        <v>205</v>
      </c>
      <c r="AX2192" s="72" t="s">
        <v>221</v>
      </c>
      <c r="AY2192" s="74">
        <v>10000011</v>
      </c>
      <c r="AZ2192" s="74">
        <v>23000221</v>
      </c>
      <c r="BA2192" s="71" t="s">
        <v>222</v>
      </c>
      <c r="BB2192" s="72">
        <v>0</v>
      </c>
      <c r="BC2192" s="75">
        <v>0</v>
      </c>
      <c r="BD2192" s="75">
        <v>0</v>
      </c>
      <c r="BE2192" s="76" t="s">
        <v>5111</v>
      </c>
      <c r="BF2192" s="76" t="s">
        <v>5112</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5108</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5113</v>
      </c>
      <c r="AU2193" s="322" t="s">
        <v>5110</v>
      </c>
      <c r="AV2193" s="93"/>
      <c r="AW2193" s="71" t="s">
        <v>205</v>
      </c>
      <c r="AX2193" s="72" t="s">
        <v>221</v>
      </c>
      <c r="AY2193" s="74">
        <v>10000011</v>
      </c>
      <c r="AZ2193" s="74">
        <v>23000221</v>
      </c>
      <c r="BA2193" s="71" t="s">
        <v>222</v>
      </c>
      <c r="BB2193" s="72">
        <v>0</v>
      </c>
      <c r="BC2193" s="75">
        <v>0</v>
      </c>
      <c r="BD2193" s="75">
        <v>0</v>
      </c>
      <c r="BE2193" s="76" t="s">
        <v>5114</v>
      </c>
      <c r="BF2193" s="76" t="s">
        <v>5115</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5116</v>
      </c>
      <c r="BF2194" s="76" t="s">
        <v>5117</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5077</v>
      </c>
      <c r="E2195" s="71" t="s">
        <v>5078</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5118</v>
      </c>
      <c r="BF2195" s="76" t="s">
        <v>5119</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39" t="s">
        <v>5120</v>
      </c>
      <c r="AV2196" s="32"/>
      <c r="AW2196" s="35" t="s">
        <v>205</v>
      </c>
      <c r="AX2196" s="32" t="s">
        <v>540</v>
      </c>
      <c r="AY2196" s="32">
        <v>10000007</v>
      </c>
      <c r="AZ2196" s="32">
        <v>70403003</v>
      </c>
      <c r="BA2196" s="30" t="s">
        <v>1708</v>
      </c>
      <c r="BB2196" s="35">
        <v>0</v>
      </c>
      <c r="BC2196" s="31">
        <v>0</v>
      </c>
      <c r="BD2196" s="31">
        <v>0</v>
      </c>
      <c r="BE2196" s="185" t="s">
        <v>5121</v>
      </c>
      <c r="BF2196" s="185" t="s">
        <v>5122</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4713</v>
      </c>
      <c r="E2197" s="35" t="s">
        <v>4714</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5123</v>
      </c>
      <c r="BF2197" s="185" t="s">
        <v>5124</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5125</v>
      </c>
      <c r="E2198" s="35" t="s">
        <v>5126</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5" t="s">
        <v>5127</v>
      </c>
      <c r="BF2198" s="185" t="s">
        <v>5128</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5129</v>
      </c>
      <c r="E2199" s="35" t="s">
        <v>5130</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5" t="s">
        <v>5131</v>
      </c>
      <c r="BF2199" s="185" t="s">
        <v>5132</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5133</v>
      </c>
      <c r="E2200" s="88" t="s">
        <v>5134</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5135</v>
      </c>
      <c r="BC2200" s="75">
        <v>0</v>
      </c>
      <c r="BD2200" s="75">
        <v>0</v>
      </c>
      <c r="BE2200" s="89" t="s">
        <v>5136</v>
      </c>
      <c r="BF2200" s="89" t="s">
        <v>5137</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5138</v>
      </c>
      <c r="E2201" s="88" t="s">
        <v>5139</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8" t="s">
        <v>5140</v>
      </c>
      <c r="BF2201" s="208" t="s">
        <v>5141</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5142</v>
      </c>
      <c r="E2202" s="30" t="s">
        <v>5143</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39" t="s">
        <v>5120</v>
      </c>
      <c r="AV2202" s="32"/>
      <c r="AW2202" s="35" t="s">
        <v>205</v>
      </c>
      <c r="AX2202" s="21" t="s">
        <v>540</v>
      </c>
      <c r="AY2202" s="32">
        <v>10000007</v>
      </c>
      <c r="AZ2202" s="32">
        <v>21101050</v>
      </c>
      <c r="BA2202" s="30" t="s">
        <v>5144</v>
      </c>
      <c r="BB2202" s="21">
        <v>0</v>
      </c>
      <c r="BC2202" s="31">
        <v>0</v>
      </c>
      <c r="BD2202" s="31">
        <v>0</v>
      </c>
      <c r="BE2202" s="185" t="s">
        <v>5145</v>
      </c>
      <c r="BF2202" s="185" t="s">
        <v>5146</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5147</v>
      </c>
      <c r="E2203" s="30" t="s">
        <v>5148</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5149</v>
      </c>
      <c r="BF2203" s="171" t="s">
        <v>5150</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5151</v>
      </c>
      <c r="E2204" s="30" t="s">
        <v>5152</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5153</v>
      </c>
      <c r="BF2204" s="22" t="s">
        <v>5154</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5155</v>
      </c>
      <c r="E2205" s="30" t="s">
        <v>5156</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5157</v>
      </c>
      <c r="BF2205" s="22" t="s">
        <v>5158</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5" t="s">
        <v>5159</v>
      </c>
      <c r="BF2206" s="185" t="s">
        <v>5160</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5161</v>
      </c>
      <c r="BF2207" s="185" t="s">
        <v>5162</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5163</v>
      </c>
      <c r="E2208" s="30" t="s">
        <v>5164</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5144</v>
      </c>
      <c r="BB2208" s="21">
        <v>0</v>
      </c>
      <c r="BC2208" s="31">
        <v>0</v>
      </c>
      <c r="BD2208" s="31">
        <v>0</v>
      </c>
      <c r="BE2208" s="185" t="s">
        <v>5165</v>
      </c>
      <c r="BF2208" s="185" t="s">
        <v>5166</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1:78" ht="19.5" customHeight="1">
      <c r="C2209" s="32">
        <v>81000360</v>
      </c>
      <c r="D2209" s="190" t="s">
        <v>5167</v>
      </c>
      <c r="E2209" s="190" t="s">
        <v>5168</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1707</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5169</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1:78" ht="19.5" customHeight="1">
      <c r="C2210" s="32">
        <v>81000370</v>
      </c>
      <c r="D2210" s="35" t="s">
        <v>5170</v>
      </c>
      <c r="E2210" s="35" t="s">
        <v>5171</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5172</v>
      </c>
      <c r="BF2210" s="185" t="s">
        <v>5173</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1:78" ht="19.5" customHeight="1">
      <c r="A2211" s="140"/>
      <c r="B2211" s="140"/>
      <c r="C2211" s="32">
        <v>82000010</v>
      </c>
      <c r="D2211" s="71" t="s">
        <v>5778</v>
      </c>
      <c r="E2211" s="71" t="s">
        <v>2501</v>
      </c>
      <c r="F2211" s="74">
        <v>1</v>
      </c>
      <c r="G2211" s="72">
        <v>62011301</v>
      </c>
      <c r="H2211" s="74">
        <v>0</v>
      </c>
      <c r="I2211" s="75">
        <v>0</v>
      </c>
      <c r="J2211" s="74">
        <v>1</v>
      </c>
      <c r="K2211" s="74">
        <v>0</v>
      </c>
      <c r="L2211" s="74">
        <v>0</v>
      </c>
      <c r="M2211" s="72">
        <v>0</v>
      </c>
      <c r="N2211" s="72">
        <v>0</v>
      </c>
      <c r="O2211" s="72">
        <v>1</v>
      </c>
      <c r="P2211" s="72">
        <v>0</v>
      </c>
      <c r="Q2211" s="72">
        <v>0</v>
      </c>
      <c r="R2211" s="72">
        <v>0</v>
      </c>
      <c r="S2211" s="73">
        <v>0</v>
      </c>
      <c r="T2211" s="72">
        <v>0</v>
      </c>
      <c r="U2211" s="72">
        <v>1</v>
      </c>
      <c r="V2211" s="72">
        <v>2</v>
      </c>
      <c r="W2211" s="72">
        <v>0</v>
      </c>
      <c r="X2211" s="72">
        <v>0</v>
      </c>
      <c r="Y2211" s="19">
        <v>0</v>
      </c>
      <c r="Z2211" s="72">
        <v>0</v>
      </c>
      <c r="AA2211" s="72">
        <v>0</v>
      </c>
      <c r="AB2211" s="72">
        <v>0</v>
      </c>
      <c r="AC2211" s="72">
        <v>0</v>
      </c>
      <c r="AD2211" s="72">
        <v>0</v>
      </c>
      <c r="AE2211" s="72">
        <v>1</v>
      </c>
      <c r="AF2211" s="72">
        <v>0</v>
      </c>
      <c r="AG2211" s="72">
        <v>1</v>
      </c>
      <c r="AH2211" s="72">
        <v>0</v>
      </c>
      <c r="AI2211" s="73">
        <v>0</v>
      </c>
      <c r="AJ2211" s="73">
        <v>0</v>
      </c>
      <c r="AK2211" s="73">
        <v>0</v>
      </c>
      <c r="AL2211" s="73">
        <v>2</v>
      </c>
      <c r="AM2211" s="72">
        <v>0</v>
      </c>
      <c r="AN2211" s="72">
        <v>0</v>
      </c>
      <c r="AO2211" s="72">
        <v>0</v>
      </c>
      <c r="AP2211" s="72">
        <v>0</v>
      </c>
      <c r="AQ2211" s="72">
        <v>5000</v>
      </c>
      <c r="AR2211" s="72">
        <v>0</v>
      </c>
      <c r="AS2211" s="72">
        <v>0</v>
      </c>
      <c r="AT2211" s="73">
        <v>99008001</v>
      </c>
      <c r="AU2211" s="93">
        <v>0</v>
      </c>
      <c r="AV2211" s="93"/>
      <c r="AW2211" s="71" t="s">
        <v>204</v>
      </c>
      <c r="AX2211" s="72">
        <v>0</v>
      </c>
      <c r="AY2211" s="74">
        <v>0</v>
      </c>
      <c r="AZ2211" s="74">
        <v>0</v>
      </c>
      <c r="BA2211" s="71" t="s">
        <v>206</v>
      </c>
      <c r="BB2211" s="72">
        <v>0</v>
      </c>
      <c r="BC2211" s="75">
        <v>0</v>
      </c>
      <c r="BD2211" s="75">
        <v>1</v>
      </c>
      <c r="BE2211" s="76" t="s">
        <v>2503</v>
      </c>
      <c r="BF2211" s="76" t="s">
        <v>2504</v>
      </c>
      <c r="BG2211" s="72">
        <v>0</v>
      </c>
      <c r="BH2211" s="72">
        <v>0</v>
      </c>
      <c r="BI2211" s="72">
        <v>0</v>
      </c>
      <c r="BJ2211" s="72">
        <v>0</v>
      </c>
      <c r="BK2211" s="72">
        <v>0</v>
      </c>
      <c r="BL2211" s="72">
        <v>0</v>
      </c>
      <c r="BM2211" s="90">
        <v>0</v>
      </c>
      <c r="BN2211" s="73">
        <v>0</v>
      </c>
      <c r="BO2211" s="73">
        <v>0</v>
      </c>
      <c r="BP2211" s="73">
        <v>0</v>
      </c>
      <c r="BQ2211" s="73">
        <v>0</v>
      </c>
      <c r="BR2211" s="73">
        <v>0</v>
      </c>
      <c r="BS2211" s="73">
        <v>0</v>
      </c>
      <c r="BT2211" s="73">
        <v>0</v>
      </c>
      <c r="BU2211" s="73">
        <v>0</v>
      </c>
      <c r="BV2211" s="23"/>
      <c r="BW2211" s="23"/>
      <c r="BX2211" s="23"/>
      <c r="BY2211" s="23"/>
      <c r="BZ2211" s="23">
        <v>1</v>
      </c>
    </row>
    <row r="2212" spans="1:78" ht="20.100000000000001" customHeight="1">
      <c r="C2212" s="32">
        <v>67000262</v>
      </c>
      <c r="D2212" s="30" t="s">
        <v>5174</v>
      </c>
      <c r="E2212" s="30" t="s">
        <v>5175</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93000201</v>
      </c>
      <c r="AU2212" s="21" t="s">
        <v>204</v>
      </c>
      <c r="AV2212" s="21"/>
      <c r="AW2212" s="30" t="s">
        <v>205</v>
      </c>
      <c r="AX2212" s="21">
        <v>0</v>
      </c>
      <c r="AY2212" s="32">
        <v>0</v>
      </c>
      <c r="AZ2212" s="32">
        <v>0</v>
      </c>
      <c r="BA2212" s="30" t="s">
        <v>5176</v>
      </c>
      <c r="BB2212" s="21">
        <v>0</v>
      </c>
      <c r="BC2212" s="31">
        <v>0</v>
      </c>
      <c r="BD2212" s="31">
        <v>1</v>
      </c>
      <c r="BE2212" s="33" t="s">
        <v>5177</v>
      </c>
      <c r="BF2212" s="33" t="s">
        <v>5178</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1:78" ht="20.100000000000001" customHeight="1">
      <c r="C2213" s="32">
        <v>67000263</v>
      </c>
      <c r="D2213" s="30" t="s">
        <v>5179</v>
      </c>
      <c r="E2213" s="30" t="s">
        <v>5180</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1</v>
      </c>
      <c r="AJ2213" s="19">
        <v>0</v>
      </c>
      <c r="AK2213" s="19">
        <v>0</v>
      </c>
      <c r="AL2213" s="19">
        <v>1.5</v>
      </c>
      <c r="AM2213" s="21">
        <v>0</v>
      </c>
      <c r="AN2213" s="21">
        <v>0</v>
      </c>
      <c r="AO2213" s="21">
        <v>0</v>
      </c>
      <c r="AP2213" s="21">
        <v>1</v>
      </c>
      <c r="AQ2213" s="21">
        <v>3000</v>
      </c>
      <c r="AR2213" s="21">
        <v>0.5</v>
      </c>
      <c r="AS2213" s="21">
        <v>0</v>
      </c>
      <c r="AT2213" s="19">
        <v>0</v>
      </c>
      <c r="AU2213" s="21" t="s">
        <v>5181</v>
      </c>
      <c r="AV2213" s="21"/>
      <c r="AW2213" s="30" t="s">
        <v>293</v>
      </c>
      <c r="AX2213" s="21">
        <v>0</v>
      </c>
      <c r="AY2213" s="32">
        <v>0</v>
      </c>
      <c r="AZ2213" s="32">
        <v>0</v>
      </c>
      <c r="BA2213" s="30" t="s">
        <v>206</v>
      </c>
      <c r="BB2213" s="21">
        <v>0</v>
      </c>
      <c r="BC2213" s="31">
        <v>0</v>
      </c>
      <c r="BD2213" s="31">
        <v>1</v>
      </c>
      <c r="BE2213" s="33" t="s">
        <v>5182</v>
      </c>
      <c r="BF2213" s="33" t="s">
        <v>5183</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67000264</v>
      </c>
      <c r="D2214" s="71" t="s">
        <v>5184</v>
      </c>
      <c r="E2214" s="71" t="s">
        <v>5185</v>
      </c>
      <c r="F2214" s="21">
        <v>1</v>
      </c>
      <c r="G2214" s="21">
        <v>90002001</v>
      </c>
      <c r="H2214" s="72">
        <v>0</v>
      </c>
      <c r="I2214" s="31">
        <v>0</v>
      </c>
      <c r="J2214" s="32">
        <v>1</v>
      </c>
      <c r="K2214" s="32">
        <v>0</v>
      </c>
      <c r="L2214" s="32">
        <v>0</v>
      </c>
      <c r="M2214" s="72">
        <v>0</v>
      </c>
      <c r="N2214" s="72">
        <v>0</v>
      </c>
      <c r="O2214" s="72">
        <v>1</v>
      </c>
      <c r="P2214" s="21">
        <v>1</v>
      </c>
      <c r="Q2214" s="21">
        <v>0.1</v>
      </c>
      <c r="R2214" s="72">
        <v>0</v>
      </c>
      <c r="S2214" s="19">
        <v>0</v>
      </c>
      <c r="T2214" s="72">
        <v>0</v>
      </c>
      <c r="U2214" s="21">
        <v>1</v>
      </c>
      <c r="V2214" s="72">
        <v>2</v>
      </c>
      <c r="W2214" s="72">
        <v>0</v>
      </c>
      <c r="X2214" s="72">
        <v>1.5</v>
      </c>
      <c r="Y2214" s="19">
        <v>0</v>
      </c>
      <c r="Z2214" s="21">
        <v>0</v>
      </c>
      <c r="AA2214" s="72">
        <v>0</v>
      </c>
      <c r="AB2214" s="72">
        <v>0</v>
      </c>
      <c r="AC2214" s="72">
        <v>0</v>
      </c>
      <c r="AD2214" s="72">
        <v>0</v>
      </c>
      <c r="AE2214" s="72">
        <v>0</v>
      </c>
      <c r="AF2214" s="72">
        <v>10</v>
      </c>
      <c r="AG2214" s="72">
        <v>2</v>
      </c>
      <c r="AH2214" s="72" t="s">
        <v>2327</v>
      </c>
      <c r="AI2214" s="73">
        <v>0</v>
      </c>
      <c r="AJ2214" s="19">
        <v>0</v>
      </c>
      <c r="AK2214" s="19">
        <v>0</v>
      </c>
      <c r="AL2214" s="73">
        <v>1.5</v>
      </c>
      <c r="AM2214" s="72">
        <v>0</v>
      </c>
      <c r="AN2214" s="72">
        <v>0</v>
      </c>
      <c r="AO2214" s="72">
        <v>0</v>
      </c>
      <c r="AP2214" s="72">
        <v>2</v>
      </c>
      <c r="AQ2214" s="72">
        <v>3000</v>
      </c>
      <c r="AR2214" s="72">
        <v>0.5</v>
      </c>
      <c r="AS2214" s="72">
        <v>0</v>
      </c>
      <c r="AT2214" s="19">
        <v>0</v>
      </c>
      <c r="AU2214" s="72" t="s">
        <v>204</v>
      </c>
      <c r="AV2214" s="72"/>
      <c r="AW2214" s="71" t="s">
        <v>293</v>
      </c>
      <c r="AX2214" s="21">
        <v>0</v>
      </c>
      <c r="AY2214" s="74">
        <v>10000007</v>
      </c>
      <c r="AZ2214" s="32">
        <v>23000010</v>
      </c>
      <c r="BA2214" s="71" t="s">
        <v>206</v>
      </c>
      <c r="BB2214" s="72">
        <v>0</v>
      </c>
      <c r="BC2214" s="75">
        <v>0</v>
      </c>
      <c r="BD2214" s="31">
        <v>1</v>
      </c>
      <c r="BE2214" s="76" t="s">
        <v>5186</v>
      </c>
      <c r="BF2214" s="76" t="s">
        <v>5187</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67000265</v>
      </c>
      <c r="D2215" s="30" t="s">
        <v>5188</v>
      </c>
      <c r="E2215" s="30" t="s">
        <v>5189</v>
      </c>
      <c r="F2215" s="21">
        <v>1</v>
      </c>
      <c r="G2215" s="21">
        <v>90002001</v>
      </c>
      <c r="H2215" s="21">
        <v>0</v>
      </c>
      <c r="I2215" s="31">
        <v>0</v>
      </c>
      <c r="J2215" s="32">
        <v>1</v>
      </c>
      <c r="K2215" s="32">
        <v>0</v>
      </c>
      <c r="L2215" s="32">
        <v>0</v>
      </c>
      <c r="M2215" s="21">
        <v>0</v>
      </c>
      <c r="N2215" s="21">
        <v>0</v>
      </c>
      <c r="O2215" s="21">
        <v>1</v>
      </c>
      <c r="P2215" s="21">
        <v>2</v>
      </c>
      <c r="Q2215" s="21">
        <v>1</v>
      </c>
      <c r="R2215" s="21">
        <v>0</v>
      </c>
      <c r="S2215" s="19">
        <v>0</v>
      </c>
      <c r="T2215" s="21">
        <v>0</v>
      </c>
      <c r="U2215" s="21">
        <v>1</v>
      </c>
      <c r="V2215" s="21">
        <v>2</v>
      </c>
      <c r="W2215" s="21">
        <v>0</v>
      </c>
      <c r="X2215" s="21">
        <v>0</v>
      </c>
      <c r="Y2215" s="19">
        <v>0</v>
      </c>
      <c r="Z2215" s="21">
        <v>0</v>
      </c>
      <c r="AA2215" s="21">
        <v>0</v>
      </c>
      <c r="AB2215" s="21">
        <v>0</v>
      </c>
      <c r="AC2215" s="21">
        <v>0</v>
      </c>
      <c r="AD2215" s="21">
        <v>0</v>
      </c>
      <c r="AE2215" s="21">
        <v>0</v>
      </c>
      <c r="AF2215" s="21">
        <v>30</v>
      </c>
      <c r="AG2215" s="21">
        <v>2</v>
      </c>
      <c r="AH2215" s="21" t="s">
        <v>219</v>
      </c>
      <c r="AI2215" s="19">
        <v>0</v>
      </c>
      <c r="AJ2215" s="19">
        <v>0</v>
      </c>
      <c r="AK2215" s="19">
        <v>0</v>
      </c>
      <c r="AL2215" s="19">
        <v>1.5</v>
      </c>
      <c r="AM2215" s="21">
        <v>0</v>
      </c>
      <c r="AN2215" s="21">
        <v>0</v>
      </c>
      <c r="AO2215" s="21">
        <v>0</v>
      </c>
      <c r="AP2215" s="21">
        <v>1</v>
      </c>
      <c r="AQ2215" s="21">
        <v>3000</v>
      </c>
      <c r="AR2215" s="21">
        <v>0.5</v>
      </c>
      <c r="AS2215" s="21">
        <v>0</v>
      </c>
      <c r="AT2215" s="19">
        <v>93000203</v>
      </c>
      <c r="AU2215" s="21" t="s">
        <v>204</v>
      </c>
      <c r="AV2215" s="21"/>
      <c r="AW2215" s="30" t="s">
        <v>205</v>
      </c>
      <c r="AX2215" s="21">
        <v>0</v>
      </c>
      <c r="AY2215" s="32">
        <v>0</v>
      </c>
      <c r="AZ2215" s="32">
        <v>0</v>
      </c>
      <c r="BA2215" s="30" t="s">
        <v>5176</v>
      </c>
      <c r="BB2215" s="21">
        <v>0</v>
      </c>
      <c r="BC2215" s="31">
        <v>0</v>
      </c>
      <c r="BD2215" s="31">
        <v>1</v>
      </c>
      <c r="BE2215" s="33" t="s">
        <v>5190</v>
      </c>
      <c r="BF2215" s="33" t="s">
        <v>5191</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67000266</v>
      </c>
      <c r="D2216" s="30" t="s">
        <v>5192</v>
      </c>
      <c r="E2216" s="30" t="s">
        <v>5193</v>
      </c>
      <c r="F2216" s="21">
        <v>1</v>
      </c>
      <c r="G2216" s="21">
        <v>90002001</v>
      </c>
      <c r="H2216" s="21">
        <v>0</v>
      </c>
      <c r="I2216" s="31">
        <v>0</v>
      </c>
      <c r="J2216" s="32">
        <v>1</v>
      </c>
      <c r="K2216" s="32">
        <v>0</v>
      </c>
      <c r="L2216" s="32">
        <v>0</v>
      </c>
      <c r="M2216" s="21">
        <v>0</v>
      </c>
      <c r="N2216" s="21">
        <v>0</v>
      </c>
      <c r="O2216" s="21">
        <v>1</v>
      </c>
      <c r="P2216" s="21">
        <v>1</v>
      </c>
      <c r="Q2216" s="21">
        <v>0.1</v>
      </c>
      <c r="R2216" s="21">
        <v>0</v>
      </c>
      <c r="S2216" s="19">
        <v>0</v>
      </c>
      <c r="T2216" s="21">
        <v>0</v>
      </c>
      <c r="U2216" s="21">
        <v>1</v>
      </c>
      <c r="V2216" s="21">
        <v>2</v>
      </c>
      <c r="W2216" s="21">
        <v>0</v>
      </c>
      <c r="X2216" s="21">
        <v>1.5</v>
      </c>
      <c r="Y2216" s="19">
        <v>0</v>
      </c>
      <c r="Z2216" s="21">
        <v>0</v>
      </c>
      <c r="AA2216" s="21">
        <v>0</v>
      </c>
      <c r="AB2216" s="21">
        <v>0</v>
      </c>
      <c r="AC2216" s="21">
        <v>0</v>
      </c>
      <c r="AD2216" s="21">
        <v>0</v>
      </c>
      <c r="AE2216" s="21">
        <v>0</v>
      </c>
      <c r="AF2216" s="21">
        <v>3</v>
      </c>
      <c r="AG2216" s="21">
        <v>2</v>
      </c>
      <c r="AH2216" s="21" t="s">
        <v>219</v>
      </c>
      <c r="AI2216" s="19">
        <v>7</v>
      </c>
      <c r="AJ2216" s="19">
        <v>0</v>
      </c>
      <c r="AK2216" s="19">
        <v>0</v>
      </c>
      <c r="AL2216" s="19">
        <v>1.5</v>
      </c>
      <c r="AM2216" s="21">
        <v>0</v>
      </c>
      <c r="AN2216" s="21">
        <v>0</v>
      </c>
      <c r="AO2216" s="21">
        <v>0</v>
      </c>
      <c r="AP2216" s="21">
        <v>1</v>
      </c>
      <c r="AQ2216" s="21">
        <v>3000</v>
      </c>
      <c r="AR2216" s="21">
        <v>0.5</v>
      </c>
      <c r="AS2216" s="21">
        <v>0</v>
      </c>
      <c r="AT2216" s="19">
        <v>0</v>
      </c>
      <c r="AU2216" s="21" t="s">
        <v>5194</v>
      </c>
      <c r="AV2216" s="21"/>
      <c r="AW2216" s="30" t="s">
        <v>293</v>
      </c>
      <c r="AX2216" s="21">
        <v>0</v>
      </c>
      <c r="AY2216" s="32">
        <v>0</v>
      </c>
      <c r="AZ2216" s="32">
        <v>0</v>
      </c>
      <c r="BA2216" s="30" t="s">
        <v>206</v>
      </c>
      <c r="BB2216" s="21">
        <v>0</v>
      </c>
      <c r="BC2216" s="31">
        <v>0</v>
      </c>
      <c r="BD2216" s="31">
        <v>1</v>
      </c>
      <c r="BE2216" s="33" t="s">
        <v>5195</v>
      </c>
      <c r="BF2216" s="33" t="s">
        <v>5196</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67000267</v>
      </c>
      <c r="D2217" s="71" t="s">
        <v>5197</v>
      </c>
      <c r="E2217" s="71" t="s">
        <v>5198</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1.5</v>
      </c>
      <c r="Y2217" s="19">
        <v>0</v>
      </c>
      <c r="Z2217" s="72">
        <v>0</v>
      </c>
      <c r="AA2217" s="72">
        <v>0</v>
      </c>
      <c r="AB2217" s="72">
        <v>0</v>
      </c>
      <c r="AC2217" s="72">
        <v>0</v>
      </c>
      <c r="AD2217" s="72">
        <v>0</v>
      </c>
      <c r="AE2217" s="72">
        <v>0</v>
      </c>
      <c r="AF2217" s="72">
        <v>3</v>
      </c>
      <c r="AG2217" s="72">
        <v>1</v>
      </c>
      <c r="AH2217" s="72" t="s">
        <v>867</v>
      </c>
      <c r="AI2217" s="73">
        <v>0</v>
      </c>
      <c r="AJ2217" s="73">
        <v>0</v>
      </c>
      <c r="AK2217" s="19">
        <v>0</v>
      </c>
      <c r="AL2217" s="73">
        <v>1.5</v>
      </c>
      <c r="AM2217" s="72">
        <v>0</v>
      </c>
      <c r="AN2217" s="72">
        <v>0</v>
      </c>
      <c r="AO2217" s="72">
        <v>0</v>
      </c>
      <c r="AP2217" s="72">
        <v>1</v>
      </c>
      <c r="AQ2217" s="72">
        <v>3000</v>
      </c>
      <c r="AR2217" s="72">
        <v>1</v>
      </c>
      <c r="AS2217" s="72">
        <v>0</v>
      </c>
      <c r="AT2217" s="19">
        <v>0</v>
      </c>
      <c r="AU2217" s="72" t="s">
        <v>204</v>
      </c>
      <c r="AV2217" s="72"/>
      <c r="AW2217" s="71" t="s">
        <v>205</v>
      </c>
      <c r="AX2217" s="21">
        <v>0</v>
      </c>
      <c r="AY2217" s="74">
        <v>10000007</v>
      </c>
      <c r="AZ2217" s="32">
        <v>23000020</v>
      </c>
      <c r="BA2217" s="71" t="s">
        <v>206</v>
      </c>
      <c r="BB2217" s="72">
        <v>0</v>
      </c>
      <c r="BC2217" s="75">
        <v>0</v>
      </c>
      <c r="BD2217" s="31">
        <v>1</v>
      </c>
      <c r="BE2217" s="76" t="s">
        <v>5199</v>
      </c>
      <c r="BF2217" s="76" t="s">
        <v>5200</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67000268</v>
      </c>
      <c r="D2218" s="71" t="s">
        <v>5201</v>
      </c>
      <c r="E2218" s="71" t="s">
        <v>5202</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1</v>
      </c>
      <c r="AK2218" s="19">
        <v>0</v>
      </c>
      <c r="AL2218" s="73">
        <v>1.5</v>
      </c>
      <c r="AM2218" s="72">
        <v>0</v>
      </c>
      <c r="AN2218" s="72">
        <v>0</v>
      </c>
      <c r="AO2218" s="72">
        <v>0</v>
      </c>
      <c r="AP2218" s="72">
        <v>1</v>
      </c>
      <c r="AQ2218" s="72">
        <v>3000</v>
      </c>
      <c r="AR2218" s="72">
        <v>0.5</v>
      </c>
      <c r="AS2218" s="72">
        <v>0</v>
      </c>
      <c r="AT2218" s="19">
        <v>0</v>
      </c>
      <c r="AU2218" s="72" t="s">
        <v>5203</v>
      </c>
      <c r="AV2218" s="72"/>
      <c r="AW2218" s="71" t="s">
        <v>293</v>
      </c>
      <c r="AX2218" s="21">
        <v>0</v>
      </c>
      <c r="AY2218" s="74">
        <v>10000007</v>
      </c>
      <c r="AZ2218" s="32">
        <v>23000030</v>
      </c>
      <c r="BA2218" s="71" t="s">
        <v>206</v>
      </c>
      <c r="BB2218" s="72">
        <v>0</v>
      </c>
      <c r="BC2218" s="75">
        <v>0</v>
      </c>
      <c r="BD2218" s="31">
        <v>1</v>
      </c>
      <c r="BE2218" s="76" t="s">
        <v>5204</v>
      </c>
      <c r="BF2218" s="76" t="s">
        <v>5205</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67000269</v>
      </c>
      <c r="D2219" s="71" t="s">
        <v>5206</v>
      </c>
      <c r="E2219" s="71" t="s">
        <v>5207</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0</v>
      </c>
      <c r="AK2219" s="19">
        <v>0</v>
      </c>
      <c r="AL2219" s="73">
        <v>1.5</v>
      </c>
      <c r="AM2219" s="72">
        <v>0</v>
      </c>
      <c r="AN2219" s="72">
        <v>0</v>
      </c>
      <c r="AO2219" s="72">
        <v>0</v>
      </c>
      <c r="AP2219" s="72">
        <v>1</v>
      </c>
      <c r="AQ2219" s="72">
        <v>3000</v>
      </c>
      <c r="AR2219" s="72">
        <v>0.5</v>
      </c>
      <c r="AS2219" s="72">
        <v>0</v>
      </c>
      <c r="AT2219" s="19">
        <v>0</v>
      </c>
      <c r="AU2219" s="72" t="s">
        <v>1641</v>
      </c>
      <c r="AV2219" s="72"/>
      <c r="AW2219" s="71" t="s">
        <v>293</v>
      </c>
      <c r="AX2219" s="21">
        <v>0</v>
      </c>
      <c r="AY2219" s="74">
        <v>10000007</v>
      </c>
      <c r="AZ2219" s="32">
        <v>23000040</v>
      </c>
      <c r="BA2219" s="71" t="s">
        <v>206</v>
      </c>
      <c r="BB2219" s="72">
        <v>0</v>
      </c>
      <c r="BC2219" s="75">
        <v>0</v>
      </c>
      <c r="BD2219" s="31">
        <v>1</v>
      </c>
      <c r="BE2219" s="76" t="s">
        <v>5208</v>
      </c>
      <c r="BF2219" s="76" t="s">
        <v>5209</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67000270</v>
      </c>
      <c r="D2220" s="30" t="s">
        <v>5210</v>
      </c>
      <c r="E2220" s="30" t="s">
        <v>5211</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5212</v>
      </c>
      <c r="AV2220" s="21"/>
      <c r="AW2220" s="30" t="s">
        <v>293</v>
      </c>
      <c r="AX2220" s="21">
        <v>0</v>
      </c>
      <c r="AY2220" s="32">
        <v>0</v>
      </c>
      <c r="AZ2220" s="32">
        <v>0</v>
      </c>
      <c r="BA2220" s="30" t="s">
        <v>206</v>
      </c>
      <c r="BB2220" s="21">
        <v>0</v>
      </c>
      <c r="BC2220" s="31">
        <v>0</v>
      </c>
      <c r="BD2220" s="31">
        <v>1</v>
      </c>
      <c r="BE2220" s="33" t="s">
        <v>5213</v>
      </c>
      <c r="BF2220" s="33" t="s">
        <v>5214</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67000271</v>
      </c>
      <c r="D2221" s="30" t="s">
        <v>5215</v>
      </c>
      <c r="E2221" s="30" t="s">
        <v>5216</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5217</v>
      </c>
      <c r="AV2221" s="21"/>
      <c r="AW2221" s="30" t="s">
        <v>293</v>
      </c>
      <c r="AX2221" s="21">
        <v>0</v>
      </c>
      <c r="AY2221" s="32">
        <v>0</v>
      </c>
      <c r="AZ2221" s="32">
        <v>0</v>
      </c>
      <c r="BA2221" s="30" t="s">
        <v>206</v>
      </c>
      <c r="BB2221" s="21">
        <v>0</v>
      </c>
      <c r="BC2221" s="31">
        <v>0</v>
      </c>
      <c r="BD2221" s="31">
        <v>1</v>
      </c>
      <c r="BE2221" s="33" t="s">
        <v>5218</v>
      </c>
      <c r="BF2221" s="33" t="s">
        <v>5219</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67000272</v>
      </c>
      <c r="D2222" s="30" t="s">
        <v>5220</v>
      </c>
      <c r="E2222" s="30" t="s">
        <v>5221</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5222</v>
      </c>
      <c r="AV2222" s="21"/>
      <c r="AW2222" s="30" t="s">
        <v>293</v>
      </c>
      <c r="AX2222" s="21">
        <v>0</v>
      </c>
      <c r="AY2222" s="32">
        <v>0</v>
      </c>
      <c r="AZ2222" s="32">
        <v>0</v>
      </c>
      <c r="BA2222" s="30" t="s">
        <v>206</v>
      </c>
      <c r="BB2222" s="21">
        <v>0</v>
      </c>
      <c r="BC2222" s="31">
        <v>0</v>
      </c>
      <c r="BD2222" s="31">
        <v>1</v>
      </c>
      <c r="BE2222" s="33" t="s">
        <v>5223</v>
      </c>
      <c r="BF2222" s="33" t="s">
        <v>5224</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67000273</v>
      </c>
      <c r="D2223" s="30" t="s">
        <v>5225</v>
      </c>
      <c r="E2223" s="30" t="s">
        <v>5226</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2</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204</v>
      </c>
      <c r="AV2223" s="21"/>
      <c r="AW2223" s="30" t="s">
        <v>293</v>
      </c>
      <c r="AX2223" s="21">
        <v>0</v>
      </c>
      <c r="AY2223" s="32">
        <v>0</v>
      </c>
      <c r="AZ2223" s="32">
        <v>0</v>
      </c>
      <c r="BA2223" s="30" t="s">
        <v>206</v>
      </c>
      <c r="BB2223" s="21">
        <v>0</v>
      </c>
      <c r="BC2223" s="31">
        <v>0</v>
      </c>
      <c r="BD2223" s="31">
        <v>1</v>
      </c>
      <c r="BE2223" s="33" t="s">
        <v>5227</v>
      </c>
      <c r="BF2223" s="33" t="s">
        <v>5228</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67000274</v>
      </c>
      <c r="D2224" s="30" t="s">
        <v>5229</v>
      </c>
      <c r="E2224" s="30" t="s">
        <v>5230</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1</v>
      </c>
      <c r="Y2224" s="19">
        <v>0</v>
      </c>
      <c r="Z2224" s="21">
        <v>0</v>
      </c>
      <c r="AA2224" s="21">
        <v>0</v>
      </c>
      <c r="AB2224" s="21">
        <v>0</v>
      </c>
      <c r="AC2224" s="21">
        <v>0</v>
      </c>
      <c r="AD2224" s="21">
        <v>0</v>
      </c>
      <c r="AE2224" s="21">
        <v>0</v>
      </c>
      <c r="AF2224" s="21">
        <v>10</v>
      </c>
      <c r="AG2224" s="21">
        <v>2</v>
      </c>
      <c r="AH2224" s="21" t="s">
        <v>219</v>
      </c>
      <c r="AI2224" s="19">
        <v>0</v>
      </c>
      <c r="AJ2224" s="19">
        <v>0</v>
      </c>
      <c r="AK2224" s="19">
        <v>0</v>
      </c>
      <c r="AL2224" s="19">
        <v>1.5</v>
      </c>
      <c r="AM2224" s="21">
        <v>0</v>
      </c>
      <c r="AN2224" s="21">
        <v>0</v>
      </c>
      <c r="AO2224" s="21">
        <v>0</v>
      </c>
      <c r="AP2224" s="21">
        <v>1</v>
      </c>
      <c r="AQ2224" s="21">
        <v>3000</v>
      </c>
      <c r="AR2224" s="21">
        <v>0.5</v>
      </c>
      <c r="AS2224" s="21">
        <v>0</v>
      </c>
      <c r="AT2224" s="19">
        <v>0</v>
      </c>
      <c r="AU2224" s="21" t="s">
        <v>1641</v>
      </c>
      <c r="AV2224" s="21"/>
      <c r="AW2224" s="30" t="s">
        <v>293</v>
      </c>
      <c r="AX2224" s="21">
        <v>0</v>
      </c>
      <c r="AY2224" s="32">
        <v>10000007</v>
      </c>
      <c r="AZ2224" s="32">
        <v>23000070</v>
      </c>
      <c r="BA2224" s="30" t="s">
        <v>206</v>
      </c>
      <c r="BB2224" s="21">
        <v>0</v>
      </c>
      <c r="BC2224" s="31">
        <v>0</v>
      </c>
      <c r="BD2224" s="31">
        <v>1</v>
      </c>
      <c r="BE2224" s="33" t="s">
        <v>5231</v>
      </c>
      <c r="BF2224" s="33" t="s">
        <v>5232</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67000275</v>
      </c>
      <c r="D2225" s="71" t="s">
        <v>5233</v>
      </c>
      <c r="E2225" s="71" t="s">
        <v>5234</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20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5235</v>
      </c>
      <c r="AV2225" s="72"/>
      <c r="AW2225" s="71" t="s">
        <v>293</v>
      </c>
      <c r="AX2225" s="21">
        <v>0</v>
      </c>
      <c r="AY2225" s="74">
        <v>10000007</v>
      </c>
      <c r="AZ2225" s="32">
        <v>23000050</v>
      </c>
      <c r="BA2225" s="71" t="s">
        <v>206</v>
      </c>
      <c r="BB2225" s="72">
        <v>0</v>
      </c>
      <c r="BC2225" s="75">
        <v>0</v>
      </c>
      <c r="BD2225" s="31">
        <v>1</v>
      </c>
      <c r="BE2225" s="76" t="s">
        <v>5236</v>
      </c>
      <c r="BF2225" s="76" t="s">
        <v>5237</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67000276</v>
      </c>
      <c r="D2226" s="71" t="s">
        <v>5238</v>
      </c>
      <c r="E2226" s="71" t="s">
        <v>5239</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30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5240</v>
      </c>
      <c r="AV2226" s="72"/>
      <c r="AW2226" s="71" t="s">
        <v>293</v>
      </c>
      <c r="AX2226" s="21">
        <v>0</v>
      </c>
      <c r="AY2226" s="74">
        <v>10000007</v>
      </c>
      <c r="AZ2226" s="32">
        <v>23000060</v>
      </c>
      <c r="BA2226" s="71" t="s">
        <v>206</v>
      </c>
      <c r="BB2226" s="72">
        <v>0</v>
      </c>
      <c r="BC2226" s="75">
        <v>0</v>
      </c>
      <c r="BD2226" s="75">
        <v>0</v>
      </c>
      <c r="BE2226" s="76" t="s">
        <v>5241</v>
      </c>
      <c r="BF2226" s="76" t="s">
        <v>5242</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67000277</v>
      </c>
      <c r="D2227" s="71" t="s">
        <v>631</v>
      </c>
      <c r="E2227" s="71" t="s">
        <v>632</v>
      </c>
      <c r="F2227" s="21">
        <v>1</v>
      </c>
      <c r="G2227" s="21">
        <v>90002001</v>
      </c>
      <c r="H2227" s="72">
        <v>0</v>
      </c>
      <c r="I2227" s="31">
        <v>0</v>
      </c>
      <c r="J2227" s="32">
        <v>1</v>
      </c>
      <c r="K2227" s="32">
        <v>0</v>
      </c>
      <c r="L2227" s="32">
        <v>0</v>
      </c>
      <c r="M2227" s="72">
        <v>0</v>
      </c>
      <c r="N2227" s="72">
        <v>0</v>
      </c>
      <c r="O2227" s="72">
        <v>1</v>
      </c>
      <c r="P2227" s="72">
        <v>0</v>
      </c>
      <c r="Q2227" s="72">
        <v>0</v>
      </c>
      <c r="R2227" s="72">
        <v>0</v>
      </c>
      <c r="S2227" s="19">
        <v>0</v>
      </c>
      <c r="T2227" s="72">
        <v>0</v>
      </c>
      <c r="U2227" s="21">
        <v>1</v>
      </c>
      <c r="V2227" s="72">
        <v>2</v>
      </c>
      <c r="W2227" s="72">
        <v>0</v>
      </c>
      <c r="X2227" s="72">
        <v>1</v>
      </c>
      <c r="Y2227" s="19">
        <v>0</v>
      </c>
      <c r="Z2227" s="72">
        <v>0</v>
      </c>
      <c r="AA2227" s="72">
        <v>0</v>
      </c>
      <c r="AB2227" s="72">
        <v>0</v>
      </c>
      <c r="AC2227" s="72">
        <v>0</v>
      </c>
      <c r="AD2227" s="72">
        <v>0</v>
      </c>
      <c r="AE2227" s="72">
        <v>0</v>
      </c>
      <c r="AF2227" s="72">
        <v>30</v>
      </c>
      <c r="AG2227" s="72">
        <v>2</v>
      </c>
      <c r="AH2227" s="72" t="s">
        <v>633</v>
      </c>
      <c r="AI2227" s="19">
        <v>0</v>
      </c>
      <c r="AJ2227" s="19">
        <v>2</v>
      </c>
      <c r="AK2227" s="19">
        <v>0</v>
      </c>
      <c r="AL2227" s="73">
        <v>0</v>
      </c>
      <c r="AM2227" s="72">
        <v>0</v>
      </c>
      <c r="AN2227" s="72">
        <v>0</v>
      </c>
      <c r="AO2227" s="72">
        <v>0</v>
      </c>
      <c r="AP2227" s="72">
        <v>5</v>
      </c>
      <c r="AQ2227" s="72">
        <v>5000</v>
      </c>
      <c r="AR2227" s="72">
        <v>0</v>
      </c>
      <c r="AS2227" s="72">
        <v>0</v>
      </c>
      <c r="AT2227" s="19">
        <v>0</v>
      </c>
      <c r="AU2227" s="72">
        <v>0</v>
      </c>
      <c r="AV2227" s="72"/>
      <c r="AW2227" s="71" t="s">
        <v>293</v>
      </c>
      <c r="AX2227" s="21">
        <v>0</v>
      </c>
      <c r="AY2227" s="74">
        <v>0</v>
      </c>
      <c r="AZ2227" s="32">
        <v>21000010</v>
      </c>
      <c r="BA2227" s="71" t="s">
        <v>634</v>
      </c>
      <c r="BB2227" s="72" t="s">
        <v>5243</v>
      </c>
      <c r="BC2227" s="75">
        <v>0</v>
      </c>
      <c r="BD2227" s="75">
        <v>0</v>
      </c>
      <c r="BE2227" s="76" t="s">
        <v>5241</v>
      </c>
      <c r="BF2227" s="76" t="s">
        <v>5242</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67000278</v>
      </c>
      <c r="D2228" s="35" t="s">
        <v>5244</v>
      </c>
      <c r="E2228" s="35" t="s">
        <v>5245</v>
      </c>
      <c r="F2228" s="21">
        <v>1</v>
      </c>
      <c r="G2228" s="32">
        <v>63001001</v>
      </c>
      <c r="H2228" s="32">
        <v>0</v>
      </c>
      <c r="I2228" s="31">
        <v>0</v>
      </c>
      <c r="J2228" s="32">
        <v>1</v>
      </c>
      <c r="K2228" s="32">
        <v>0</v>
      </c>
      <c r="L2228" s="21">
        <v>0</v>
      </c>
      <c r="M2228" s="32">
        <v>0</v>
      </c>
      <c r="N2228" s="32">
        <v>0</v>
      </c>
      <c r="O2228" s="32">
        <v>1</v>
      </c>
      <c r="P2228" s="32">
        <v>0</v>
      </c>
      <c r="Q2228" s="32">
        <v>1</v>
      </c>
      <c r="R2228" s="32">
        <v>0</v>
      </c>
      <c r="S2228" s="19">
        <v>0</v>
      </c>
      <c r="T2228" s="31">
        <v>0</v>
      </c>
      <c r="U2228" s="21">
        <v>1</v>
      </c>
      <c r="V2228" s="32">
        <v>2</v>
      </c>
      <c r="W2228" s="32">
        <v>0</v>
      </c>
      <c r="X2228" s="32">
        <v>0</v>
      </c>
      <c r="Y2228" s="19">
        <v>0</v>
      </c>
      <c r="Z2228" s="32">
        <v>0</v>
      </c>
      <c r="AA2228" s="32">
        <v>0</v>
      </c>
      <c r="AB2228" s="32">
        <v>0</v>
      </c>
      <c r="AC2228" s="32">
        <v>0</v>
      </c>
      <c r="AD2228" s="32">
        <v>1</v>
      </c>
      <c r="AE2228" s="32">
        <v>0</v>
      </c>
      <c r="AF2228" s="32">
        <v>60</v>
      </c>
      <c r="AG2228" s="32">
        <v>2</v>
      </c>
      <c r="AH2228" s="32" t="s">
        <v>5246</v>
      </c>
      <c r="AI2228" s="19">
        <v>0</v>
      </c>
      <c r="AJ2228" s="19">
        <v>0</v>
      </c>
      <c r="AK2228" s="19">
        <v>0</v>
      </c>
      <c r="AL2228" s="19">
        <v>0</v>
      </c>
      <c r="AM2228" s="32">
        <v>0</v>
      </c>
      <c r="AN2228" s="32">
        <v>0</v>
      </c>
      <c r="AO2228" s="32">
        <v>0</v>
      </c>
      <c r="AP2228" s="32">
        <v>1</v>
      </c>
      <c r="AQ2228" s="32">
        <v>1800000</v>
      </c>
      <c r="AR2228" s="32">
        <v>0</v>
      </c>
      <c r="AS2228" s="32">
        <v>0</v>
      </c>
      <c r="AT2228" s="19">
        <v>0</v>
      </c>
      <c r="AU2228" s="32">
        <v>90106002</v>
      </c>
      <c r="AV2228" s="32"/>
      <c r="AW2228" s="35" t="s">
        <v>204</v>
      </c>
      <c r="AX2228" s="32">
        <v>0</v>
      </c>
      <c r="AY2228" s="32">
        <v>0</v>
      </c>
      <c r="AZ2228" s="32">
        <v>0</v>
      </c>
      <c r="BA2228" s="35" t="s">
        <v>3122</v>
      </c>
      <c r="BB2228" s="35">
        <v>0</v>
      </c>
      <c r="BC2228" s="31">
        <v>0</v>
      </c>
      <c r="BD2228" s="31">
        <v>0</v>
      </c>
      <c r="BE2228" s="185" t="s">
        <v>5247</v>
      </c>
      <c r="BF2228" s="185" t="s">
        <v>5248</v>
      </c>
      <c r="BG2228" s="32">
        <v>0</v>
      </c>
      <c r="BH2228" s="21">
        <v>0</v>
      </c>
      <c r="BI2228" s="32">
        <v>0</v>
      </c>
      <c r="BJ2228" s="32">
        <v>0</v>
      </c>
      <c r="BK2228" s="32">
        <v>0</v>
      </c>
      <c r="BL2228" s="32">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67000279</v>
      </c>
      <c r="D2229" s="30" t="s">
        <v>5249</v>
      </c>
      <c r="E2229" s="30" t="s">
        <v>5250</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21">
        <v>10</v>
      </c>
      <c r="AI2229" s="19">
        <v>0</v>
      </c>
      <c r="AJ2229" s="19">
        <v>0</v>
      </c>
      <c r="AK2229" s="19">
        <v>0</v>
      </c>
      <c r="AL2229" s="19">
        <v>0</v>
      </c>
      <c r="AM2229" s="21">
        <v>0</v>
      </c>
      <c r="AN2229" s="21">
        <v>0</v>
      </c>
      <c r="AO2229" s="21">
        <v>0</v>
      </c>
      <c r="AP2229" s="21">
        <v>0.5</v>
      </c>
      <c r="AQ2229" s="21">
        <v>3000</v>
      </c>
      <c r="AR2229" s="21">
        <v>0.2</v>
      </c>
      <c r="AS2229" s="21">
        <v>0</v>
      </c>
      <c r="AT2229" s="19">
        <v>0</v>
      </c>
      <c r="AU2229" s="21" t="s">
        <v>204</v>
      </c>
      <c r="AV2229" s="21"/>
      <c r="AW2229" s="30" t="s">
        <v>623</v>
      </c>
      <c r="AX2229" s="21" t="s">
        <v>540</v>
      </c>
      <c r="AY2229" s="32">
        <v>10000007</v>
      </c>
      <c r="AZ2229" s="32">
        <v>21000020</v>
      </c>
      <c r="BA2229" s="30" t="s">
        <v>1708</v>
      </c>
      <c r="BB2229" s="21">
        <v>0</v>
      </c>
      <c r="BC2229" s="31">
        <v>0</v>
      </c>
      <c r="BD2229" s="31">
        <v>0</v>
      </c>
      <c r="BE2229" s="185" t="s">
        <v>5251</v>
      </c>
      <c r="BF2229" s="185" t="s">
        <v>5252</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67000280</v>
      </c>
      <c r="D2230" s="30" t="s">
        <v>5253</v>
      </c>
      <c r="E2230" s="30" t="s">
        <v>5254</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2</v>
      </c>
      <c r="AJ2230" s="19">
        <v>1</v>
      </c>
      <c r="AK2230" s="19">
        <v>0</v>
      </c>
      <c r="AL2230" s="19">
        <v>8</v>
      </c>
      <c r="AM2230" s="21">
        <v>0</v>
      </c>
      <c r="AN2230" s="21">
        <v>0</v>
      </c>
      <c r="AO2230" s="21">
        <v>0</v>
      </c>
      <c r="AP2230" s="21">
        <v>0.5</v>
      </c>
      <c r="AQ2230" s="21">
        <v>10000</v>
      </c>
      <c r="AR2230" s="21">
        <v>0.2</v>
      </c>
      <c r="AS2230" s="21">
        <v>0</v>
      </c>
      <c r="AT2230" s="19">
        <v>0</v>
      </c>
      <c r="AU2230" s="21" t="s">
        <v>204</v>
      </c>
      <c r="AV2230" s="21"/>
      <c r="AW2230" s="30" t="s">
        <v>623</v>
      </c>
      <c r="AX2230" s="21" t="s">
        <v>540</v>
      </c>
      <c r="AY2230" s="32">
        <v>10000007</v>
      </c>
      <c r="AZ2230" s="32">
        <v>21102020</v>
      </c>
      <c r="BA2230" s="30" t="s">
        <v>1708</v>
      </c>
      <c r="BB2230" s="21">
        <v>0</v>
      </c>
      <c r="BC2230" s="31">
        <v>0</v>
      </c>
      <c r="BD2230" s="31">
        <v>0</v>
      </c>
      <c r="BE2230" s="185" t="s">
        <v>5255</v>
      </c>
      <c r="BF2230" s="185" t="s">
        <v>5256</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67000281</v>
      </c>
      <c r="D2231" s="30" t="s">
        <v>5257</v>
      </c>
      <c r="E2231" s="30" t="s">
        <v>5258</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0</v>
      </c>
      <c r="AJ2231" s="19">
        <v>2</v>
      </c>
      <c r="AK2231" s="19">
        <v>0</v>
      </c>
      <c r="AL2231" s="19">
        <v>3</v>
      </c>
      <c r="AM2231" s="21">
        <v>0</v>
      </c>
      <c r="AN2231" s="21">
        <v>0</v>
      </c>
      <c r="AO2231" s="21">
        <v>0</v>
      </c>
      <c r="AP2231" s="21">
        <v>0.5</v>
      </c>
      <c r="AQ2231" s="21">
        <v>10000</v>
      </c>
      <c r="AR2231" s="21">
        <v>0.2</v>
      </c>
      <c r="AS2231" s="21">
        <v>3</v>
      </c>
      <c r="AT2231" s="19">
        <v>0</v>
      </c>
      <c r="AU2231" s="21" t="s">
        <v>204</v>
      </c>
      <c r="AV2231" s="21"/>
      <c r="AW2231" s="30" t="s">
        <v>623</v>
      </c>
      <c r="AX2231" s="21" t="s">
        <v>540</v>
      </c>
      <c r="AY2231" s="32">
        <v>10000007</v>
      </c>
      <c r="AZ2231" s="32">
        <v>21102020</v>
      </c>
      <c r="BA2231" s="30" t="s">
        <v>1733</v>
      </c>
      <c r="BB2231" s="21">
        <v>0</v>
      </c>
      <c r="BC2231" s="31">
        <v>0</v>
      </c>
      <c r="BD2231" s="31">
        <v>0</v>
      </c>
      <c r="BE2231" s="185" t="s">
        <v>5259</v>
      </c>
      <c r="BF2231" s="185" t="s">
        <v>5260</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19.5" customHeight="1">
      <c r="C2232" s="32">
        <v>67000282</v>
      </c>
      <c r="D2232" s="30" t="s">
        <v>5261</v>
      </c>
      <c r="E2232" s="30" t="s">
        <v>5262</v>
      </c>
      <c r="F2232" s="21">
        <v>1</v>
      </c>
      <c r="G2232" s="32">
        <v>61021201</v>
      </c>
      <c r="H2232" s="32">
        <v>0</v>
      </c>
      <c r="I2232" s="31">
        <v>0</v>
      </c>
      <c r="J2232" s="21">
        <f>J2226+5</f>
        <v>6</v>
      </c>
      <c r="K2232" s="21">
        <v>5</v>
      </c>
      <c r="L2232" s="21">
        <v>0</v>
      </c>
      <c r="M2232" s="32">
        <v>0</v>
      </c>
      <c r="N2232" s="32">
        <v>0</v>
      </c>
      <c r="O2232" s="32">
        <v>1</v>
      </c>
      <c r="P2232" s="32">
        <v>0</v>
      </c>
      <c r="Q2232" s="32">
        <v>0</v>
      </c>
      <c r="R2232" s="32">
        <v>0</v>
      </c>
      <c r="S2232" s="19">
        <v>0</v>
      </c>
      <c r="T2232" s="31">
        <v>0</v>
      </c>
      <c r="U2232" s="21">
        <v>1</v>
      </c>
      <c r="V2232" s="32">
        <v>2</v>
      </c>
      <c r="W2232" s="32">
        <v>0</v>
      </c>
      <c r="X2232" s="21">
        <v>3.5</v>
      </c>
      <c r="Y2232" s="19">
        <v>0</v>
      </c>
      <c r="Z2232" s="21">
        <v>500</v>
      </c>
      <c r="AA2232" s="32">
        <v>1</v>
      </c>
      <c r="AB2232" s="32">
        <v>0</v>
      </c>
      <c r="AC2232" s="32">
        <v>0</v>
      </c>
      <c r="AD2232" s="32">
        <v>0</v>
      </c>
      <c r="AE2232" s="32">
        <v>0</v>
      </c>
      <c r="AF2232" s="32">
        <v>7</v>
      </c>
      <c r="AG2232" s="32">
        <v>1</v>
      </c>
      <c r="AH2232" s="32">
        <v>3</v>
      </c>
      <c r="AI2232" s="19">
        <v>2</v>
      </c>
      <c r="AJ2232" s="19">
        <v>1</v>
      </c>
      <c r="AK2232" s="19">
        <v>0</v>
      </c>
      <c r="AL2232" s="19">
        <v>8</v>
      </c>
      <c r="AM2232" s="32">
        <v>0</v>
      </c>
      <c r="AN2232" s="32">
        <v>0.5</v>
      </c>
      <c r="AO2232" s="32">
        <v>0</v>
      </c>
      <c r="AP2232" s="32">
        <v>0.25</v>
      </c>
      <c r="AQ2232" s="32">
        <v>9000</v>
      </c>
      <c r="AR2232" s="32">
        <v>0.5</v>
      </c>
      <c r="AS2232" s="32">
        <v>0</v>
      </c>
      <c r="AT2232" s="19">
        <v>0</v>
      </c>
      <c r="AU2232" s="32">
        <v>0</v>
      </c>
      <c r="AV2232" s="32"/>
      <c r="AW2232" s="35" t="s">
        <v>1716</v>
      </c>
      <c r="AX2232" s="32" t="s">
        <v>1047</v>
      </c>
      <c r="AY2232" s="32">
        <v>10003002</v>
      </c>
      <c r="AZ2232" s="32">
        <v>21010020</v>
      </c>
      <c r="BA2232" s="35" t="s">
        <v>1733</v>
      </c>
      <c r="BB2232" s="35">
        <v>0</v>
      </c>
      <c r="BC2232" s="31">
        <v>0</v>
      </c>
      <c r="BD2232" s="31">
        <v>0</v>
      </c>
      <c r="BE2232" s="185" t="s">
        <v>5263</v>
      </c>
      <c r="BF2232" s="185" t="s">
        <v>5264</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67000283</v>
      </c>
      <c r="D2233" s="35" t="s">
        <v>5265</v>
      </c>
      <c r="E2233" s="35" t="s">
        <v>5266</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5267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5" t="s">
        <v>5247</v>
      </c>
      <c r="BF2233" s="185" t="s">
        <v>5248</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67000284</v>
      </c>
      <c r="D2234" s="35" t="s">
        <v>5268</v>
      </c>
      <c r="E2234" s="35" t="s">
        <v>5269</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717</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3122</v>
      </c>
      <c r="BB2234" s="35">
        <v>0</v>
      </c>
      <c r="BC2234" s="31">
        <v>0</v>
      </c>
      <c r="BD2234" s="31">
        <v>0</v>
      </c>
      <c r="BE2234" s="185" t="s">
        <v>5247</v>
      </c>
      <c r="BF2234" s="185" t="s">
        <v>5248</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1.75" customHeight="1">
      <c r="C2235" s="32">
        <v>90010301</v>
      </c>
      <c r="D2235" s="30" t="s">
        <v>538</v>
      </c>
      <c r="E2235" s="30" t="s">
        <v>261</v>
      </c>
      <c r="F2235" s="32">
        <v>1</v>
      </c>
      <c r="G2235" s="21">
        <v>60010100</v>
      </c>
      <c r="H2235" s="32">
        <v>0</v>
      </c>
      <c r="I2235" s="31">
        <v>0</v>
      </c>
      <c r="J2235" s="32">
        <v>1</v>
      </c>
      <c r="K2235" s="32">
        <v>0</v>
      </c>
      <c r="L2235" s="32">
        <v>0</v>
      </c>
      <c r="M2235" s="21">
        <v>0</v>
      </c>
      <c r="N2235" s="21">
        <v>0</v>
      </c>
      <c r="O2235" s="21">
        <v>2</v>
      </c>
      <c r="P2235" s="21">
        <v>3</v>
      </c>
      <c r="Q2235" s="21">
        <v>1</v>
      </c>
      <c r="R2235" s="21">
        <v>0</v>
      </c>
      <c r="S2235" s="19">
        <v>0</v>
      </c>
      <c r="T2235" s="21">
        <v>0</v>
      </c>
      <c r="U2235" s="21">
        <v>1</v>
      </c>
      <c r="V2235" s="21">
        <v>2</v>
      </c>
      <c r="W2235" s="21">
        <v>0</v>
      </c>
      <c r="X2235" s="21">
        <v>3</v>
      </c>
      <c r="Y2235" s="19">
        <v>0</v>
      </c>
      <c r="Z2235" s="21">
        <v>0</v>
      </c>
      <c r="AA2235" s="21">
        <v>1</v>
      </c>
      <c r="AB2235" s="21">
        <v>0</v>
      </c>
      <c r="AC2235" s="21">
        <v>0</v>
      </c>
      <c r="AD2235" s="21">
        <v>0</v>
      </c>
      <c r="AE2235" s="21">
        <v>0</v>
      </c>
      <c r="AF2235" s="21">
        <v>9</v>
      </c>
      <c r="AG2235" s="21">
        <v>1</v>
      </c>
      <c r="AH2235" s="21">
        <v>4</v>
      </c>
      <c r="AI2235" s="19">
        <v>0</v>
      </c>
      <c r="AJ2235" s="19">
        <v>1</v>
      </c>
      <c r="AK2235" s="19">
        <v>0</v>
      </c>
      <c r="AL2235" s="19">
        <v>2</v>
      </c>
      <c r="AM2235" s="21">
        <v>0</v>
      </c>
      <c r="AN2235" s="21">
        <v>0</v>
      </c>
      <c r="AO2235" s="21">
        <v>0</v>
      </c>
      <c r="AP2235" s="21">
        <v>3</v>
      </c>
      <c r="AQ2235" s="21">
        <v>5000</v>
      </c>
      <c r="AR2235" s="21">
        <v>1.1000000000000001</v>
      </c>
      <c r="AS2235" s="21">
        <v>0</v>
      </c>
      <c r="AT2235" s="19">
        <v>0</v>
      </c>
      <c r="AU2235" s="21">
        <v>90000002</v>
      </c>
      <c r="AV2235" s="21"/>
      <c r="AW2235" s="30" t="s">
        <v>293</v>
      </c>
      <c r="AX2235" s="21" t="s">
        <v>540</v>
      </c>
      <c r="AY2235" s="32">
        <v>10000007</v>
      </c>
      <c r="AZ2235" s="32">
        <v>90010301</v>
      </c>
      <c r="BA2235" s="30" t="s">
        <v>206</v>
      </c>
      <c r="BB2235" s="21" t="s">
        <v>4536</v>
      </c>
      <c r="BC2235" s="31">
        <v>0</v>
      </c>
      <c r="BD2235" s="31">
        <v>0</v>
      </c>
      <c r="BE2235" s="33" t="s">
        <v>542</v>
      </c>
      <c r="BF2235" s="33" t="s">
        <v>543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90010302</v>
      </c>
      <c r="D2236" s="30" t="s">
        <v>549</v>
      </c>
      <c r="E2236" s="30" t="s">
        <v>550</v>
      </c>
      <c r="F2236" s="32">
        <v>1</v>
      </c>
      <c r="G2236" s="21">
        <v>60010300</v>
      </c>
      <c r="H2236" s="32">
        <v>0</v>
      </c>
      <c r="I2236" s="31">
        <v>0</v>
      </c>
      <c r="J2236" s="32">
        <v>1</v>
      </c>
      <c r="K2236" s="32">
        <v>0</v>
      </c>
      <c r="L2236" s="32">
        <v>0</v>
      </c>
      <c r="M2236" s="21">
        <v>0</v>
      </c>
      <c r="N2236" s="21">
        <v>0</v>
      </c>
      <c r="O2236" s="21">
        <v>2</v>
      </c>
      <c r="P2236" s="21">
        <v>1</v>
      </c>
      <c r="Q2236" s="21">
        <v>0.5</v>
      </c>
      <c r="R2236" s="21">
        <v>0</v>
      </c>
      <c r="S2236" s="19">
        <v>0</v>
      </c>
      <c r="T2236" s="21">
        <v>0</v>
      </c>
      <c r="U2236" s="21">
        <v>1</v>
      </c>
      <c r="V2236" s="21">
        <v>2</v>
      </c>
      <c r="W2236" s="21">
        <v>0</v>
      </c>
      <c r="X2236" s="21">
        <v>3</v>
      </c>
      <c r="Y2236" s="19">
        <v>0</v>
      </c>
      <c r="Z2236" s="21">
        <v>0</v>
      </c>
      <c r="AA2236" s="21">
        <v>0</v>
      </c>
      <c r="AB2236" s="21">
        <v>0</v>
      </c>
      <c r="AC2236" s="21">
        <v>0</v>
      </c>
      <c r="AD2236" s="21">
        <v>0</v>
      </c>
      <c r="AE2236" s="21">
        <v>0</v>
      </c>
      <c r="AF2236" s="21">
        <v>12</v>
      </c>
      <c r="AG2236" s="21">
        <v>2</v>
      </c>
      <c r="AH2236" s="21" t="s">
        <v>219</v>
      </c>
      <c r="AI2236" s="19">
        <v>0</v>
      </c>
      <c r="AJ2236" s="19">
        <v>2</v>
      </c>
      <c r="AK2236" s="19">
        <v>0</v>
      </c>
      <c r="AL2236" s="19">
        <v>1.5</v>
      </c>
      <c r="AM2236" s="21">
        <v>0</v>
      </c>
      <c r="AN2236" s="21">
        <v>0</v>
      </c>
      <c r="AO2236" s="21">
        <v>0</v>
      </c>
      <c r="AP2236" s="21">
        <v>1.1000000000000001</v>
      </c>
      <c r="AQ2236" s="21">
        <v>3000</v>
      </c>
      <c r="AR2236" s="21">
        <v>1.1000000000000001</v>
      </c>
      <c r="AS2236" s="21">
        <v>0</v>
      </c>
      <c r="AT2236" s="19">
        <v>0</v>
      </c>
      <c r="AU2236" s="21" t="s">
        <v>204</v>
      </c>
      <c r="AV2236" s="21"/>
      <c r="AW2236" s="35" t="s">
        <v>293</v>
      </c>
      <c r="AX2236" s="21" t="s">
        <v>551</v>
      </c>
      <c r="AY2236" s="32">
        <v>10001007</v>
      </c>
      <c r="AZ2236" s="32">
        <v>70103001</v>
      </c>
      <c r="BA2236" s="30" t="s">
        <v>206</v>
      </c>
      <c r="BB2236" s="21">
        <v>0</v>
      </c>
      <c r="BC2236" s="31">
        <v>0</v>
      </c>
      <c r="BD2236" s="31">
        <v>0</v>
      </c>
      <c r="BE2236" s="33" t="s">
        <v>552</v>
      </c>
      <c r="BF2236" s="33" t="s">
        <v>553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90010303</v>
      </c>
      <c r="D2237" s="35" t="s">
        <v>544</v>
      </c>
      <c r="E2237" s="35" t="s">
        <v>545</v>
      </c>
      <c r="F2237" s="32">
        <v>1</v>
      </c>
      <c r="G2237" s="32">
        <v>60010500</v>
      </c>
      <c r="H2237" s="32">
        <v>0</v>
      </c>
      <c r="I2237" s="31">
        <v>0</v>
      </c>
      <c r="J2237" s="32">
        <v>1</v>
      </c>
      <c r="K2237" s="32">
        <v>0</v>
      </c>
      <c r="L2237" s="32">
        <v>0</v>
      </c>
      <c r="M2237" s="32">
        <v>0</v>
      </c>
      <c r="N2237" s="32">
        <v>0</v>
      </c>
      <c r="O2237" s="21">
        <v>2</v>
      </c>
      <c r="P2237" s="32">
        <v>2</v>
      </c>
      <c r="Q2237" s="32">
        <v>0.6</v>
      </c>
      <c r="R2237" s="32">
        <v>0</v>
      </c>
      <c r="S2237" s="19">
        <v>0</v>
      </c>
      <c r="T2237" s="31">
        <v>0</v>
      </c>
      <c r="U2237" s="21">
        <v>1</v>
      </c>
      <c r="V2237" s="32">
        <v>2</v>
      </c>
      <c r="W2237" s="32">
        <v>0</v>
      </c>
      <c r="X2237" s="32">
        <v>0</v>
      </c>
      <c r="Y2237" s="19">
        <v>0</v>
      </c>
      <c r="Z2237" s="32">
        <v>0</v>
      </c>
      <c r="AA2237" s="32">
        <v>0</v>
      </c>
      <c r="AB2237" s="32">
        <v>0</v>
      </c>
      <c r="AC2237" s="32">
        <v>0</v>
      </c>
      <c r="AD2237" s="32">
        <v>0</v>
      </c>
      <c r="AE2237" s="32">
        <v>0</v>
      </c>
      <c r="AF2237" s="32">
        <v>20</v>
      </c>
      <c r="AG2237" s="32">
        <v>0</v>
      </c>
      <c r="AH2237" s="32">
        <v>0</v>
      </c>
      <c r="AI2237" s="19">
        <v>0</v>
      </c>
      <c r="AJ2237" s="19">
        <v>0</v>
      </c>
      <c r="AK2237" s="19">
        <v>0</v>
      </c>
      <c r="AL2237" s="19">
        <v>0</v>
      </c>
      <c r="AM2237" s="32">
        <v>0</v>
      </c>
      <c r="AN2237" s="32">
        <v>0</v>
      </c>
      <c r="AO2237" s="32">
        <v>0</v>
      </c>
      <c r="AP2237" s="32">
        <v>0</v>
      </c>
      <c r="AQ2237" s="32">
        <v>1000</v>
      </c>
      <c r="AR2237" s="32">
        <v>0</v>
      </c>
      <c r="AS2237" s="32">
        <v>0</v>
      </c>
      <c r="AT2237" s="19">
        <v>90103001</v>
      </c>
      <c r="AU2237" s="32" t="s">
        <v>204</v>
      </c>
      <c r="AV2237" s="32"/>
      <c r="AW2237" s="35" t="s">
        <v>204</v>
      </c>
      <c r="AX2237" s="32" t="s">
        <v>354</v>
      </c>
      <c r="AY2237" s="32">
        <v>0</v>
      </c>
      <c r="AZ2237" s="32">
        <v>40000003</v>
      </c>
      <c r="BA2237" s="35" t="s">
        <v>206</v>
      </c>
      <c r="BB2237" s="35" t="s">
        <v>204</v>
      </c>
      <c r="BC2237" s="31">
        <v>0</v>
      </c>
      <c r="BD2237" s="31">
        <v>0</v>
      </c>
      <c r="BE2237" s="60" t="s">
        <v>554</v>
      </c>
      <c r="BF2237" s="60" t="s">
        <v>555</v>
      </c>
      <c r="BG2237" s="32">
        <v>0</v>
      </c>
      <c r="BH2237" s="21">
        <v>0</v>
      </c>
      <c r="BI2237" s="32">
        <v>0</v>
      </c>
      <c r="BJ2237" s="32">
        <v>0</v>
      </c>
      <c r="BK2237" s="32">
        <v>0</v>
      </c>
      <c r="BL2237" s="32">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90010401</v>
      </c>
      <c r="D2238" s="25" t="s">
        <v>5270</v>
      </c>
      <c r="E2238" s="25" t="s">
        <v>5271</v>
      </c>
      <c r="F2238" s="25">
        <v>1</v>
      </c>
      <c r="G2238" s="25">
        <v>0</v>
      </c>
      <c r="H2238" s="25">
        <v>0</v>
      </c>
      <c r="I2238" s="26">
        <v>0</v>
      </c>
      <c r="J2238" s="25">
        <v>1</v>
      </c>
      <c r="K2238" s="25">
        <v>0</v>
      </c>
      <c r="L2238" s="26">
        <v>0</v>
      </c>
      <c r="M2238" s="26">
        <v>0</v>
      </c>
      <c r="N2238" s="25">
        <v>0</v>
      </c>
      <c r="O2238" s="25">
        <v>2</v>
      </c>
      <c r="P2238" s="25">
        <v>1</v>
      </c>
      <c r="Q2238" s="25">
        <v>0.1</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1</v>
      </c>
      <c r="AG2238" s="25">
        <v>0</v>
      </c>
      <c r="AH2238" s="25">
        <v>0</v>
      </c>
      <c r="AI2238" s="19">
        <v>0</v>
      </c>
      <c r="AJ2238" s="19">
        <v>0</v>
      </c>
      <c r="AK2238" s="19">
        <v>0</v>
      </c>
      <c r="AL2238" s="25">
        <v>0</v>
      </c>
      <c r="AM2238" s="27">
        <v>0</v>
      </c>
      <c r="AN2238" s="25">
        <v>0</v>
      </c>
      <c r="AO2238" s="25">
        <v>0</v>
      </c>
      <c r="AP2238" s="25">
        <v>0</v>
      </c>
      <c r="AQ2238" s="25">
        <v>3000</v>
      </c>
      <c r="AR2238" s="25">
        <v>0</v>
      </c>
      <c r="AS2238" s="25">
        <v>0</v>
      </c>
      <c r="AT2238" s="19">
        <v>0</v>
      </c>
      <c r="AU2238" s="25">
        <v>0</v>
      </c>
      <c r="AV2238" s="25"/>
      <c r="AW2238" s="25">
        <v>0</v>
      </c>
      <c r="AX2238" s="26">
        <v>0</v>
      </c>
      <c r="AY2238" s="26">
        <v>0</v>
      </c>
      <c r="AZ2238" s="26">
        <v>0</v>
      </c>
      <c r="BA2238" s="35" t="s">
        <v>206</v>
      </c>
      <c r="BB2238" s="8">
        <v>0</v>
      </c>
      <c r="BC2238" s="57">
        <v>0</v>
      </c>
      <c r="BD2238" s="57">
        <v>0</v>
      </c>
      <c r="BE2238" s="29" t="s">
        <v>640</v>
      </c>
      <c r="BF2238" s="29" t="s">
        <v>641</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1.75" customHeight="1">
      <c r="C2239" s="32">
        <v>90010402</v>
      </c>
      <c r="D2239" s="30" t="s">
        <v>538</v>
      </c>
      <c r="E2239" s="30" t="s">
        <v>261</v>
      </c>
      <c r="F2239" s="32">
        <v>1</v>
      </c>
      <c r="G2239" s="21">
        <v>60010100</v>
      </c>
      <c r="H2239" s="32">
        <v>0</v>
      </c>
      <c r="I2239" s="31">
        <v>0</v>
      </c>
      <c r="J2239" s="32">
        <v>1</v>
      </c>
      <c r="K2239" s="32">
        <v>0</v>
      </c>
      <c r="L2239" s="32">
        <v>0</v>
      </c>
      <c r="M2239" s="21">
        <v>0</v>
      </c>
      <c r="N2239" s="21">
        <v>0</v>
      </c>
      <c r="O2239" s="21">
        <v>2</v>
      </c>
      <c r="P2239" s="21">
        <v>3</v>
      </c>
      <c r="Q2239" s="21">
        <v>1</v>
      </c>
      <c r="R2239" s="21">
        <v>0</v>
      </c>
      <c r="S2239" s="19">
        <v>0</v>
      </c>
      <c r="T2239" s="21">
        <v>0</v>
      </c>
      <c r="U2239" s="21">
        <v>1</v>
      </c>
      <c r="V2239" s="21">
        <v>2</v>
      </c>
      <c r="W2239" s="21">
        <v>0</v>
      </c>
      <c r="X2239" s="21">
        <v>3</v>
      </c>
      <c r="Y2239" s="19">
        <v>0</v>
      </c>
      <c r="Z2239" s="21">
        <v>0</v>
      </c>
      <c r="AA2239" s="21">
        <v>1</v>
      </c>
      <c r="AB2239" s="21">
        <v>0</v>
      </c>
      <c r="AC2239" s="21">
        <v>0</v>
      </c>
      <c r="AD2239" s="21">
        <v>0</v>
      </c>
      <c r="AE2239" s="21">
        <v>0</v>
      </c>
      <c r="AF2239" s="21">
        <v>9</v>
      </c>
      <c r="AG2239" s="21">
        <v>1</v>
      </c>
      <c r="AH2239" s="21">
        <v>5</v>
      </c>
      <c r="AI2239" s="19">
        <v>0</v>
      </c>
      <c r="AJ2239" s="19">
        <v>1</v>
      </c>
      <c r="AK2239" s="19">
        <v>0</v>
      </c>
      <c r="AL2239" s="19">
        <v>2.5</v>
      </c>
      <c r="AM2239" s="21">
        <v>0</v>
      </c>
      <c r="AN2239" s="21">
        <v>0</v>
      </c>
      <c r="AO2239" s="21">
        <v>0</v>
      </c>
      <c r="AP2239" s="21">
        <v>2.5</v>
      </c>
      <c r="AQ2239" s="21">
        <v>5000</v>
      </c>
      <c r="AR2239" s="21">
        <v>2</v>
      </c>
      <c r="AS2239" s="21">
        <v>0</v>
      </c>
      <c r="AT2239" s="19">
        <v>0</v>
      </c>
      <c r="AU2239" s="25">
        <v>91000005</v>
      </c>
      <c r="AV2239" s="25"/>
      <c r="AW2239" s="25" t="s">
        <v>262</v>
      </c>
      <c r="AX2239" s="21">
        <v>0</v>
      </c>
      <c r="AY2239" s="32">
        <v>10000007</v>
      </c>
      <c r="AZ2239" s="32">
        <v>90010402</v>
      </c>
      <c r="BA2239" s="30" t="s">
        <v>206</v>
      </c>
      <c r="BB2239" s="21" t="s">
        <v>5272</v>
      </c>
      <c r="BC2239" s="31">
        <v>0</v>
      </c>
      <c r="BD2239" s="31">
        <v>0</v>
      </c>
      <c r="BE2239" s="33" t="s">
        <v>542</v>
      </c>
      <c r="BF2239" s="33" t="s">
        <v>543</v>
      </c>
      <c r="BG2239" s="21">
        <v>0</v>
      </c>
      <c r="BH2239" s="21">
        <v>0</v>
      </c>
      <c r="BI2239" s="21">
        <v>0</v>
      </c>
      <c r="BJ2239" s="21">
        <v>0</v>
      </c>
      <c r="BK2239" s="21">
        <v>0</v>
      </c>
      <c r="BL2239" s="21">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90010403</v>
      </c>
      <c r="D2240" s="25" t="s">
        <v>5273</v>
      </c>
      <c r="E2240" s="25" t="s">
        <v>5274</v>
      </c>
      <c r="F2240" s="25">
        <v>1</v>
      </c>
      <c r="G2240" s="25">
        <v>0</v>
      </c>
      <c r="H2240" s="25">
        <v>0</v>
      </c>
      <c r="I2240" s="26">
        <v>0</v>
      </c>
      <c r="J2240" s="25">
        <v>1</v>
      </c>
      <c r="K2240" s="25">
        <v>0</v>
      </c>
      <c r="L2240" s="26">
        <v>0</v>
      </c>
      <c r="M2240" s="26">
        <v>0</v>
      </c>
      <c r="N2240" s="25">
        <v>0</v>
      </c>
      <c r="O2240" s="25">
        <v>2</v>
      </c>
      <c r="P2240" s="25">
        <v>2</v>
      </c>
      <c r="Q2240" s="25">
        <v>0.95</v>
      </c>
      <c r="R2240" s="25">
        <v>0</v>
      </c>
      <c r="S2240" s="19">
        <v>0</v>
      </c>
      <c r="T2240" s="25">
        <v>0</v>
      </c>
      <c r="U2240" s="21">
        <v>1</v>
      </c>
      <c r="V2240" s="25">
        <v>1</v>
      </c>
      <c r="W2240" s="26">
        <v>0</v>
      </c>
      <c r="X2240" s="25">
        <v>2.5</v>
      </c>
      <c r="Y2240" s="19">
        <v>0</v>
      </c>
      <c r="Z2240" s="25">
        <v>0</v>
      </c>
      <c r="AA2240" s="25">
        <v>1</v>
      </c>
      <c r="AB2240" s="25">
        <v>0</v>
      </c>
      <c r="AC2240" s="26">
        <v>0</v>
      </c>
      <c r="AD2240" s="25">
        <v>0</v>
      </c>
      <c r="AE2240" s="25">
        <v>0</v>
      </c>
      <c r="AF2240" s="25">
        <v>6</v>
      </c>
      <c r="AG2240" s="25">
        <v>1</v>
      </c>
      <c r="AH2240" s="25">
        <v>3</v>
      </c>
      <c r="AI2240" s="19">
        <v>1</v>
      </c>
      <c r="AJ2240" s="19">
        <v>1</v>
      </c>
      <c r="AK2240" s="19">
        <v>0</v>
      </c>
      <c r="AL2240" s="25">
        <v>1.5</v>
      </c>
      <c r="AM2240" s="27">
        <v>0</v>
      </c>
      <c r="AN2240" s="25">
        <v>0</v>
      </c>
      <c r="AO2240" s="25">
        <v>0</v>
      </c>
      <c r="AP2240" s="25">
        <v>2</v>
      </c>
      <c r="AQ2240" s="25">
        <v>4000</v>
      </c>
      <c r="AR2240" s="25">
        <v>2</v>
      </c>
      <c r="AS2240" s="25">
        <v>0</v>
      </c>
      <c r="AT2240" s="19">
        <v>0</v>
      </c>
      <c r="AU2240" s="66" t="s">
        <v>565</v>
      </c>
      <c r="AV2240" s="66"/>
      <c r="AW2240" s="25" t="s">
        <v>205</v>
      </c>
      <c r="AX2240" s="26">
        <v>0</v>
      </c>
      <c r="AY2240" s="26">
        <v>0</v>
      </c>
      <c r="AZ2240" s="26">
        <v>90010403</v>
      </c>
      <c r="BA2240" s="35" t="s">
        <v>206</v>
      </c>
      <c r="BB2240" s="8">
        <v>0</v>
      </c>
      <c r="BC2240" s="57">
        <v>0</v>
      </c>
      <c r="BD2240" s="57">
        <v>0</v>
      </c>
      <c r="BE2240" s="29" t="s">
        <v>651</v>
      </c>
      <c r="BF2240" s="29" t="s">
        <v>652</v>
      </c>
      <c r="BG2240" s="25">
        <v>2</v>
      </c>
      <c r="BH2240" s="25">
        <v>0</v>
      </c>
      <c r="BI2240" s="32">
        <v>0</v>
      </c>
      <c r="BJ2240" s="25">
        <v>0</v>
      </c>
      <c r="BK2240" s="25">
        <v>3</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90010404</v>
      </c>
      <c r="D2241" s="25" t="s">
        <v>5275</v>
      </c>
      <c r="E2241" s="25" t="s">
        <v>5276</v>
      </c>
      <c r="F2241" s="25">
        <v>1</v>
      </c>
      <c r="G2241" s="25">
        <v>0</v>
      </c>
      <c r="H2241" s="25">
        <v>0</v>
      </c>
      <c r="I2241" s="26">
        <v>0</v>
      </c>
      <c r="J2241" s="25">
        <v>0</v>
      </c>
      <c r="K2241" s="25">
        <v>0</v>
      </c>
      <c r="L2241" s="26">
        <v>0</v>
      </c>
      <c r="M2241" s="26">
        <v>0</v>
      </c>
      <c r="N2241" s="25">
        <v>0</v>
      </c>
      <c r="O2241" s="25">
        <v>2</v>
      </c>
      <c r="P2241" s="25">
        <v>2</v>
      </c>
      <c r="Q2241" s="25">
        <v>0.9</v>
      </c>
      <c r="R2241" s="25">
        <v>0</v>
      </c>
      <c r="S2241" s="19">
        <v>0</v>
      </c>
      <c r="T2241" s="25">
        <v>0</v>
      </c>
      <c r="U2241" s="21">
        <v>1</v>
      </c>
      <c r="V2241" s="25">
        <v>1</v>
      </c>
      <c r="W2241" s="26">
        <v>0</v>
      </c>
      <c r="X2241" s="25">
        <v>1.5</v>
      </c>
      <c r="Y2241" s="19">
        <v>0</v>
      </c>
      <c r="Z2241" s="25">
        <v>0</v>
      </c>
      <c r="AA2241" s="25">
        <v>1</v>
      </c>
      <c r="AB2241" s="25">
        <v>0</v>
      </c>
      <c r="AC2241" s="26">
        <v>0</v>
      </c>
      <c r="AD2241" s="25">
        <v>0</v>
      </c>
      <c r="AE2241" s="25">
        <v>0</v>
      </c>
      <c r="AF2241" s="25">
        <v>8</v>
      </c>
      <c r="AG2241" s="25">
        <v>2</v>
      </c>
      <c r="AH2241" s="25" t="s">
        <v>570</v>
      </c>
      <c r="AI2241" s="19">
        <v>0</v>
      </c>
      <c r="AJ2241" s="19">
        <v>0</v>
      </c>
      <c r="AK2241" s="19">
        <v>0</v>
      </c>
      <c r="AL2241" s="25">
        <v>0</v>
      </c>
      <c r="AM2241" s="27">
        <v>0</v>
      </c>
      <c r="AN2241" s="25">
        <v>0</v>
      </c>
      <c r="AO2241" s="25">
        <v>0</v>
      </c>
      <c r="AP2241" s="25">
        <v>0.5</v>
      </c>
      <c r="AQ2241" s="25">
        <v>999000</v>
      </c>
      <c r="AR2241" s="25">
        <v>0</v>
      </c>
      <c r="AS2241" s="25">
        <v>0</v>
      </c>
      <c r="AT2241" s="19">
        <v>0</v>
      </c>
      <c r="AU2241" s="28" t="s">
        <v>204</v>
      </c>
      <c r="AV2241" s="28"/>
      <c r="AW2241" s="25" t="s">
        <v>293</v>
      </c>
      <c r="AX2241" s="26">
        <v>0</v>
      </c>
      <c r="AY2241" s="26">
        <v>0</v>
      </c>
      <c r="AZ2241" s="26">
        <v>20000021</v>
      </c>
      <c r="BA2241" s="35" t="s">
        <v>206</v>
      </c>
      <c r="BB2241" s="8">
        <v>0</v>
      </c>
      <c r="BC2241" s="57">
        <v>0</v>
      </c>
      <c r="BD2241" s="57">
        <v>0</v>
      </c>
      <c r="BE2241" s="29" t="s">
        <v>328</v>
      </c>
      <c r="BF2241" s="29" t="s">
        <v>329</v>
      </c>
      <c r="BG2241" s="25">
        <v>0</v>
      </c>
      <c r="BH2241" s="25">
        <v>0</v>
      </c>
      <c r="BI2241" s="32">
        <v>0</v>
      </c>
      <c r="BJ2241" s="25">
        <v>0</v>
      </c>
      <c r="BK2241" s="25">
        <v>0</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90010405</v>
      </c>
      <c r="D2242" s="35" t="s">
        <v>573</v>
      </c>
      <c r="E2242" s="35" t="s">
        <v>574</v>
      </c>
      <c r="F2242" s="32">
        <v>1</v>
      </c>
      <c r="G2242" s="32">
        <v>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21">
        <v>99999</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90104002</v>
      </c>
      <c r="AU2242" s="32" t="s">
        <v>204</v>
      </c>
      <c r="AV2242" s="69"/>
      <c r="AW2242" s="25" t="s">
        <v>293</v>
      </c>
      <c r="AX2242" s="32" t="s">
        <v>354</v>
      </c>
      <c r="AY2242" s="32">
        <v>0</v>
      </c>
      <c r="AZ2242" s="32">
        <v>0</v>
      </c>
      <c r="BA2242" s="35" t="s">
        <v>206</v>
      </c>
      <c r="BB2242" s="35" t="s">
        <v>204</v>
      </c>
      <c r="BC2242" s="31">
        <v>0</v>
      </c>
      <c r="BD2242" s="31">
        <v>0</v>
      </c>
      <c r="BE2242" s="60" t="s">
        <v>681</v>
      </c>
      <c r="BF2242" s="60" t="s">
        <v>682</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90010406</v>
      </c>
      <c r="D2243" s="35" t="s">
        <v>5277</v>
      </c>
      <c r="E2243" s="35" t="s">
        <v>5278</v>
      </c>
      <c r="F2243" s="32">
        <v>1</v>
      </c>
      <c r="G2243" s="32">
        <v>60010500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32">
        <v>20</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90103001</v>
      </c>
      <c r="AU2243" s="32" t="s">
        <v>204</v>
      </c>
      <c r="AV2243" s="69"/>
      <c r="AW2243" s="25" t="s">
        <v>293</v>
      </c>
      <c r="AX2243" s="32" t="s">
        <v>354</v>
      </c>
      <c r="AY2243" s="32">
        <v>0</v>
      </c>
      <c r="AZ2243" s="32">
        <v>40000003</v>
      </c>
      <c r="BA2243" s="35" t="s">
        <v>206</v>
      </c>
      <c r="BB2243" s="35" t="s">
        <v>204</v>
      </c>
      <c r="BC2243" s="31">
        <v>0</v>
      </c>
      <c r="BD2243" s="31">
        <v>0</v>
      </c>
      <c r="BE2243" s="60" t="s">
        <v>5279</v>
      </c>
      <c r="BF2243" s="60" t="s">
        <v>5280</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90010501</v>
      </c>
      <c r="D2244" s="35" t="s">
        <v>579</v>
      </c>
      <c r="E2244" s="35" t="s">
        <v>580</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0.5</v>
      </c>
      <c r="Y2244" s="19">
        <v>0</v>
      </c>
      <c r="Z2244" s="32">
        <v>0</v>
      </c>
      <c r="AA2244" s="32">
        <v>0</v>
      </c>
      <c r="AB2244" s="32">
        <v>0</v>
      </c>
      <c r="AC2244" s="32">
        <v>0</v>
      </c>
      <c r="AD2244" s="32">
        <v>0</v>
      </c>
      <c r="AE2244" s="32">
        <v>0</v>
      </c>
      <c r="AF2244" s="32">
        <v>15</v>
      </c>
      <c r="AG2244" s="32">
        <v>1</v>
      </c>
      <c r="AH2244" s="32">
        <v>3</v>
      </c>
      <c r="AI2244" s="19">
        <v>1</v>
      </c>
      <c r="AJ2244" s="19">
        <v>0</v>
      </c>
      <c r="AK2244" s="19">
        <v>0</v>
      </c>
      <c r="AL2244" s="19">
        <v>1.5</v>
      </c>
      <c r="AM2244" s="32">
        <v>0</v>
      </c>
      <c r="AN2244" s="32">
        <v>0</v>
      </c>
      <c r="AO2244" s="32">
        <v>0</v>
      </c>
      <c r="AP2244" s="32">
        <v>1</v>
      </c>
      <c r="AQ2244" s="32">
        <v>360000</v>
      </c>
      <c r="AR2244" s="32">
        <v>0.5</v>
      </c>
      <c r="AS2244" s="32">
        <v>0</v>
      </c>
      <c r="AT2244" s="19">
        <v>0</v>
      </c>
      <c r="AU2244" s="32" t="s">
        <v>581</v>
      </c>
      <c r="AV2244" s="32"/>
      <c r="AW2244" s="35" t="s">
        <v>205</v>
      </c>
      <c r="AX2244" s="32" t="s">
        <v>551</v>
      </c>
      <c r="AY2244" s="32">
        <v>10002001</v>
      </c>
      <c r="AZ2244" s="32">
        <v>70106001</v>
      </c>
      <c r="BA2244" s="35" t="s">
        <v>321</v>
      </c>
      <c r="BB2244" s="35" t="s">
        <v>582</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90010502</v>
      </c>
      <c r="D2245" s="30" t="s">
        <v>585</v>
      </c>
      <c r="E2245" s="30" t="s">
        <v>586</v>
      </c>
      <c r="F2245" s="32">
        <v>1</v>
      </c>
      <c r="G2245" s="21">
        <v>60010100</v>
      </c>
      <c r="H2245" s="32">
        <v>0</v>
      </c>
      <c r="I2245" s="31">
        <v>0</v>
      </c>
      <c r="J2245" s="32">
        <v>1</v>
      </c>
      <c r="K2245" s="32">
        <v>0</v>
      </c>
      <c r="L2245" s="32">
        <v>0</v>
      </c>
      <c r="M2245" s="21">
        <v>0</v>
      </c>
      <c r="N2245" s="21">
        <v>0</v>
      </c>
      <c r="O2245" s="21">
        <v>2</v>
      </c>
      <c r="P2245" s="21">
        <v>1</v>
      </c>
      <c r="Q2245" s="21">
        <v>0.3</v>
      </c>
      <c r="R2245" s="21">
        <v>0</v>
      </c>
      <c r="S2245" s="19">
        <v>0</v>
      </c>
      <c r="T2245" s="21">
        <v>0</v>
      </c>
      <c r="U2245" s="21">
        <v>1</v>
      </c>
      <c r="V2245" s="21">
        <v>2</v>
      </c>
      <c r="W2245" s="21">
        <v>0</v>
      </c>
      <c r="X2245" s="21">
        <v>3</v>
      </c>
      <c r="Y2245" s="19">
        <v>0</v>
      </c>
      <c r="Z2245" s="21">
        <v>0</v>
      </c>
      <c r="AA2245" s="21">
        <v>0</v>
      </c>
      <c r="AB2245" s="21">
        <v>0</v>
      </c>
      <c r="AC2245" s="21">
        <v>0</v>
      </c>
      <c r="AD2245" s="21">
        <v>0</v>
      </c>
      <c r="AE2245" s="21">
        <v>0</v>
      </c>
      <c r="AF2245" s="21">
        <v>12</v>
      </c>
      <c r="AG2245" s="21">
        <v>1</v>
      </c>
      <c r="AH2245" s="21">
        <v>3</v>
      </c>
      <c r="AI2245" s="19">
        <v>6</v>
      </c>
      <c r="AJ2245" s="19">
        <v>1</v>
      </c>
      <c r="AK2245" s="19">
        <v>0</v>
      </c>
      <c r="AL2245" s="19">
        <v>1.5</v>
      </c>
      <c r="AM2245" s="21">
        <v>0</v>
      </c>
      <c r="AN2245" s="21">
        <v>0</v>
      </c>
      <c r="AO2245" s="21">
        <v>0</v>
      </c>
      <c r="AP2245" s="21">
        <v>3</v>
      </c>
      <c r="AQ2245" s="21">
        <v>5000</v>
      </c>
      <c r="AR2245" s="21">
        <v>2</v>
      </c>
      <c r="AS2245" s="21">
        <v>0</v>
      </c>
      <c r="AT2245" s="19">
        <v>0</v>
      </c>
      <c r="AU2245" s="21" t="s">
        <v>204</v>
      </c>
      <c r="AV2245" s="21"/>
      <c r="AW2245" s="35" t="s">
        <v>205</v>
      </c>
      <c r="AX2245" s="21" t="s">
        <v>540</v>
      </c>
      <c r="AY2245" s="32">
        <v>10000007</v>
      </c>
      <c r="AZ2245" s="32">
        <v>90010502</v>
      </c>
      <c r="BA2245" s="30" t="s">
        <v>206</v>
      </c>
      <c r="BB2245" s="21" t="s">
        <v>5281</v>
      </c>
      <c r="BC2245" s="31">
        <v>0</v>
      </c>
      <c r="BD2245" s="31">
        <v>0</v>
      </c>
      <c r="BE2245" s="33" t="s">
        <v>588</v>
      </c>
      <c r="BF2245" s="33" t="s">
        <v>589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19.5" customHeight="1">
      <c r="C2246" s="32">
        <v>90010503</v>
      </c>
      <c r="D2246" s="35" t="s">
        <v>590</v>
      </c>
      <c r="E2246" s="35" t="s">
        <v>591</v>
      </c>
      <c r="F2246" s="32">
        <v>1</v>
      </c>
      <c r="G2246" s="32">
        <v>60010300</v>
      </c>
      <c r="H2246" s="32">
        <v>0</v>
      </c>
      <c r="I2246" s="31">
        <v>0</v>
      </c>
      <c r="J2246" s="32">
        <v>1</v>
      </c>
      <c r="K2246" s="32">
        <v>0</v>
      </c>
      <c r="L2246" s="32">
        <v>0</v>
      </c>
      <c r="M2246" s="32">
        <v>0</v>
      </c>
      <c r="N2246" s="32">
        <v>0</v>
      </c>
      <c r="O2246" s="21">
        <v>2</v>
      </c>
      <c r="P2246" s="32">
        <v>1</v>
      </c>
      <c r="Q2246" s="32">
        <v>0.5</v>
      </c>
      <c r="R2246" s="32">
        <v>0</v>
      </c>
      <c r="S2246" s="19">
        <v>0</v>
      </c>
      <c r="T2246" s="31">
        <v>0</v>
      </c>
      <c r="U2246" s="21">
        <v>1</v>
      </c>
      <c r="V2246" s="32">
        <v>2</v>
      </c>
      <c r="W2246" s="32">
        <v>0</v>
      </c>
      <c r="X2246" s="32">
        <v>3</v>
      </c>
      <c r="Y2246" s="19">
        <v>0</v>
      </c>
      <c r="Z2246" s="32">
        <v>0</v>
      </c>
      <c r="AA2246" s="32">
        <v>0</v>
      </c>
      <c r="AB2246" s="32">
        <v>0</v>
      </c>
      <c r="AC2246" s="32">
        <v>0</v>
      </c>
      <c r="AD2246" s="32">
        <v>0</v>
      </c>
      <c r="AE2246" s="32">
        <v>0</v>
      </c>
      <c r="AF2246" s="32">
        <v>9</v>
      </c>
      <c r="AG2246" s="32">
        <v>1</v>
      </c>
      <c r="AH2246" s="32">
        <v>2</v>
      </c>
      <c r="AI2246" s="19">
        <v>2</v>
      </c>
      <c r="AJ2246" s="19">
        <v>2</v>
      </c>
      <c r="AK2246" s="19">
        <v>0</v>
      </c>
      <c r="AL2246" s="19">
        <v>3</v>
      </c>
      <c r="AM2246" s="32">
        <v>0</v>
      </c>
      <c r="AN2246" s="32">
        <v>0</v>
      </c>
      <c r="AO2246" s="32">
        <v>0</v>
      </c>
      <c r="AP2246" s="32">
        <v>2</v>
      </c>
      <c r="AQ2246" s="32">
        <v>30000</v>
      </c>
      <c r="AR2246" s="32">
        <v>2</v>
      </c>
      <c r="AS2246" s="32">
        <v>4</v>
      </c>
      <c r="AT2246" s="19">
        <v>0</v>
      </c>
      <c r="AU2246" s="32" t="s">
        <v>204</v>
      </c>
      <c r="AV2246" s="32"/>
      <c r="AW2246" s="35" t="s">
        <v>205</v>
      </c>
      <c r="AX2246" s="32" t="s">
        <v>551</v>
      </c>
      <c r="AY2246" s="32">
        <v>10003002</v>
      </c>
      <c r="AZ2246" s="32">
        <v>70106005</v>
      </c>
      <c r="BA2246" s="35" t="s">
        <v>592</v>
      </c>
      <c r="BB2246" s="35">
        <v>0</v>
      </c>
      <c r="BC2246" s="31">
        <v>0</v>
      </c>
      <c r="BD2246" s="31">
        <v>0</v>
      </c>
      <c r="BE2246" s="60" t="s">
        <v>583</v>
      </c>
      <c r="BF2246" s="60" t="s">
        <v>584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90010504</v>
      </c>
      <c r="D2247" s="35" t="s">
        <v>573</v>
      </c>
      <c r="E2247" s="35" t="s">
        <v>574</v>
      </c>
      <c r="F2247" s="32">
        <v>1</v>
      </c>
      <c r="G2247" s="32">
        <v>60010500</v>
      </c>
      <c r="H2247" s="32">
        <v>0</v>
      </c>
      <c r="I2247" s="31">
        <v>0</v>
      </c>
      <c r="J2247" s="32">
        <v>1</v>
      </c>
      <c r="K2247" s="32">
        <v>0</v>
      </c>
      <c r="L2247" s="32">
        <v>0</v>
      </c>
      <c r="M2247" s="32">
        <v>0</v>
      </c>
      <c r="N2247" s="32">
        <v>0</v>
      </c>
      <c r="O2247" s="21">
        <v>2</v>
      </c>
      <c r="P2247" s="32">
        <v>2</v>
      </c>
      <c r="Q2247" s="32">
        <v>0.6</v>
      </c>
      <c r="R2247" s="32">
        <v>0</v>
      </c>
      <c r="S2247" s="19">
        <v>0</v>
      </c>
      <c r="T2247" s="31">
        <v>0</v>
      </c>
      <c r="U2247" s="21">
        <v>1</v>
      </c>
      <c r="V2247" s="32">
        <v>2</v>
      </c>
      <c r="W2247" s="32">
        <v>0</v>
      </c>
      <c r="X2247" s="32">
        <v>0</v>
      </c>
      <c r="Y2247" s="19">
        <v>0</v>
      </c>
      <c r="Z2247" s="32">
        <v>0</v>
      </c>
      <c r="AA2247" s="32">
        <v>0</v>
      </c>
      <c r="AB2247" s="32">
        <v>0</v>
      </c>
      <c r="AC2247" s="32">
        <v>0</v>
      </c>
      <c r="AD2247" s="32">
        <v>0</v>
      </c>
      <c r="AE2247" s="32">
        <v>0</v>
      </c>
      <c r="AF2247" s="21">
        <v>30</v>
      </c>
      <c r="AG2247" s="32">
        <v>0</v>
      </c>
      <c r="AH2247" s="32">
        <v>0</v>
      </c>
      <c r="AI2247" s="19">
        <v>2</v>
      </c>
      <c r="AJ2247" s="19">
        <v>0</v>
      </c>
      <c r="AK2247" s="19">
        <v>0</v>
      </c>
      <c r="AL2247" s="19">
        <v>0</v>
      </c>
      <c r="AM2247" s="32">
        <v>0</v>
      </c>
      <c r="AN2247" s="32">
        <v>0</v>
      </c>
      <c r="AO2247" s="32">
        <v>0</v>
      </c>
      <c r="AP2247" s="32">
        <v>0</v>
      </c>
      <c r="AQ2247" s="32">
        <v>1000</v>
      </c>
      <c r="AR2247" s="32">
        <v>0</v>
      </c>
      <c r="AS2247" s="32">
        <v>0</v>
      </c>
      <c r="AT2247" s="19">
        <v>90104002</v>
      </c>
      <c r="AU2247" s="32" t="s">
        <v>204</v>
      </c>
      <c r="AV2247" s="32"/>
      <c r="AW2247" s="35" t="s">
        <v>205</v>
      </c>
      <c r="AX2247" s="32" t="s">
        <v>354</v>
      </c>
      <c r="AY2247" s="32">
        <v>0</v>
      </c>
      <c r="AZ2247" s="32">
        <v>0</v>
      </c>
      <c r="BA2247" s="35" t="s">
        <v>206</v>
      </c>
      <c r="BB2247" s="35" t="s">
        <v>204</v>
      </c>
      <c r="BC2247" s="31">
        <v>0</v>
      </c>
      <c r="BD2247" s="31">
        <v>0</v>
      </c>
      <c r="BE2247" s="60" t="s">
        <v>593</v>
      </c>
      <c r="BF2247" s="60" t="s">
        <v>594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90010505</v>
      </c>
      <c r="D2248" s="30" t="s">
        <v>595</v>
      </c>
      <c r="E2248" s="30" t="s">
        <v>596</v>
      </c>
      <c r="F2248" s="32">
        <v>1</v>
      </c>
      <c r="G2248" s="21">
        <v>60010300</v>
      </c>
      <c r="H2248" s="32">
        <v>0</v>
      </c>
      <c r="I2248" s="31">
        <v>0</v>
      </c>
      <c r="J2248" s="32">
        <v>1</v>
      </c>
      <c r="K2248" s="32">
        <v>0</v>
      </c>
      <c r="L2248" s="32">
        <v>0</v>
      </c>
      <c r="M2248" s="21">
        <v>0</v>
      </c>
      <c r="N2248" s="21">
        <v>0</v>
      </c>
      <c r="O2248" s="21">
        <v>2</v>
      </c>
      <c r="P2248" s="21">
        <v>1</v>
      </c>
      <c r="Q2248" s="21">
        <v>0.6</v>
      </c>
      <c r="R2248" s="21">
        <v>0</v>
      </c>
      <c r="S2248" s="19">
        <v>0</v>
      </c>
      <c r="T2248" s="21">
        <v>0</v>
      </c>
      <c r="U2248" s="21">
        <v>1</v>
      </c>
      <c r="V2248" s="21">
        <v>2</v>
      </c>
      <c r="W2248" s="21">
        <v>0</v>
      </c>
      <c r="X2248" s="21">
        <v>0</v>
      </c>
      <c r="Y2248" s="19">
        <v>0</v>
      </c>
      <c r="Z2248" s="21">
        <v>0</v>
      </c>
      <c r="AA2248" s="21">
        <v>0</v>
      </c>
      <c r="AB2248" s="21">
        <v>0</v>
      </c>
      <c r="AC2248" s="21">
        <v>0</v>
      </c>
      <c r="AD2248" s="21">
        <v>0</v>
      </c>
      <c r="AE2248" s="21">
        <v>0</v>
      </c>
      <c r="AF2248" s="21">
        <v>20</v>
      </c>
      <c r="AG2248" s="21">
        <v>0</v>
      </c>
      <c r="AH2248" s="21">
        <v>0</v>
      </c>
      <c r="AI2248" s="19">
        <v>2</v>
      </c>
      <c r="AJ2248" s="19">
        <v>2</v>
      </c>
      <c r="AK2248" s="19">
        <v>0</v>
      </c>
      <c r="AL2248" s="19">
        <v>1.5</v>
      </c>
      <c r="AM2248" s="21">
        <v>0</v>
      </c>
      <c r="AN2248" s="21">
        <v>0</v>
      </c>
      <c r="AO2248" s="21">
        <v>0</v>
      </c>
      <c r="AP2248" s="21">
        <v>1</v>
      </c>
      <c r="AQ2248" s="21">
        <v>3000</v>
      </c>
      <c r="AR2248" s="21">
        <v>0.5</v>
      </c>
      <c r="AS2248" s="21">
        <v>0</v>
      </c>
      <c r="AT2248" s="19">
        <v>0</v>
      </c>
      <c r="AU2248" s="21" t="s">
        <v>204</v>
      </c>
      <c r="AV2248" s="21"/>
      <c r="AW2248" s="35" t="s">
        <v>205</v>
      </c>
      <c r="AX2248" s="21" t="s">
        <v>551</v>
      </c>
      <c r="AY2248" s="32">
        <v>0</v>
      </c>
      <c r="AZ2248" s="32">
        <v>0</v>
      </c>
      <c r="BA2248" s="30" t="s">
        <v>534</v>
      </c>
      <c r="BB2248" s="21" t="s">
        <v>597</v>
      </c>
      <c r="BC2248" s="31">
        <v>0</v>
      </c>
      <c r="BD2248" s="31">
        <v>0</v>
      </c>
      <c r="BE2248" s="33" t="s">
        <v>598</v>
      </c>
      <c r="BF2248" s="33" t="s">
        <v>599</v>
      </c>
      <c r="BG2248" s="21">
        <v>0</v>
      </c>
      <c r="BH2248" s="21">
        <v>0</v>
      </c>
      <c r="BI2248" s="21">
        <v>0</v>
      </c>
      <c r="BJ2248" s="21">
        <v>0</v>
      </c>
      <c r="BK2248" s="21">
        <v>0</v>
      </c>
      <c r="BL2248" s="21">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90010901</v>
      </c>
      <c r="D2249" s="270" t="s">
        <v>5282</v>
      </c>
      <c r="E2249" s="270" t="s">
        <v>5283</v>
      </c>
      <c r="F2249" s="21">
        <v>1</v>
      </c>
      <c r="G2249" s="21">
        <v>62021401</v>
      </c>
      <c r="H2249" s="32">
        <f>C2250</f>
        <v>90010902</v>
      </c>
      <c r="I2249" s="31">
        <v>0</v>
      </c>
      <c r="J2249" s="21">
        <v>27</v>
      </c>
      <c r="K2249" s="21">
        <v>2</v>
      </c>
      <c r="L2249" s="21">
        <v>0</v>
      </c>
      <c r="M2249" s="32">
        <v>0</v>
      </c>
      <c r="N2249" s="32">
        <v>0</v>
      </c>
      <c r="O2249" s="32">
        <v>2</v>
      </c>
      <c r="P2249" s="32">
        <v>2</v>
      </c>
      <c r="Q2249" s="32">
        <v>0.95</v>
      </c>
      <c r="R2249" s="32">
        <v>0</v>
      </c>
      <c r="S2249" s="19">
        <v>0</v>
      </c>
      <c r="T2249" s="31">
        <v>0</v>
      </c>
      <c r="U2249" s="21">
        <v>1</v>
      </c>
      <c r="V2249" s="32">
        <v>2</v>
      </c>
      <c r="W2249" s="32">
        <v>0</v>
      </c>
      <c r="X2249" s="32">
        <v>1.2</v>
      </c>
      <c r="Y2249" s="19">
        <v>0</v>
      </c>
      <c r="Z2249" s="32">
        <v>500</v>
      </c>
      <c r="AA2249" s="32">
        <v>0</v>
      </c>
      <c r="AB2249" s="32">
        <v>0</v>
      </c>
      <c r="AC2249" s="32">
        <v>0</v>
      </c>
      <c r="AD2249" s="32">
        <v>0</v>
      </c>
      <c r="AE2249" s="32">
        <v>0</v>
      </c>
      <c r="AF2249" s="32">
        <v>6</v>
      </c>
      <c r="AG2249" s="32">
        <v>1</v>
      </c>
      <c r="AH2249" s="32">
        <v>3</v>
      </c>
      <c r="AI2249" s="19">
        <v>2</v>
      </c>
      <c r="AJ2249" s="19">
        <v>1</v>
      </c>
      <c r="AK2249" s="19">
        <v>0</v>
      </c>
      <c r="AL2249" s="19">
        <v>7</v>
      </c>
      <c r="AM2249" s="32">
        <v>0</v>
      </c>
      <c r="AN2249" s="32">
        <v>0</v>
      </c>
      <c r="AO2249" s="32">
        <v>6</v>
      </c>
      <c r="AP2249" s="32">
        <v>0.25</v>
      </c>
      <c r="AQ2249" s="32">
        <v>6000</v>
      </c>
      <c r="AR2249" s="32">
        <v>0</v>
      </c>
      <c r="AS2249" s="32">
        <v>0</v>
      </c>
      <c r="AT2249" s="19">
        <v>0</v>
      </c>
      <c r="AU2249" s="32">
        <v>92014001</v>
      </c>
      <c r="AV2249" s="32"/>
      <c r="AW2249" s="35" t="s">
        <v>375</v>
      </c>
      <c r="AX2249" s="32" t="s">
        <v>376</v>
      </c>
      <c r="AY2249" s="32">
        <v>10002001</v>
      </c>
      <c r="AZ2249" s="32">
        <v>21101040</v>
      </c>
      <c r="BA2249" s="35" t="s">
        <v>321</v>
      </c>
      <c r="BB2249" s="35" t="s">
        <v>1916</v>
      </c>
      <c r="BC2249" s="31">
        <v>0</v>
      </c>
      <c r="BD2249" s="31">
        <v>0</v>
      </c>
      <c r="BE2249" s="185" t="str">
        <f t="shared" ref="BE2249" si="155">"对目标区域持续造成伤害,在此范围内的敌方目标每秒造成2次"&amp;X2249*100&amp;"%攻击伤害+"&amp;Z2249&amp;"点固定伤害,目标移动速度降低75%,持续6秒,当在施法过程中进行移动会中断此技能施放"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9" s="185" t="s">
        <v>5284</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90010902</v>
      </c>
      <c r="D2250" s="270" t="s">
        <v>5285</v>
      </c>
      <c r="E2250" s="270" t="s">
        <v>5286</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6">"立即对指定前方区域释放冲击波,冲击波对触碰的怪物造成"&amp;X2250*100&amp;"%攻击伤害+"&amp;Z2250&amp;"点固定伤害"</f>
        <v>立即对指定前方区域释放冲击波,冲击波对触碰的怪物造成250%攻击伤害+1500点固定伤害</v>
      </c>
      <c r="BF2250" s="185"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90010903</v>
      </c>
      <c r="D2251" s="270" t="s">
        <v>5287</v>
      </c>
      <c r="E2251" s="270" t="s">
        <v>5288</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7">"立即对指定前方区域释放冲击波,冲击波对触碰的怪物造成"&amp;X2251*100&amp;"%攻击伤害+"&amp;Z2251&amp;"点固定伤害"</f>
        <v>立即对指定前方区域释放冲击波,冲击波对触碰的怪物造成250%攻击伤害+1500点固定伤害</v>
      </c>
      <c r="BF2251" s="185" t="s">
        <v>1943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90010904</v>
      </c>
      <c r="D2252" s="35" t="s">
        <v>5289</v>
      </c>
      <c r="E2252" s="35" t="s">
        <v>5290</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2</v>
      </c>
      <c r="AK2252" s="19">
        <v>0</v>
      </c>
      <c r="AL2252" s="19">
        <v>3</v>
      </c>
      <c r="AM2252" s="32">
        <v>0</v>
      </c>
      <c r="AN2252" s="32">
        <v>0</v>
      </c>
      <c r="AO2252" s="32">
        <v>0</v>
      </c>
      <c r="AP2252" s="32">
        <v>0.5</v>
      </c>
      <c r="AQ2252" s="32">
        <v>2000</v>
      </c>
      <c r="AR2252" s="32">
        <v>0</v>
      </c>
      <c r="AS2252" s="32">
        <v>20</v>
      </c>
      <c r="AT2252" s="19">
        <v>0</v>
      </c>
      <c r="AU2252" s="32" t="s">
        <v>204</v>
      </c>
      <c r="AV2252" s="32"/>
      <c r="AW2252" s="35" t="s">
        <v>205</v>
      </c>
      <c r="AX2252" s="32" t="s">
        <v>551</v>
      </c>
      <c r="AY2252" s="32">
        <v>10003002</v>
      </c>
      <c r="AZ2252" s="32">
        <v>70106005</v>
      </c>
      <c r="BA2252" s="35" t="s">
        <v>2057</v>
      </c>
      <c r="BB2252" s="35">
        <v>0</v>
      </c>
      <c r="BC2252" s="31">
        <v>0</v>
      </c>
      <c r="BD2252" s="31">
        <v>0</v>
      </c>
      <c r="BE2252" s="60" t="s">
        <v>5291</v>
      </c>
      <c r="BF2252" s="60" t="s">
        <v>5292</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32">
        <v>90010905</v>
      </c>
      <c r="D2253" s="35" t="s">
        <v>5293</v>
      </c>
      <c r="E2253" s="35" t="s">
        <v>5294</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1</v>
      </c>
      <c r="AK2253" s="19">
        <v>0</v>
      </c>
      <c r="AL2253" s="19">
        <v>5</v>
      </c>
      <c r="AM2253" s="32">
        <v>0</v>
      </c>
      <c r="AN2253" s="32">
        <v>0</v>
      </c>
      <c r="AO2253" s="32">
        <v>0</v>
      </c>
      <c r="AP2253" s="32">
        <v>0.5</v>
      </c>
      <c r="AQ2253" s="32">
        <v>2000</v>
      </c>
      <c r="AR2253" s="32">
        <v>0</v>
      </c>
      <c r="AS2253" s="32">
        <v>20</v>
      </c>
      <c r="AT2253" s="19">
        <v>0</v>
      </c>
      <c r="AU2253" s="32" t="s">
        <v>204</v>
      </c>
      <c r="AV2253" s="32"/>
      <c r="AW2253" s="35" t="s">
        <v>205</v>
      </c>
      <c r="AX2253" s="32" t="s">
        <v>551</v>
      </c>
      <c r="AY2253" s="32">
        <v>0</v>
      </c>
      <c r="AZ2253" s="32">
        <v>70106005</v>
      </c>
      <c r="BA2253" s="35" t="s">
        <v>2197</v>
      </c>
      <c r="BB2253" s="358" t="s">
        <v>5295</v>
      </c>
      <c r="BC2253" s="31">
        <v>0</v>
      </c>
      <c r="BD2253" s="31">
        <v>0</v>
      </c>
      <c r="BE2253" s="60" t="s">
        <v>5296</v>
      </c>
      <c r="BF2253" s="60" t="s">
        <v>5297</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90010906</v>
      </c>
      <c r="D2254" s="30" t="s">
        <v>5298</v>
      </c>
      <c r="E2254" s="30" t="s">
        <v>5299</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2</v>
      </c>
      <c r="AI2254" s="19">
        <v>7</v>
      </c>
      <c r="AJ2254" s="19">
        <v>0</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5144</v>
      </c>
      <c r="BB2254" s="21">
        <v>0</v>
      </c>
      <c r="BC2254" s="31">
        <v>0</v>
      </c>
      <c r="BD2254" s="31">
        <v>0</v>
      </c>
      <c r="BE2254" s="185" t="s">
        <v>5251</v>
      </c>
      <c r="BF2254" s="185" t="s">
        <v>5252</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90010907</v>
      </c>
      <c r="D2255" s="30" t="s">
        <v>5300</v>
      </c>
      <c r="E2255" s="30" t="s">
        <v>5301</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3</v>
      </c>
      <c r="AI2255" s="19">
        <v>2</v>
      </c>
      <c r="AJ2255" s="19">
        <v>1</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1048</v>
      </c>
      <c r="BB2255" s="21">
        <v>0</v>
      </c>
      <c r="BC2255" s="31">
        <v>0</v>
      </c>
      <c r="BD2255" s="31">
        <v>0</v>
      </c>
      <c r="BE2255" s="185" t="s">
        <v>5251</v>
      </c>
      <c r="BF2255" s="185" t="s">
        <v>5252</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72">
        <v>90010908</v>
      </c>
      <c r="D2256" s="88" t="s">
        <v>5302</v>
      </c>
      <c r="E2256" s="88" t="s">
        <v>5303</v>
      </c>
      <c r="F2256" s="74">
        <v>1</v>
      </c>
      <c r="G2256" s="90">
        <v>0</v>
      </c>
      <c r="H2256" s="74">
        <v>0</v>
      </c>
      <c r="I2256" s="75">
        <v>0</v>
      </c>
      <c r="J2256" s="74">
        <v>1</v>
      </c>
      <c r="K2256" s="74">
        <v>0</v>
      </c>
      <c r="L2256" s="74">
        <v>0</v>
      </c>
      <c r="M2256" s="74">
        <v>0</v>
      </c>
      <c r="N2256" s="74">
        <v>0</v>
      </c>
      <c r="O2256" s="74">
        <v>1</v>
      </c>
      <c r="P2256" s="74">
        <v>0</v>
      </c>
      <c r="Q2256" s="74">
        <v>0</v>
      </c>
      <c r="R2256" s="74">
        <v>0</v>
      </c>
      <c r="S2256" s="73">
        <v>0</v>
      </c>
      <c r="T2256" s="75">
        <v>0</v>
      </c>
      <c r="U2256" s="72">
        <v>1</v>
      </c>
      <c r="V2256" s="74">
        <v>1</v>
      </c>
      <c r="W2256" s="74">
        <v>0</v>
      </c>
      <c r="X2256" s="74">
        <v>1.5</v>
      </c>
      <c r="Y2256" s="19">
        <v>0</v>
      </c>
      <c r="Z2256" s="74">
        <v>0</v>
      </c>
      <c r="AA2256" s="74">
        <v>0</v>
      </c>
      <c r="AB2256" s="74">
        <v>0</v>
      </c>
      <c r="AC2256" s="74">
        <v>0</v>
      </c>
      <c r="AD2256" s="74">
        <v>1</v>
      </c>
      <c r="AE2256" s="74">
        <v>0</v>
      </c>
      <c r="AF2256" s="74">
        <v>5</v>
      </c>
      <c r="AG2256" s="74">
        <v>1</v>
      </c>
      <c r="AH2256" s="74">
        <v>3</v>
      </c>
      <c r="AI2256" s="73">
        <v>2</v>
      </c>
      <c r="AJ2256" s="73">
        <v>1</v>
      </c>
      <c r="AK2256" s="73">
        <v>0</v>
      </c>
      <c r="AL2256" s="73">
        <v>6</v>
      </c>
      <c r="AM2256" s="74">
        <v>0</v>
      </c>
      <c r="AN2256" s="74">
        <v>0</v>
      </c>
      <c r="AO2256" s="74">
        <v>0</v>
      </c>
      <c r="AP2256" s="74">
        <v>0</v>
      </c>
      <c r="AQ2256" s="74">
        <v>5000</v>
      </c>
      <c r="AR2256" s="74">
        <v>0.2</v>
      </c>
      <c r="AS2256" s="74">
        <v>0</v>
      </c>
      <c r="AT2256" s="73">
        <v>0</v>
      </c>
      <c r="AU2256" s="74" t="s">
        <v>204</v>
      </c>
      <c r="AV2256" s="74"/>
      <c r="AW2256" s="88" t="s">
        <v>204</v>
      </c>
      <c r="AX2256" s="74" t="s">
        <v>1767</v>
      </c>
      <c r="AY2256" s="74">
        <v>10000006</v>
      </c>
      <c r="AZ2256" s="127">
        <v>60000004</v>
      </c>
      <c r="BA2256" s="88" t="s">
        <v>1768</v>
      </c>
      <c r="BB2256" s="88" t="s">
        <v>204</v>
      </c>
      <c r="BC2256" s="75">
        <v>0</v>
      </c>
      <c r="BD2256" s="75">
        <v>0</v>
      </c>
      <c r="BE2256" s="89"/>
      <c r="BF2256" s="89"/>
      <c r="BG2256" s="74">
        <v>0</v>
      </c>
      <c r="BH2256" s="72">
        <v>0</v>
      </c>
      <c r="BI2256" s="74">
        <v>0</v>
      </c>
      <c r="BJ2256" s="74">
        <v>0</v>
      </c>
      <c r="BK2256" s="74">
        <v>0</v>
      </c>
      <c r="BL2256" s="74">
        <v>0</v>
      </c>
      <c r="BM2256" s="90">
        <v>0</v>
      </c>
      <c r="BN2256" s="73">
        <v>1</v>
      </c>
      <c r="BO2256" s="73">
        <v>0</v>
      </c>
      <c r="BP2256" s="73">
        <v>0</v>
      </c>
      <c r="BQ2256" s="73">
        <v>0</v>
      </c>
      <c r="BR2256" s="73">
        <v>0</v>
      </c>
      <c r="BS2256" s="73">
        <v>0</v>
      </c>
      <c r="BT2256" s="19">
        <v>0</v>
      </c>
      <c r="BU2256" s="23">
        <v>0</v>
      </c>
      <c r="BV2256" s="23"/>
      <c r="BW2256" s="23"/>
      <c r="BX2256" s="23"/>
      <c r="BY2256" s="23"/>
      <c r="BZ2256" s="23"/>
    </row>
    <row r="2257" spans="3:78" ht="20.100000000000001" customHeight="1">
      <c r="C2257" s="21">
        <v>90010909</v>
      </c>
      <c r="D2257" s="30" t="s">
        <v>5304</v>
      </c>
      <c r="E2257" s="30" t="s">
        <v>5305</v>
      </c>
      <c r="F2257" s="21">
        <v>0</v>
      </c>
      <c r="G2257" s="21">
        <v>61011301</v>
      </c>
      <c r="H2257" s="21">
        <v>0</v>
      </c>
      <c r="I2257" s="31">
        <v>0</v>
      </c>
      <c r="J2257" s="21">
        <v>10</v>
      </c>
      <c r="K2257" s="21">
        <v>3</v>
      </c>
      <c r="L2257" s="21">
        <v>0</v>
      </c>
      <c r="M2257" s="21">
        <v>0</v>
      </c>
      <c r="N2257" s="21">
        <v>0</v>
      </c>
      <c r="O2257" s="21">
        <v>2</v>
      </c>
      <c r="P2257" s="21">
        <v>1</v>
      </c>
      <c r="Q2257" s="21">
        <v>0.1</v>
      </c>
      <c r="R2257" s="21">
        <v>0</v>
      </c>
      <c r="S2257" s="19">
        <v>3</v>
      </c>
      <c r="T2257" s="21">
        <v>0</v>
      </c>
      <c r="U2257" s="21">
        <v>1</v>
      </c>
      <c r="V2257" s="21">
        <v>2</v>
      </c>
      <c r="W2257" s="21">
        <v>0</v>
      </c>
      <c r="X2257" s="21">
        <v>3</v>
      </c>
      <c r="Y2257" s="19">
        <v>0</v>
      </c>
      <c r="Z2257" s="21">
        <v>350</v>
      </c>
      <c r="AA2257" s="21">
        <v>1</v>
      </c>
      <c r="AB2257" s="21">
        <v>0</v>
      </c>
      <c r="AC2257" s="21">
        <v>0</v>
      </c>
      <c r="AD2257" s="21">
        <v>0</v>
      </c>
      <c r="AE2257" s="21">
        <v>0</v>
      </c>
      <c r="AF2257" s="21">
        <v>9</v>
      </c>
      <c r="AG2257" s="21">
        <v>1</v>
      </c>
      <c r="AH2257" s="21">
        <v>3</v>
      </c>
      <c r="AI2257" s="19">
        <v>2</v>
      </c>
      <c r="AJ2257" s="19">
        <v>1</v>
      </c>
      <c r="AK2257" s="19">
        <v>0</v>
      </c>
      <c r="AL2257" s="19">
        <v>6</v>
      </c>
      <c r="AM2257" s="21">
        <v>0</v>
      </c>
      <c r="AN2257" s="21">
        <v>0</v>
      </c>
      <c r="AO2257" s="21">
        <v>0</v>
      </c>
      <c r="AP2257" s="21">
        <v>1</v>
      </c>
      <c r="AQ2257" s="21">
        <v>3000</v>
      </c>
      <c r="AR2257" s="21">
        <v>4</v>
      </c>
      <c r="AS2257" s="21">
        <v>0</v>
      </c>
      <c r="AT2257" s="19">
        <v>0</v>
      </c>
      <c r="AU2257" s="21" t="s">
        <v>204</v>
      </c>
      <c r="AV2257" s="21"/>
      <c r="AW2257" s="30" t="s">
        <v>768</v>
      </c>
      <c r="AX2257" s="21" t="s">
        <v>221</v>
      </c>
      <c r="AY2257" s="32">
        <v>10000015</v>
      </c>
      <c r="AZ2257" s="32">
        <v>21000030</v>
      </c>
      <c r="BA2257" s="30" t="s">
        <v>777</v>
      </c>
      <c r="BB2257" s="21">
        <v>0</v>
      </c>
      <c r="BC2257" s="31">
        <v>0</v>
      </c>
      <c r="BD2257" s="31">
        <v>0</v>
      </c>
      <c r="BE2257" s="171" t="str">
        <f>"&lt;color=#D3FD3A&gt;冲锋击(剑类武器技能):\n&lt;/color&gt;"&amp;BE2281&amp;"\n\n&lt;color=#D3FD3A&gt;跳跃击(刀类武器技能):\n&lt;/color&gt;"&amp;BE2263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7" s="171" t="s">
        <v>5306</v>
      </c>
      <c r="BG2257" s="21">
        <v>0</v>
      </c>
      <c r="BH2257" s="21">
        <v>0</v>
      </c>
      <c r="BI2257" s="21">
        <v>0</v>
      </c>
      <c r="BJ2257" s="21">
        <v>0</v>
      </c>
      <c r="BK2257" s="21">
        <v>0</v>
      </c>
      <c r="BL2257" s="21">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19.5" customHeight="1">
      <c r="C2258" s="21">
        <v>90010910</v>
      </c>
      <c r="D2258" s="35" t="s">
        <v>5307</v>
      </c>
      <c r="E2258" s="35" t="s">
        <v>5308</v>
      </c>
      <c r="F2258" s="32">
        <v>1</v>
      </c>
      <c r="G2258" s="32">
        <v>60010300</v>
      </c>
      <c r="H2258" s="32">
        <v>0</v>
      </c>
      <c r="I2258" s="31">
        <v>0</v>
      </c>
      <c r="J2258" s="32">
        <v>1</v>
      </c>
      <c r="K2258" s="32">
        <v>0</v>
      </c>
      <c r="L2258" s="32">
        <v>0</v>
      </c>
      <c r="M2258" s="32">
        <v>0</v>
      </c>
      <c r="N2258" s="32">
        <v>0</v>
      </c>
      <c r="O2258" s="21">
        <v>1</v>
      </c>
      <c r="P2258" s="32">
        <v>0</v>
      </c>
      <c r="Q2258" s="32">
        <v>0</v>
      </c>
      <c r="R2258" s="32">
        <v>0</v>
      </c>
      <c r="S2258" s="19">
        <v>0</v>
      </c>
      <c r="T2258" s="31">
        <v>0</v>
      </c>
      <c r="U2258" s="21">
        <v>1</v>
      </c>
      <c r="V2258" s="32">
        <v>2</v>
      </c>
      <c r="W2258" s="32">
        <v>0</v>
      </c>
      <c r="X2258" s="32">
        <v>3</v>
      </c>
      <c r="Y2258" s="19">
        <v>0</v>
      </c>
      <c r="Z2258" s="32">
        <v>0</v>
      </c>
      <c r="AA2258" s="32">
        <v>0</v>
      </c>
      <c r="AB2258" s="32">
        <v>0</v>
      </c>
      <c r="AC2258" s="32">
        <v>0</v>
      </c>
      <c r="AD2258" s="32">
        <v>0</v>
      </c>
      <c r="AE2258" s="32">
        <v>0</v>
      </c>
      <c r="AF2258" s="32">
        <v>9</v>
      </c>
      <c r="AG2258" s="32">
        <v>1</v>
      </c>
      <c r="AH2258" s="32">
        <v>2</v>
      </c>
      <c r="AI2258" s="19">
        <v>2</v>
      </c>
      <c r="AJ2258" s="19">
        <v>1</v>
      </c>
      <c r="AK2258" s="19">
        <v>0</v>
      </c>
      <c r="AL2258" s="19">
        <v>5</v>
      </c>
      <c r="AM2258" s="32">
        <v>0</v>
      </c>
      <c r="AN2258" s="32">
        <v>0</v>
      </c>
      <c r="AO2258" s="32">
        <v>0</v>
      </c>
      <c r="AP2258" s="32">
        <v>0.5</v>
      </c>
      <c r="AQ2258" s="32">
        <v>2000</v>
      </c>
      <c r="AR2258" s="32">
        <v>0</v>
      </c>
      <c r="AS2258" s="32">
        <v>20</v>
      </c>
      <c r="AT2258" s="19">
        <v>0</v>
      </c>
      <c r="AU2258" s="32" t="s">
        <v>204</v>
      </c>
      <c r="AV2258" s="32"/>
      <c r="AW2258" s="35" t="s">
        <v>205</v>
      </c>
      <c r="AX2258" s="32" t="s">
        <v>551</v>
      </c>
      <c r="AY2258" s="32">
        <v>0</v>
      </c>
      <c r="AZ2258" s="32">
        <v>70106005</v>
      </c>
      <c r="BA2258" s="35" t="s">
        <v>2197</v>
      </c>
      <c r="BB2258" s="358" t="s">
        <v>2198</v>
      </c>
      <c r="BC2258" s="31">
        <v>0</v>
      </c>
      <c r="BD2258" s="31">
        <v>0</v>
      </c>
      <c r="BE2258" s="60" t="s">
        <v>5296</v>
      </c>
      <c r="BF2258" s="60" t="s">
        <v>5297</v>
      </c>
      <c r="BG2258" s="32">
        <v>0</v>
      </c>
      <c r="BH2258" s="336" t="s">
        <v>5309</v>
      </c>
      <c r="BI2258" s="32">
        <v>0</v>
      </c>
      <c r="BJ2258" s="32">
        <v>0</v>
      </c>
      <c r="BK2258" s="32">
        <v>0</v>
      </c>
      <c r="BL2258" s="32">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20.100000000000001" customHeight="1">
      <c r="C2259" s="107">
        <v>90010911</v>
      </c>
      <c r="D2259" s="110" t="s">
        <v>5310</v>
      </c>
      <c r="E2259" s="110" t="s">
        <v>5311</v>
      </c>
      <c r="F2259" s="107">
        <v>1</v>
      </c>
      <c r="G2259" s="100">
        <v>60010100</v>
      </c>
      <c r="H2259" s="107">
        <v>0</v>
      </c>
      <c r="I2259" s="105">
        <v>0</v>
      </c>
      <c r="J2259" s="107">
        <v>1</v>
      </c>
      <c r="K2259" s="107">
        <v>0</v>
      </c>
      <c r="L2259" s="107">
        <v>0</v>
      </c>
      <c r="M2259" s="100">
        <v>0</v>
      </c>
      <c r="N2259" s="100">
        <v>0</v>
      </c>
      <c r="O2259" s="100">
        <v>2</v>
      </c>
      <c r="P2259" s="100">
        <v>10</v>
      </c>
      <c r="Q2259" s="100">
        <v>0.5</v>
      </c>
      <c r="R2259" s="100">
        <v>0</v>
      </c>
      <c r="S2259" s="99">
        <v>1</v>
      </c>
      <c r="T2259" s="100">
        <v>0</v>
      </c>
      <c r="U2259" s="100">
        <v>1</v>
      </c>
      <c r="V2259" s="100">
        <v>1</v>
      </c>
      <c r="W2259" s="100">
        <v>0</v>
      </c>
      <c r="X2259" s="100">
        <v>0</v>
      </c>
      <c r="Y2259" s="19">
        <v>0</v>
      </c>
      <c r="Z2259" s="100">
        <v>0</v>
      </c>
      <c r="AA2259" s="100">
        <v>0</v>
      </c>
      <c r="AB2259" s="100">
        <v>0</v>
      </c>
      <c r="AC2259" s="100">
        <v>0</v>
      </c>
      <c r="AD2259" s="100">
        <v>0</v>
      </c>
      <c r="AE2259" s="100">
        <v>1</v>
      </c>
      <c r="AF2259" s="100">
        <v>15</v>
      </c>
      <c r="AG2259" s="100">
        <v>1</v>
      </c>
      <c r="AH2259" s="100">
        <v>2</v>
      </c>
      <c r="AI2259" s="99">
        <v>1</v>
      </c>
      <c r="AJ2259" s="99">
        <v>0</v>
      </c>
      <c r="AK2259" s="99">
        <v>0</v>
      </c>
      <c r="AL2259" s="99">
        <v>0</v>
      </c>
      <c r="AM2259" s="100">
        <v>0</v>
      </c>
      <c r="AN2259" s="100">
        <v>0</v>
      </c>
      <c r="AO2259" s="100">
        <v>0</v>
      </c>
      <c r="AP2259" s="100">
        <v>0</v>
      </c>
      <c r="AQ2259" s="100">
        <v>2000</v>
      </c>
      <c r="AR2259" s="100">
        <v>0</v>
      </c>
      <c r="AS2259" s="100">
        <v>0</v>
      </c>
      <c r="AT2259" s="99">
        <v>90104051</v>
      </c>
      <c r="AU2259" s="118">
        <v>0</v>
      </c>
      <c r="AV2259" s="118"/>
      <c r="AW2259" s="104" t="s">
        <v>293</v>
      </c>
      <c r="AX2259" s="100">
        <v>0</v>
      </c>
      <c r="AY2259" s="107">
        <v>0</v>
      </c>
      <c r="AZ2259" s="107">
        <v>0</v>
      </c>
      <c r="BA2259" s="110" t="s">
        <v>534</v>
      </c>
      <c r="BB2259" s="100" t="s">
        <v>5312</v>
      </c>
      <c r="BC2259" s="105">
        <v>0</v>
      </c>
      <c r="BD2259" s="105">
        <v>0</v>
      </c>
      <c r="BE2259" s="111" t="s">
        <v>922</v>
      </c>
      <c r="BF2259" s="111" t="s">
        <v>923</v>
      </c>
      <c r="BG2259" s="100">
        <v>0</v>
      </c>
      <c r="BH2259" s="100">
        <v>0</v>
      </c>
      <c r="BI2259" s="100">
        <v>0</v>
      </c>
      <c r="BJ2259" s="100">
        <v>0</v>
      </c>
      <c r="BK2259" s="100">
        <v>0</v>
      </c>
      <c r="BL2259" s="100">
        <v>0</v>
      </c>
      <c r="BM2259" s="97">
        <v>0</v>
      </c>
      <c r="BN2259" s="99">
        <v>0</v>
      </c>
      <c r="BO2259" s="99">
        <v>0</v>
      </c>
      <c r="BP2259" s="99">
        <v>0</v>
      </c>
      <c r="BQ2259" s="99">
        <v>0</v>
      </c>
      <c r="BR2259" s="99">
        <v>0</v>
      </c>
      <c r="BS2259" s="99">
        <v>0</v>
      </c>
      <c r="BT2259" s="19">
        <v>0</v>
      </c>
      <c r="BU2259" s="23">
        <v>0</v>
      </c>
      <c r="BV2259" s="23"/>
      <c r="BW2259" s="23"/>
      <c r="BX2259" s="23"/>
      <c r="BY2259" s="23"/>
      <c r="BZ2259" s="23"/>
    </row>
    <row r="2260" spans="3:78" ht="20.100000000000001" customHeight="1">
      <c r="C2260" s="107">
        <v>90010912</v>
      </c>
      <c r="D2260" s="110" t="s">
        <v>568</v>
      </c>
      <c r="E2260" s="110" t="s">
        <v>569</v>
      </c>
      <c r="F2260" s="100">
        <v>1</v>
      </c>
      <c r="G2260" s="100">
        <v>61012201</v>
      </c>
      <c r="H2260" s="100">
        <v>0</v>
      </c>
      <c r="I2260" s="105">
        <v>0</v>
      </c>
      <c r="J2260" s="100">
        <v>3</v>
      </c>
      <c r="K2260" s="100">
        <v>0</v>
      </c>
      <c r="L2260" s="100">
        <v>0</v>
      </c>
      <c r="M2260" s="100">
        <v>0</v>
      </c>
      <c r="N2260" s="100">
        <v>0</v>
      </c>
      <c r="O2260" s="100">
        <v>2</v>
      </c>
      <c r="P2260" s="100">
        <v>2</v>
      </c>
      <c r="Q2260" s="100">
        <v>1</v>
      </c>
      <c r="R2260" s="100">
        <v>0</v>
      </c>
      <c r="S2260" s="99">
        <v>0</v>
      </c>
      <c r="T2260" s="100">
        <v>0</v>
      </c>
      <c r="U2260" s="100">
        <v>1</v>
      </c>
      <c r="V2260" s="100">
        <v>2</v>
      </c>
      <c r="W2260" s="100">
        <v>0</v>
      </c>
      <c r="X2260" s="100">
        <v>1.5</v>
      </c>
      <c r="Y2260" s="19">
        <v>0</v>
      </c>
      <c r="Z2260" s="100">
        <v>300</v>
      </c>
      <c r="AA2260" s="100">
        <v>1</v>
      </c>
      <c r="AB2260" s="100">
        <v>0</v>
      </c>
      <c r="AC2260" s="100">
        <v>0</v>
      </c>
      <c r="AD2260" s="100">
        <v>0</v>
      </c>
      <c r="AE2260" s="100">
        <v>0</v>
      </c>
      <c r="AF2260" s="100">
        <v>15</v>
      </c>
      <c r="AG2260" s="100">
        <v>1</v>
      </c>
      <c r="AH2260" s="100">
        <v>4</v>
      </c>
      <c r="AI2260" s="99">
        <v>2</v>
      </c>
      <c r="AJ2260" s="99">
        <v>0</v>
      </c>
      <c r="AK2260" s="99">
        <v>0</v>
      </c>
      <c r="AL2260" s="99">
        <v>0</v>
      </c>
      <c r="AM2260" s="100">
        <v>0</v>
      </c>
      <c r="AN2260" s="100">
        <v>0</v>
      </c>
      <c r="AO2260" s="100">
        <v>0</v>
      </c>
      <c r="AP2260" s="100">
        <v>0</v>
      </c>
      <c r="AQ2260" s="100">
        <v>60000</v>
      </c>
      <c r="AR2260" s="100">
        <v>0.1</v>
      </c>
      <c r="AS2260" s="100">
        <v>0</v>
      </c>
      <c r="AT2260" s="99">
        <v>0</v>
      </c>
      <c r="AU2260" s="328" t="s">
        <v>5313</v>
      </c>
      <c r="AV2260" s="100"/>
      <c r="AW2260" s="110" t="s">
        <v>768</v>
      </c>
      <c r="AX2260" s="100" t="s">
        <v>540</v>
      </c>
      <c r="AY2260" s="107">
        <v>10000001</v>
      </c>
      <c r="AZ2260" s="107">
        <v>62001701</v>
      </c>
      <c r="BA2260" s="110" t="s">
        <v>1171</v>
      </c>
      <c r="BB2260" s="100">
        <v>0</v>
      </c>
      <c r="BC2260" s="105">
        <v>0</v>
      </c>
      <c r="BD2260" s="105">
        <v>0</v>
      </c>
      <c r="BE2260" s="136" t="str">
        <f t="shared" ref="BE2260" si="158">"每秒对周围的怪物造成"&amp;X2260*100&amp;"%攻击伤害+"&amp;Z2260&amp;"点固定伤害.持续4秒并使自身免疫怪物攻击"</f>
        <v>每秒对周围的怪物造成150%攻击伤害+300点固定伤害.持续4秒并使自身免疫怪物攻击</v>
      </c>
      <c r="BF2260" s="136" t="s">
        <v>5314</v>
      </c>
      <c r="BG2260" s="100">
        <v>0</v>
      </c>
      <c r="BH2260" s="100">
        <v>0</v>
      </c>
      <c r="BI2260" s="100">
        <v>0</v>
      </c>
      <c r="BJ2260" s="100">
        <v>0</v>
      </c>
      <c r="BK2260" s="100">
        <v>0</v>
      </c>
      <c r="BL2260" s="100">
        <v>0</v>
      </c>
      <c r="BM2260" s="97">
        <v>0</v>
      </c>
      <c r="BN2260" s="99">
        <v>0</v>
      </c>
      <c r="BO2260" s="99">
        <v>0</v>
      </c>
      <c r="BP2260" s="99">
        <v>0</v>
      </c>
      <c r="BQ2260" s="99">
        <v>0</v>
      </c>
      <c r="BR2260" s="99">
        <v>0</v>
      </c>
      <c r="BS2260" s="99">
        <v>1</v>
      </c>
      <c r="BT2260" s="19">
        <v>0</v>
      </c>
      <c r="BU2260" s="23">
        <v>0</v>
      </c>
      <c r="BV2260" s="23"/>
      <c r="BW2260" s="23"/>
      <c r="BX2260" s="23"/>
      <c r="BY2260" s="23"/>
      <c r="BZ2260" s="23"/>
    </row>
    <row r="2261" spans="3:78" ht="20.100000000000001" customHeight="1">
      <c r="C2261" s="283">
        <v>90020002</v>
      </c>
      <c r="D2261" s="284" t="s">
        <v>5315</v>
      </c>
      <c r="E2261" s="284" t="s">
        <v>5316</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3</v>
      </c>
      <c r="AI2261" s="286">
        <v>2</v>
      </c>
      <c r="AJ2261" s="286">
        <v>1</v>
      </c>
      <c r="AK2261" s="286">
        <v>0</v>
      </c>
      <c r="AL2261" s="286">
        <v>6</v>
      </c>
      <c r="AM2261" s="283">
        <v>0</v>
      </c>
      <c r="AN2261" s="283">
        <v>0</v>
      </c>
      <c r="AO2261" s="283">
        <v>0</v>
      </c>
      <c r="AP2261" s="283">
        <v>0</v>
      </c>
      <c r="AQ2261" s="283">
        <v>5000</v>
      </c>
      <c r="AR2261" s="283">
        <v>0.2</v>
      </c>
      <c r="AS2261" s="283">
        <v>0</v>
      </c>
      <c r="AT2261" s="286">
        <v>0</v>
      </c>
      <c r="AU2261" s="283">
        <v>0</v>
      </c>
      <c r="AV2261" s="283"/>
      <c r="AW2261" s="284" t="s">
        <v>204</v>
      </c>
      <c r="AX2261" s="283" t="s">
        <v>1767</v>
      </c>
      <c r="AY2261" s="283">
        <v>10000006</v>
      </c>
      <c r="AZ2261" s="288">
        <v>91000307</v>
      </c>
      <c r="BA2261" s="284" t="s">
        <v>5317</v>
      </c>
      <c r="BB2261" s="284" t="s">
        <v>5318</v>
      </c>
      <c r="BC2261" s="285">
        <v>0</v>
      </c>
      <c r="BD2261" s="285">
        <v>0</v>
      </c>
      <c r="BE2261" s="289" t="s">
        <v>5319</v>
      </c>
      <c r="BF2261" s="289" t="s">
        <v>5320</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90020003</v>
      </c>
      <c r="D2262" s="284" t="s">
        <v>5321</v>
      </c>
      <c r="E2262" s="284" t="s">
        <v>5322</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10</v>
      </c>
      <c r="AI2262" s="286">
        <v>2</v>
      </c>
      <c r="AJ2262" s="286">
        <v>1</v>
      </c>
      <c r="AK2262" s="286">
        <v>0</v>
      </c>
      <c r="AL2262" s="286">
        <v>6</v>
      </c>
      <c r="AM2262" s="283">
        <v>0</v>
      </c>
      <c r="AN2262" s="283">
        <v>0</v>
      </c>
      <c r="AO2262" s="283">
        <v>0</v>
      </c>
      <c r="AP2262" s="283">
        <v>0</v>
      </c>
      <c r="AQ2262" s="283">
        <v>5000</v>
      </c>
      <c r="AR2262" s="283">
        <v>1</v>
      </c>
      <c r="AS2262" s="283">
        <v>0</v>
      </c>
      <c r="AT2262" s="286">
        <v>0</v>
      </c>
      <c r="AU2262" s="283">
        <v>0</v>
      </c>
      <c r="AV2262" s="283"/>
      <c r="AW2262" s="284" t="s">
        <v>204</v>
      </c>
      <c r="AX2262" s="283" t="s">
        <v>1767</v>
      </c>
      <c r="AY2262" s="283">
        <v>10000006</v>
      </c>
      <c r="AZ2262" s="288">
        <v>91000315</v>
      </c>
      <c r="BA2262" s="284" t="s">
        <v>5323</v>
      </c>
      <c r="BB2262" s="284" t="s">
        <v>204</v>
      </c>
      <c r="BC2262" s="285">
        <v>0</v>
      </c>
      <c r="BD2262" s="285">
        <v>0</v>
      </c>
      <c r="BE2262" s="289" t="s">
        <v>5324</v>
      </c>
      <c r="BF2262" s="289" t="s">
        <v>5325</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90020004</v>
      </c>
      <c r="D2263" s="35" t="s">
        <v>5326</v>
      </c>
      <c r="E2263" s="35" t="s">
        <v>5327</v>
      </c>
      <c r="F2263" s="21">
        <v>1</v>
      </c>
      <c r="G2263" s="21">
        <v>60010300</v>
      </c>
      <c r="H2263" s="21">
        <v>0</v>
      </c>
      <c r="I2263" s="31">
        <v>0</v>
      </c>
      <c r="J2263" s="21">
        <v>1</v>
      </c>
      <c r="K2263" s="21">
        <v>0</v>
      </c>
      <c r="L2263" s="21">
        <v>0</v>
      </c>
      <c r="M2263" s="21">
        <v>0</v>
      </c>
      <c r="N2263" s="21">
        <v>0</v>
      </c>
      <c r="O2263" s="21">
        <v>2</v>
      </c>
      <c r="P2263" s="21">
        <v>1</v>
      </c>
      <c r="Q2263" s="21">
        <v>1</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0</v>
      </c>
      <c r="AU2263" s="21" t="s">
        <v>204</v>
      </c>
      <c r="AV2263" s="21"/>
      <c r="AW2263" s="30" t="s">
        <v>238</v>
      </c>
      <c r="AX2263" s="21" t="s">
        <v>239</v>
      </c>
      <c r="AY2263" s="32">
        <v>12000001</v>
      </c>
      <c r="AZ2263" s="26">
        <v>20100010</v>
      </c>
      <c r="BA2263" s="30" t="s">
        <v>5328</v>
      </c>
      <c r="BB2263" s="21" t="s">
        <v>5329</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83">
        <v>90020005</v>
      </c>
      <c r="D2264" s="35" t="s">
        <v>5330</v>
      </c>
      <c r="E2264" s="35" t="s">
        <v>5331</v>
      </c>
      <c r="F2264" s="21">
        <v>1</v>
      </c>
      <c r="G2264" s="21">
        <v>60010300</v>
      </c>
      <c r="H2264" s="21">
        <v>0</v>
      </c>
      <c r="I2264" s="31">
        <v>0</v>
      </c>
      <c r="J2264" s="21">
        <v>1</v>
      </c>
      <c r="K2264" s="21">
        <v>0</v>
      </c>
      <c r="L2264" s="21">
        <v>0</v>
      </c>
      <c r="M2264" s="21">
        <v>0</v>
      </c>
      <c r="N2264" s="21">
        <v>0</v>
      </c>
      <c r="O2264" s="21">
        <v>1</v>
      </c>
      <c r="P2264" s="21">
        <v>0</v>
      </c>
      <c r="Q2264" s="21">
        <v>0</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99004003</v>
      </c>
      <c r="AU2264" s="21" t="s">
        <v>204</v>
      </c>
      <c r="AV2264" s="21"/>
      <c r="AW2264" s="30" t="s">
        <v>238</v>
      </c>
      <c r="AX2264" s="21" t="s">
        <v>239</v>
      </c>
      <c r="AY2264" s="32">
        <v>0</v>
      </c>
      <c r="AZ2264" s="26">
        <v>0</v>
      </c>
      <c r="BA2264" s="30" t="s">
        <v>206</v>
      </c>
      <c r="BB2264" s="21">
        <v>0</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91">
        <v>77001101</v>
      </c>
      <c r="D2265" s="292" t="s">
        <v>737</v>
      </c>
      <c r="E2265" s="292" t="s">
        <v>680</v>
      </c>
      <c r="F2265" s="90">
        <v>1</v>
      </c>
      <c r="G2265" s="72">
        <v>0</v>
      </c>
      <c r="H2265" s="90">
        <v>0</v>
      </c>
      <c r="I2265" s="90">
        <v>0</v>
      </c>
      <c r="J2265" s="90">
        <v>1</v>
      </c>
      <c r="K2265" s="90">
        <v>0</v>
      </c>
      <c r="L2265" s="127">
        <v>0</v>
      </c>
      <c r="M2265" s="127">
        <v>0</v>
      </c>
      <c r="N2265" s="90">
        <v>0</v>
      </c>
      <c r="O2265" s="90">
        <v>2</v>
      </c>
      <c r="P2265" s="90">
        <v>2</v>
      </c>
      <c r="Q2265" s="90">
        <v>0.6</v>
      </c>
      <c r="R2265" s="90">
        <v>0</v>
      </c>
      <c r="S2265" s="73">
        <v>0</v>
      </c>
      <c r="T2265" s="90">
        <v>0</v>
      </c>
      <c r="U2265" s="72">
        <v>1</v>
      </c>
      <c r="V2265" s="90">
        <v>1</v>
      </c>
      <c r="W2265" s="127">
        <v>0</v>
      </c>
      <c r="X2265" s="90">
        <v>3</v>
      </c>
      <c r="Y2265" s="19">
        <v>0</v>
      </c>
      <c r="Z2265" s="90">
        <v>0</v>
      </c>
      <c r="AA2265" s="90">
        <v>0</v>
      </c>
      <c r="AB2265" s="90">
        <v>0</v>
      </c>
      <c r="AC2265" s="127">
        <v>0</v>
      </c>
      <c r="AD2265" s="90">
        <v>0</v>
      </c>
      <c r="AE2265" s="90">
        <v>0</v>
      </c>
      <c r="AF2265" s="90">
        <v>20</v>
      </c>
      <c r="AG2265" s="90">
        <v>1</v>
      </c>
      <c r="AH2265" s="90">
        <v>5</v>
      </c>
      <c r="AI2265" s="128">
        <v>0</v>
      </c>
      <c r="AJ2265" s="128">
        <v>1</v>
      </c>
      <c r="AK2265" s="73">
        <v>0</v>
      </c>
      <c r="AL2265" s="90">
        <v>2.5</v>
      </c>
      <c r="AM2265" s="129">
        <v>0</v>
      </c>
      <c r="AN2265" s="90">
        <v>1</v>
      </c>
      <c r="AO2265" s="90">
        <v>0</v>
      </c>
      <c r="AP2265" s="90">
        <v>1</v>
      </c>
      <c r="AQ2265" s="90">
        <v>3000</v>
      </c>
      <c r="AR2265" s="90">
        <v>1</v>
      </c>
      <c r="AS2265" s="90">
        <v>0</v>
      </c>
      <c r="AT2265" s="330" t="s">
        <v>5332</v>
      </c>
      <c r="AU2265" s="322" t="s">
        <v>5333</v>
      </c>
      <c r="AV2265" s="93"/>
      <c r="AW2265" s="71" t="s">
        <v>293</v>
      </c>
      <c r="AX2265" s="127">
        <v>0</v>
      </c>
      <c r="AY2265" s="127">
        <v>0</v>
      </c>
      <c r="AZ2265" s="127">
        <v>77001101</v>
      </c>
      <c r="BA2265" s="88" t="s">
        <v>206</v>
      </c>
      <c r="BB2265" s="72">
        <v>0</v>
      </c>
      <c r="BC2265" s="75">
        <v>0</v>
      </c>
      <c r="BD2265" s="75">
        <v>0</v>
      </c>
      <c r="BE2265" s="293" t="s">
        <v>5334</v>
      </c>
      <c r="BF2265" s="293" t="s">
        <v>5335</v>
      </c>
      <c r="BG2265" s="90">
        <v>0</v>
      </c>
      <c r="BH2265" s="90">
        <v>0</v>
      </c>
      <c r="BI2265" s="74">
        <v>0</v>
      </c>
      <c r="BJ2265" s="90">
        <v>0</v>
      </c>
      <c r="BK2265" s="90">
        <v>0</v>
      </c>
      <c r="BL2265" s="129">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77001102</v>
      </c>
      <c r="D2266" s="71" t="s">
        <v>604</v>
      </c>
      <c r="E2266" s="160" t="s">
        <v>1168</v>
      </c>
      <c r="F2266" s="90">
        <v>1</v>
      </c>
      <c r="G2266" s="90">
        <v>0</v>
      </c>
      <c r="H2266" s="74">
        <v>0</v>
      </c>
      <c r="I2266" s="75">
        <v>0</v>
      </c>
      <c r="J2266" s="74">
        <v>1</v>
      </c>
      <c r="K2266" s="74">
        <v>0</v>
      </c>
      <c r="L2266" s="74">
        <v>0</v>
      </c>
      <c r="M2266" s="72">
        <v>0</v>
      </c>
      <c r="N2266" s="72">
        <v>0</v>
      </c>
      <c r="O2266" s="72">
        <v>2</v>
      </c>
      <c r="P2266" s="72">
        <v>16</v>
      </c>
      <c r="Q2266" s="72">
        <v>5</v>
      </c>
      <c r="R2266" s="72">
        <v>0</v>
      </c>
      <c r="S2266" s="73">
        <v>0</v>
      </c>
      <c r="T2266" s="72">
        <v>0</v>
      </c>
      <c r="U2266" s="72">
        <v>1</v>
      </c>
      <c r="V2266" s="72">
        <v>2</v>
      </c>
      <c r="W2266" s="72">
        <v>0</v>
      </c>
      <c r="X2266" s="72">
        <v>1.5</v>
      </c>
      <c r="Y2266" s="19">
        <v>0</v>
      </c>
      <c r="Z2266" s="72">
        <v>0</v>
      </c>
      <c r="AA2266" s="72">
        <v>0</v>
      </c>
      <c r="AB2266" s="72">
        <v>0</v>
      </c>
      <c r="AC2266" s="72">
        <v>0</v>
      </c>
      <c r="AD2266" s="72">
        <v>0</v>
      </c>
      <c r="AE2266" s="72">
        <v>0</v>
      </c>
      <c r="AF2266" s="72">
        <v>0</v>
      </c>
      <c r="AG2266" s="72">
        <v>2</v>
      </c>
      <c r="AH2266" s="72" t="s">
        <v>219</v>
      </c>
      <c r="AI2266" s="73">
        <v>0</v>
      </c>
      <c r="AJ2266" s="73">
        <v>2</v>
      </c>
      <c r="AK2266" s="73">
        <v>0</v>
      </c>
      <c r="AL2266" s="73">
        <v>1.5</v>
      </c>
      <c r="AM2266" s="72">
        <v>0</v>
      </c>
      <c r="AN2266" s="72">
        <v>0</v>
      </c>
      <c r="AO2266" s="72">
        <v>0</v>
      </c>
      <c r="AP2266" s="72">
        <v>1</v>
      </c>
      <c r="AQ2266" s="72">
        <v>2000</v>
      </c>
      <c r="AR2266" s="72">
        <v>1</v>
      </c>
      <c r="AS2266" s="72">
        <v>0</v>
      </c>
      <c r="AT2266" s="73">
        <v>0</v>
      </c>
      <c r="AU2266" s="322" t="s">
        <v>5333</v>
      </c>
      <c r="AV2266" s="93"/>
      <c r="AW2266" s="88" t="s">
        <v>205</v>
      </c>
      <c r="AX2266" s="72" t="s">
        <v>551</v>
      </c>
      <c r="AY2266" s="74">
        <v>10001007</v>
      </c>
      <c r="AZ2266" s="74">
        <v>77001104</v>
      </c>
      <c r="BA2266" s="71" t="s">
        <v>206</v>
      </c>
      <c r="BB2266" s="72">
        <v>0</v>
      </c>
      <c r="BC2266" s="75">
        <v>0</v>
      </c>
      <c r="BD2266" s="75">
        <v>0</v>
      </c>
      <c r="BE2266" s="76" t="s">
        <v>5336</v>
      </c>
      <c r="BF2266" s="76" t="s">
        <v>5337</v>
      </c>
      <c r="BG2266" s="72">
        <v>0</v>
      </c>
      <c r="BH2266" s="72">
        <v>0</v>
      </c>
      <c r="BI2266" s="72">
        <v>0</v>
      </c>
      <c r="BJ2266" s="72">
        <v>0</v>
      </c>
      <c r="BK2266" s="72">
        <v>0</v>
      </c>
      <c r="BL2266" s="72">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77001103</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22" t="s">
        <v>5338</v>
      </c>
      <c r="AV2267" s="93"/>
      <c r="AW2267" s="88" t="s">
        <v>205</v>
      </c>
      <c r="AX2267" s="72" t="s">
        <v>551</v>
      </c>
      <c r="AY2267" s="74">
        <v>10001007</v>
      </c>
      <c r="AZ2267" s="74">
        <v>77001103</v>
      </c>
      <c r="BA2267" s="71" t="s">
        <v>206</v>
      </c>
      <c r="BB2267" s="72">
        <v>0</v>
      </c>
      <c r="BC2267" s="75">
        <v>0</v>
      </c>
      <c r="BD2267" s="75">
        <v>0</v>
      </c>
      <c r="BE2267" s="76" t="s">
        <v>5339</v>
      </c>
      <c r="BF2267" s="76" t="s">
        <v>5340</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77001104</v>
      </c>
      <c r="BU2267" s="23">
        <v>0</v>
      </c>
      <c r="BV2267" s="23"/>
      <c r="BW2267" s="23"/>
      <c r="BX2267" s="23"/>
      <c r="BY2267" s="23"/>
      <c r="BZ2267" s="23"/>
    </row>
    <row r="2268" spans="3:78" ht="20.100000000000001" customHeight="1">
      <c r="C2268" s="291">
        <v>77001104</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v>
      </c>
      <c r="AQ2268" s="72">
        <v>2000</v>
      </c>
      <c r="AR2268" s="72">
        <v>0.3</v>
      </c>
      <c r="AS2268" s="72">
        <v>0</v>
      </c>
      <c r="AT2268" s="73">
        <v>0</v>
      </c>
      <c r="AU2268" s="322" t="s">
        <v>5338</v>
      </c>
      <c r="AV2268" s="93"/>
      <c r="AW2268" s="88" t="s">
        <v>204</v>
      </c>
      <c r="AX2268" s="72" t="s">
        <v>551</v>
      </c>
      <c r="AY2268" s="74">
        <v>10001007</v>
      </c>
      <c r="AZ2268" s="74">
        <v>77001103</v>
      </c>
      <c r="BA2268" s="71" t="s">
        <v>206</v>
      </c>
      <c r="BB2268" s="72">
        <v>0</v>
      </c>
      <c r="BC2268" s="75">
        <v>0</v>
      </c>
      <c r="BD2268" s="75">
        <v>0</v>
      </c>
      <c r="BE2268" s="76" t="s">
        <v>5341</v>
      </c>
      <c r="BF2268" s="76" t="s">
        <v>5342</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77001105</v>
      </c>
      <c r="BU2268" s="23">
        <v>0</v>
      </c>
      <c r="BV2268" s="23"/>
      <c r="BW2268" s="23"/>
      <c r="BX2268" s="23"/>
      <c r="BY2268" s="23"/>
      <c r="BZ2268" s="23"/>
    </row>
    <row r="2269" spans="3:78" ht="20.100000000000001" customHeight="1">
      <c r="C2269" s="291">
        <v>77001105</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0.3</v>
      </c>
      <c r="AQ2269" s="72">
        <v>2000</v>
      </c>
      <c r="AR2269" s="72">
        <v>0.3</v>
      </c>
      <c r="AS2269" s="72">
        <v>0</v>
      </c>
      <c r="AT2269" s="73">
        <v>0</v>
      </c>
      <c r="AU2269" s="322" t="s">
        <v>5338</v>
      </c>
      <c r="AV2269" s="93"/>
      <c r="AW2269" s="88" t="s">
        <v>204</v>
      </c>
      <c r="AX2269" s="72" t="s">
        <v>551</v>
      </c>
      <c r="AY2269" s="74">
        <v>10001007</v>
      </c>
      <c r="AZ2269" s="74">
        <v>77001103</v>
      </c>
      <c r="BA2269" s="71" t="s">
        <v>206</v>
      </c>
      <c r="BB2269" s="72">
        <v>0</v>
      </c>
      <c r="BC2269" s="75">
        <v>0</v>
      </c>
      <c r="BD2269" s="75">
        <v>0</v>
      </c>
      <c r="BE2269" s="76" t="s">
        <v>5341</v>
      </c>
      <c r="BF2269" s="76" t="s">
        <v>5342</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77001106</v>
      </c>
      <c r="BU2269" s="23">
        <v>0</v>
      </c>
      <c r="BV2269" s="23"/>
      <c r="BW2269" s="23"/>
      <c r="BX2269" s="23"/>
      <c r="BY2269" s="23"/>
      <c r="BZ2269" s="23"/>
    </row>
    <row r="2270" spans="3:78" ht="19.5" customHeight="1">
      <c r="C2270" s="291">
        <v>77001106</v>
      </c>
      <c r="D2270" s="71" t="s">
        <v>604</v>
      </c>
      <c r="E2270" s="160" t="s">
        <v>1168</v>
      </c>
      <c r="F2270" s="90">
        <v>1</v>
      </c>
      <c r="G2270" s="90">
        <v>0</v>
      </c>
      <c r="H2270" s="74">
        <v>0</v>
      </c>
      <c r="I2270" s="75">
        <v>0</v>
      </c>
      <c r="J2270" s="74">
        <v>1</v>
      </c>
      <c r="K2270" s="74">
        <v>0</v>
      </c>
      <c r="L2270" s="74">
        <v>0</v>
      </c>
      <c r="M2270" s="72">
        <v>0</v>
      </c>
      <c r="N2270" s="72">
        <v>0</v>
      </c>
      <c r="O2270" s="72">
        <v>2</v>
      </c>
      <c r="P2270" s="72">
        <v>16</v>
      </c>
      <c r="Q2270" s="72">
        <v>5</v>
      </c>
      <c r="R2270" s="72">
        <v>0</v>
      </c>
      <c r="S2270" s="73">
        <v>0</v>
      </c>
      <c r="T2270" s="72">
        <v>0</v>
      </c>
      <c r="U2270" s="72">
        <v>1</v>
      </c>
      <c r="V2270" s="72">
        <v>2</v>
      </c>
      <c r="W2270" s="72">
        <v>0</v>
      </c>
      <c r="X2270" s="72">
        <v>2</v>
      </c>
      <c r="Y2270" s="19">
        <v>0</v>
      </c>
      <c r="Z2270" s="72">
        <v>0</v>
      </c>
      <c r="AA2270" s="72">
        <v>0</v>
      </c>
      <c r="AB2270" s="72">
        <v>0</v>
      </c>
      <c r="AC2270" s="72">
        <v>0</v>
      </c>
      <c r="AD2270" s="72">
        <v>0</v>
      </c>
      <c r="AE2270" s="72">
        <v>0</v>
      </c>
      <c r="AF2270" s="72">
        <v>0</v>
      </c>
      <c r="AG2270" s="72">
        <v>2</v>
      </c>
      <c r="AH2270" s="72" t="s">
        <v>219</v>
      </c>
      <c r="AI2270" s="73">
        <v>0</v>
      </c>
      <c r="AJ2270" s="73">
        <v>2</v>
      </c>
      <c r="AK2270" s="73">
        <v>0</v>
      </c>
      <c r="AL2270" s="73">
        <v>1.5</v>
      </c>
      <c r="AM2270" s="72">
        <v>0</v>
      </c>
      <c r="AN2270" s="72">
        <v>0</v>
      </c>
      <c r="AO2270" s="72">
        <v>0</v>
      </c>
      <c r="AP2270" s="72">
        <v>0.5</v>
      </c>
      <c r="AQ2270" s="72">
        <v>2000</v>
      </c>
      <c r="AR2270" s="72">
        <v>0.5</v>
      </c>
      <c r="AS2270" s="72">
        <v>0</v>
      </c>
      <c r="AT2270" s="73">
        <v>0</v>
      </c>
      <c r="AU2270" s="322" t="s">
        <v>5333</v>
      </c>
      <c r="AV2270" s="93"/>
      <c r="AW2270" s="88" t="s">
        <v>204</v>
      </c>
      <c r="AX2270" s="72" t="s">
        <v>551</v>
      </c>
      <c r="AY2270" s="74">
        <v>10001007</v>
      </c>
      <c r="AZ2270" s="74">
        <v>77001105</v>
      </c>
      <c r="BA2270" s="71" t="s">
        <v>206</v>
      </c>
      <c r="BB2270" s="72">
        <v>0</v>
      </c>
      <c r="BC2270" s="75">
        <v>0</v>
      </c>
      <c r="BD2270" s="75">
        <v>0</v>
      </c>
      <c r="BE2270" s="76" t="s">
        <v>5341</v>
      </c>
      <c r="BF2270" s="76" t="s">
        <v>5342</v>
      </c>
      <c r="BG2270" s="72">
        <v>0</v>
      </c>
      <c r="BH2270" s="72">
        <v>0</v>
      </c>
      <c r="BI2270" s="72">
        <v>0</v>
      </c>
      <c r="BJ2270" s="72">
        <v>0</v>
      </c>
      <c r="BK2270" s="72">
        <v>0</v>
      </c>
      <c r="BL2270" s="72">
        <v>0</v>
      </c>
      <c r="BM2270" s="90">
        <v>0</v>
      </c>
      <c r="BN2270" s="73">
        <v>0</v>
      </c>
      <c r="BO2270" s="73">
        <v>0</v>
      </c>
      <c r="BP2270" s="73">
        <v>0</v>
      </c>
      <c r="BQ2270" s="73">
        <v>0</v>
      </c>
      <c r="BR2270" s="73">
        <v>0</v>
      </c>
      <c r="BS2270" s="73">
        <v>0</v>
      </c>
      <c r="BT2270" s="73">
        <v>0</v>
      </c>
      <c r="BU2270" s="23">
        <v>0</v>
      </c>
      <c r="BV2270" s="23"/>
      <c r="BW2270" s="23"/>
      <c r="BX2270" s="23"/>
      <c r="BY2270" s="23"/>
      <c r="BZ2270" s="23"/>
    </row>
    <row r="2271" spans="3:78" ht="19.5" customHeight="1">
      <c r="C2271" s="294">
        <v>77001201</v>
      </c>
      <c r="D2271" s="295" t="s">
        <v>5343</v>
      </c>
      <c r="E2271" s="295" t="s">
        <v>5344</v>
      </c>
      <c r="F2271" s="294">
        <v>1</v>
      </c>
      <c r="G2271" s="296">
        <v>0</v>
      </c>
      <c r="H2271" s="294">
        <v>0</v>
      </c>
      <c r="I2271" s="297">
        <v>0</v>
      </c>
      <c r="J2271" s="294">
        <v>1</v>
      </c>
      <c r="K2271" s="294">
        <v>0</v>
      </c>
      <c r="L2271" s="294">
        <v>0</v>
      </c>
      <c r="M2271" s="296">
        <v>0</v>
      </c>
      <c r="N2271" s="296">
        <v>0</v>
      </c>
      <c r="O2271" s="296">
        <v>2</v>
      </c>
      <c r="P2271" s="296">
        <v>3</v>
      </c>
      <c r="Q2271" s="296">
        <v>0.15</v>
      </c>
      <c r="R2271" s="296">
        <v>0</v>
      </c>
      <c r="S2271" s="23">
        <v>0</v>
      </c>
      <c r="T2271" s="296">
        <v>0</v>
      </c>
      <c r="U2271" s="296">
        <v>1</v>
      </c>
      <c r="V2271" s="296">
        <v>1</v>
      </c>
      <c r="W2271" s="296">
        <v>0</v>
      </c>
      <c r="X2271" s="296">
        <v>2</v>
      </c>
      <c r="Y2271" s="19">
        <v>0</v>
      </c>
      <c r="Z2271" s="296">
        <v>0</v>
      </c>
      <c r="AA2271" s="296">
        <v>1</v>
      </c>
      <c r="AB2271" s="296">
        <v>0</v>
      </c>
      <c r="AC2271" s="296">
        <v>0</v>
      </c>
      <c r="AD2271" s="296">
        <v>0</v>
      </c>
      <c r="AE2271" s="296">
        <v>1</v>
      </c>
      <c r="AF2271" s="296">
        <v>15</v>
      </c>
      <c r="AG2271" s="296">
        <v>1</v>
      </c>
      <c r="AH2271" s="296">
        <v>4</v>
      </c>
      <c r="AI2271" s="23">
        <v>0</v>
      </c>
      <c r="AJ2271" s="23">
        <v>1</v>
      </c>
      <c r="AK2271" s="23">
        <v>0</v>
      </c>
      <c r="AL2271" s="23">
        <v>3</v>
      </c>
      <c r="AM2271" s="296">
        <v>0</v>
      </c>
      <c r="AN2271" s="296">
        <v>0</v>
      </c>
      <c r="AO2271" s="296">
        <v>0</v>
      </c>
      <c r="AP2271" s="296">
        <v>1.2</v>
      </c>
      <c r="AQ2271" s="296">
        <v>2000</v>
      </c>
      <c r="AR2271" s="296">
        <v>1.2</v>
      </c>
      <c r="AS2271" s="296">
        <v>0</v>
      </c>
      <c r="AT2271" s="23">
        <v>97002003</v>
      </c>
      <c r="AU2271" s="296">
        <v>0</v>
      </c>
      <c r="AV2271" s="296"/>
      <c r="AW2271" s="298" t="s">
        <v>205</v>
      </c>
      <c r="AX2271" s="296" t="s">
        <v>540</v>
      </c>
      <c r="AY2271" s="294">
        <v>0</v>
      </c>
      <c r="AZ2271" s="294">
        <v>77001201</v>
      </c>
      <c r="BA2271" s="295" t="s">
        <v>206</v>
      </c>
      <c r="BB2271" s="296">
        <v>0</v>
      </c>
      <c r="BC2271" s="297">
        <v>0</v>
      </c>
      <c r="BD2271" s="297">
        <v>0</v>
      </c>
      <c r="BE2271" s="299" t="s">
        <v>5345</v>
      </c>
      <c r="BF2271" s="299" t="s">
        <v>5346</v>
      </c>
      <c r="BG2271" s="296">
        <v>0</v>
      </c>
      <c r="BH2271" s="296">
        <v>0</v>
      </c>
      <c r="BI2271" s="296">
        <v>0</v>
      </c>
      <c r="BJ2271" s="296">
        <v>0</v>
      </c>
      <c r="BK2271" s="296">
        <v>0</v>
      </c>
      <c r="BL2271" s="296">
        <v>0</v>
      </c>
      <c r="BM2271" s="300">
        <v>0</v>
      </c>
      <c r="BN2271" s="23">
        <v>0</v>
      </c>
      <c r="BO2271" s="23">
        <v>0</v>
      </c>
      <c r="BP2271" s="23">
        <v>0</v>
      </c>
      <c r="BQ2271" s="23">
        <v>0</v>
      </c>
      <c r="BR2271" s="23">
        <v>0</v>
      </c>
      <c r="BS2271" s="23">
        <v>0</v>
      </c>
      <c r="BT2271" s="23">
        <v>0</v>
      </c>
      <c r="BU2271" s="23">
        <v>0</v>
      </c>
      <c r="BV2271" s="23"/>
      <c r="BW2271" s="23"/>
      <c r="BX2271" s="23"/>
      <c r="BY2271" s="23"/>
      <c r="BZ2271" s="23"/>
    </row>
    <row r="2272" spans="3:78" ht="19.5" customHeight="1">
      <c r="C2272" s="294">
        <v>77001202</v>
      </c>
      <c r="D2272" s="295" t="s">
        <v>5347</v>
      </c>
      <c r="E2272" s="295" t="s">
        <v>680</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0.5</v>
      </c>
      <c r="Y2272" s="19">
        <v>0</v>
      </c>
      <c r="Z2272" s="296">
        <v>0</v>
      </c>
      <c r="AA2272" s="296">
        <v>1</v>
      </c>
      <c r="AB2272" s="296">
        <v>0</v>
      </c>
      <c r="AC2272" s="296">
        <v>0</v>
      </c>
      <c r="AD2272" s="296">
        <v>0</v>
      </c>
      <c r="AE2272" s="296">
        <v>1</v>
      </c>
      <c r="AF2272" s="296">
        <v>0</v>
      </c>
      <c r="AG2272" s="296">
        <v>1</v>
      </c>
      <c r="AH2272" s="296">
        <v>5</v>
      </c>
      <c r="AI2272" s="23">
        <v>0</v>
      </c>
      <c r="AJ2272" s="23">
        <v>1</v>
      </c>
      <c r="AK2272" s="23">
        <v>0</v>
      </c>
      <c r="AL2272" s="23">
        <v>3</v>
      </c>
      <c r="AM2272" s="296">
        <v>0</v>
      </c>
      <c r="AN2272" s="296">
        <v>0</v>
      </c>
      <c r="AO2272" s="296">
        <v>0</v>
      </c>
      <c r="AP2272" s="296">
        <v>0</v>
      </c>
      <c r="AQ2272" s="296">
        <v>1000</v>
      </c>
      <c r="AR2272" s="296">
        <v>0.2</v>
      </c>
      <c r="AS2272" s="296">
        <v>0</v>
      </c>
      <c r="AT2272" s="23">
        <v>0</v>
      </c>
      <c r="AU2272" s="359" t="s">
        <v>5348</v>
      </c>
      <c r="AV2272" s="301"/>
      <c r="AW2272" s="298" t="s">
        <v>204</v>
      </c>
      <c r="AX2272" s="296" t="s">
        <v>540</v>
      </c>
      <c r="AY2272" s="294">
        <v>0</v>
      </c>
      <c r="AZ2272" s="294">
        <v>77001202</v>
      </c>
      <c r="BA2272" s="295" t="s">
        <v>206</v>
      </c>
      <c r="BB2272" s="296">
        <v>0</v>
      </c>
      <c r="BC2272" s="297">
        <v>0</v>
      </c>
      <c r="BD2272" s="297">
        <v>0</v>
      </c>
      <c r="BE2272" s="299" t="s">
        <v>5349</v>
      </c>
      <c r="BF2272" s="299" t="s">
        <v>5350</v>
      </c>
      <c r="BG2272" s="296">
        <v>0</v>
      </c>
      <c r="BH2272" s="296">
        <v>0</v>
      </c>
      <c r="BI2272" s="296">
        <v>0</v>
      </c>
      <c r="BJ2272" s="296">
        <v>0</v>
      </c>
      <c r="BK2272" s="296">
        <v>0</v>
      </c>
      <c r="BL2272" s="296">
        <v>0</v>
      </c>
      <c r="BM2272" s="300">
        <v>0</v>
      </c>
      <c r="BN2272" s="23">
        <v>0</v>
      </c>
      <c r="BO2272" s="23">
        <v>0</v>
      </c>
      <c r="BP2272" s="23">
        <v>0</v>
      </c>
      <c r="BQ2272" s="23">
        <v>0</v>
      </c>
      <c r="BR2272" s="23">
        <v>0</v>
      </c>
      <c r="BS2272" s="23">
        <v>1</v>
      </c>
      <c r="BT2272" s="23">
        <v>0</v>
      </c>
      <c r="BU2272" s="23">
        <v>0</v>
      </c>
      <c r="BV2272" s="23"/>
      <c r="BW2272" s="23"/>
      <c r="BX2272" s="23"/>
      <c r="BY2272" s="23"/>
      <c r="BZ2272" s="23"/>
    </row>
    <row r="2273" spans="3:78" ht="19.5" customHeight="1">
      <c r="C2273" s="294">
        <v>77001203</v>
      </c>
      <c r="D2273" s="295" t="s">
        <v>5351</v>
      </c>
      <c r="E2273" s="295" t="s">
        <v>5352</v>
      </c>
      <c r="F2273" s="294">
        <v>1</v>
      </c>
      <c r="G2273" s="296">
        <v>0</v>
      </c>
      <c r="H2273" s="294">
        <v>0</v>
      </c>
      <c r="I2273" s="297">
        <v>0</v>
      </c>
      <c r="J2273" s="294">
        <v>1</v>
      </c>
      <c r="K2273" s="294">
        <v>0</v>
      </c>
      <c r="L2273" s="294">
        <v>0</v>
      </c>
      <c r="M2273" s="296">
        <v>0</v>
      </c>
      <c r="N2273" s="296">
        <v>0</v>
      </c>
      <c r="O2273" s="296">
        <v>2</v>
      </c>
      <c r="P2273" s="296">
        <v>3</v>
      </c>
      <c r="Q2273" s="296">
        <v>0.1</v>
      </c>
      <c r="R2273" s="296">
        <v>0</v>
      </c>
      <c r="S2273" s="23">
        <v>0</v>
      </c>
      <c r="T2273" s="296">
        <v>0</v>
      </c>
      <c r="U2273" s="296">
        <v>1</v>
      </c>
      <c r="V2273" s="296">
        <v>1</v>
      </c>
      <c r="W2273" s="296">
        <v>0</v>
      </c>
      <c r="X2273" s="296">
        <v>3</v>
      </c>
      <c r="Y2273" s="19">
        <v>0</v>
      </c>
      <c r="Z2273" s="296">
        <v>0</v>
      </c>
      <c r="AA2273" s="296">
        <v>1</v>
      </c>
      <c r="AB2273" s="296">
        <v>0</v>
      </c>
      <c r="AC2273" s="296">
        <v>0</v>
      </c>
      <c r="AD2273" s="296">
        <v>0</v>
      </c>
      <c r="AE2273" s="296">
        <v>1</v>
      </c>
      <c r="AF2273" s="296">
        <v>5</v>
      </c>
      <c r="AG2273" s="296">
        <v>1</v>
      </c>
      <c r="AH2273" s="296">
        <v>6</v>
      </c>
      <c r="AI2273" s="23">
        <v>1</v>
      </c>
      <c r="AJ2273" s="23">
        <v>1</v>
      </c>
      <c r="AK2273" s="23">
        <v>0</v>
      </c>
      <c r="AL2273" s="23">
        <v>3</v>
      </c>
      <c r="AM2273" s="296">
        <v>0</v>
      </c>
      <c r="AN2273" s="296">
        <v>0</v>
      </c>
      <c r="AO2273" s="296">
        <v>0</v>
      </c>
      <c r="AP2273" s="296">
        <v>1.8</v>
      </c>
      <c r="AQ2273" s="296">
        <v>2000</v>
      </c>
      <c r="AR2273" s="296">
        <v>2</v>
      </c>
      <c r="AS2273" s="296">
        <v>0</v>
      </c>
      <c r="AT2273" s="23">
        <v>0</v>
      </c>
      <c r="AU2273" s="296">
        <v>97002001</v>
      </c>
      <c r="AV2273" s="296"/>
      <c r="AW2273" s="298" t="s">
        <v>205</v>
      </c>
      <c r="AX2273" s="296" t="s">
        <v>540</v>
      </c>
      <c r="AY2273" s="294">
        <v>0</v>
      </c>
      <c r="AZ2273" s="294">
        <v>77001203</v>
      </c>
      <c r="BA2273" s="295" t="s">
        <v>777</v>
      </c>
      <c r="BB2273" s="296">
        <v>0</v>
      </c>
      <c r="BC2273" s="297">
        <v>0</v>
      </c>
      <c r="BD2273" s="297">
        <v>0</v>
      </c>
      <c r="BE2273" s="299" t="s">
        <v>5353</v>
      </c>
      <c r="BF2273" s="299" t="s">
        <v>5354</v>
      </c>
      <c r="BG2273" s="296">
        <v>0</v>
      </c>
      <c r="BH2273" s="296">
        <v>0</v>
      </c>
      <c r="BI2273" s="296">
        <v>0</v>
      </c>
      <c r="BJ2273" s="296">
        <v>0</v>
      </c>
      <c r="BK2273" s="296">
        <v>0</v>
      </c>
      <c r="BL2273" s="296">
        <v>0</v>
      </c>
      <c r="BM2273" s="300">
        <v>0</v>
      </c>
      <c r="BN2273" s="23">
        <v>0</v>
      </c>
      <c r="BO2273" s="23">
        <v>0</v>
      </c>
      <c r="BP2273" s="23">
        <v>0</v>
      </c>
      <c r="BQ2273" s="23">
        <v>0</v>
      </c>
      <c r="BR2273" s="23">
        <v>0</v>
      </c>
      <c r="BS2273" s="23">
        <v>0</v>
      </c>
      <c r="BT2273" s="23">
        <v>77001208</v>
      </c>
      <c r="BU2273" s="23">
        <v>0</v>
      </c>
      <c r="BV2273" s="23"/>
      <c r="BW2273" s="23"/>
      <c r="BX2273" s="23"/>
      <c r="BY2273" s="23"/>
      <c r="BZ2273" s="23"/>
    </row>
    <row r="2274" spans="3:78" ht="20.100000000000001" customHeight="1">
      <c r="C2274" s="294">
        <v>77001204</v>
      </c>
      <c r="D2274" s="295" t="s">
        <v>5355</v>
      </c>
      <c r="E2274" s="295" t="s">
        <v>5356</v>
      </c>
      <c r="F2274" s="296">
        <v>1</v>
      </c>
      <c r="G2274" s="296">
        <v>0</v>
      </c>
      <c r="H2274" s="294">
        <v>0</v>
      </c>
      <c r="I2274" s="297">
        <v>0</v>
      </c>
      <c r="J2274" s="294">
        <v>1</v>
      </c>
      <c r="K2274" s="294">
        <v>0</v>
      </c>
      <c r="L2274" s="294">
        <v>0</v>
      </c>
      <c r="M2274" s="296">
        <v>0</v>
      </c>
      <c r="N2274" s="296">
        <v>0</v>
      </c>
      <c r="O2274" s="296">
        <v>2</v>
      </c>
      <c r="P2274" s="296">
        <v>1</v>
      </c>
      <c r="Q2274" s="296">
        <v>0.3</v>
      </c>
      <c r="R2274" s="296">
        <v>0</v>
      </c>
      <c r="S2274" s="23">
        <v>3</v>
      </c>
      <c r="T2274" s="296">
        <v>0</v>
      </c>
      <c r="U2274" s="296">
        <v>1</v>
      </c>
      <c r="V2274" s="296">
        <v>2</v>
      </c>
      <c r="W2274" s="296">
        <v>0</v>
      </c>
      <c r="X2274" s="296">
        <v>1</v>
      </c>
      <c r="Y2274" s="19">
        <v>0</v>
      </c>
      <c r="Z2274" s="296">
        <v>0</v>
      </c>
      <c r="AA2274" s="296">
        <v>0</v>
      </c>
      <c r="AB2274" s="296">
        <v>0</v>
      </c>
      <c r="AC2274" s="296">
        <v>0</v>
      </c>
      <c r="AD2274" s="296">
        <v>0</v>
      </c>
      <c r="AE2274" s="296">
        <v>0</v>
      </c>
      <c r="AF2274" s="296">
        <v>12</v>
      </c>
      <c r="AG2274" s="296">
        <v>1</v>
      </c>
      <c r="AH2274" s="296">
        <v>3</v>
      </c>
      <c r="AI2274" s="23">
        <v>6</v>
      </c>
      <c r="AJ2274" s="23">
        <v>1</v>
      </c>
      <c r="AK2274" s="23">
        <v>0</v>
      </c>
      <c r="AL2274" s="23">
        <v>1.5</v>
      </c>
      <c r="AM2274" s="296">
        <v>0</v>
      </c>
      <c r="AN2274" s="296">
        <v>0</v>
      </c>
      <c r="AO2274" s="296">
        <v>0</v>
      </c>
      <c r="AP2274" s="296">
        <v>0.5</v>
      </c>
      <c r="AQ2274" s="296">
        <v>5000</v>
      </c>
      <c r="AR2274" s="296">
        <v>1</v>
      </c>
      <c r="AS2274" s="296">
        <v>0</v>
      </c>
      <c r="AT2274" s="23">
        <v>0</v>
      </c>
      <c r="AU2274" s="296">
        <v>97002002</v>
      </c>
      <c r="AV2274" s="296"/>
      <c r="AW2274" s="298" t="s">
        <v>205</v>
      </c>
      <c r="AX2274" s="296" t="s">
        <v>540</v>
      </c>
      <c r="AY2274" s="294">
        <v>10000007</v>
      </c>
      <c r="AZ2274" s="360" t="s">
        <v>5357</v>
      </c>
      <c r="BA2274" s="295" t="s">
        <v>206</v>
      </c>
      <c r="BB2274" s="296" t="s">
        <v>5358</v>
      </c>
      <c r="BC2274" s="297">
        <v>0</v>
      </c>
      <c r="BD2274" s="297">
        <v>0</v>
      </c>
      <c r="BE2274" s="299" t="s">
        <v>5359</v>
      </c>
      <c r="BF2274" s="299" t="s">
        <v>5360</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0</v>
      </c>
      <c r="BU2274" s="23">
        <v>0</v>
      </c>
      <c r="BV2274" s="23"/>
      <c r="BW2274" s="23"/>
      <c r="BX2274" s="23"/>
      <c r="BY2274" s="23"/>
      <c r="BZ2274" s="23"/>
    </row>
    <row r="2275" spans="3:78" ht="19.5" customHeight="1">
      <c r="C2275" s="294">
        <v>77001205</v>
      </c>
      <c r="D2275" s="295" t="s">
        <v>2452</v>
      </c>
      <c r="E2275" s="295" t="s">
        <v>2453</v>
      </c>
      <c r="F2275" s="294">
        <v>1</v>
      </c>
      <c r="G2275" s="296">
        <v>0</v>
      </c>
      <c r="H2275" s="294">
        <v>0</v>
      </c>
      <c r="I2275" s="297">
        <v>0</v>
      </c>
      <c r="J2275" s="294">
        <v>1</v>
      </c>
      <c r="K2275" s="294">
        <v>0</v>
      </c>
      <c r="L2275" s="294">
        <v>0</v>
      </c>
      <c r="M2275" s="296">
        <v>0</v>
      </c>
      <c r="N2275" s="296">
        <v>0</v>
      </c>
      <c r="O2275" s="296">
        <v>2</v>
      </c>
      <c r="P2275" s="296">
        <v>3</v>
      </c>
      <c r="Q2275" s="296">
        <v>0.15</v>
      </c>
      <c r="R2275" s="296">
        <v>0</v>
      </c>
      <c r="S2275" s="23">
        <v>0</v>
      </c>
      <c r="T2275" s="296">
        <v>0</v>
      </c>
      <c r="U2275" s="296">
        <v>1</v>
      </c>
      <c r="V2275" s="296">
        <v>1</v>
      </c>
      <c r="W2275" s="296">
        <v>0</v>
      </c>
      <c r="X2275" s="296">
        <v>0</v>
      </c>
      <c r="Y2275" s="19">
        <v>0</v>
      </c>
      <c r="Z2275" s="296">
        <v>0</v>
      </c>
      <c r="AA2275" s="296">
        <v>1</v>
      </c>
      <c r="AB2275" s="296">
        <v>0</v>
      </c>
      <c r="AC2275" s="296">
        <v>0</v>
      </c>
      <c r="AD2275" s="296">
        <v>0</v>
      </c>
      <c r="AE2275" s="296">
        <v>1</v>
      </c>
      <c r="AF2275" s="296">
        <v>0</v>
      </c>
      <c r="AG2275" s="296">
        <v>1</v>
      </c>
      <c r="AH2275" s="296">
        <v>5</v>
      </c>
      <c r="AI2275" s="23">
        <v>0</v>
      </c>
      <c r="AJ2275" s="23">
        <v>1</v>
      </c>
      <c r="AK2275" s="23">
        <v>0</v>
      </c>
      <c r="AL2275" s="23">
        <v>3</v>
      </c>
      <c r="AM2275" s="296">
        <v>0</v>
      </c>
      <c r="AN2275" s="296">
        <v>0</v>
      </c>
      <c r="AO2275" s="296">
        <v>0</v>
      </c>
      <c r="AP2275" s="296">
        <v>0</v>
      </c>
      <c r="AQ2275" s="296">
        <v>1000</v>
      </c>
      <c r="AR2275" s="296">
        <v>0</v>
      </c>
      <c r="AS2275" s="296">
        <v>0</v>
      </c>
      <c r="AT2275" s="23">
        <v>97002005</v>
      </c>
      <c r="AU2275" s="301">
        <v>0</v>
      </c>
      <c r="AV2275" s="301"/>
      <c r="AW2275" s="298" t="s">
        <v>204</v>
      </c>
      <c r="AX2275" s="296" t="s">
        <v>540</v>
      </c>
      <c r="AY2275" s="294">
        <v>0</v>
      </c>
      <c r="AZ2275" s="294">
        <v>0</v>
      </c>
      <c r="BA2275" s="295" t="s">
        <v>206</v>
      </c>
      <c r="BB2275" s="296">
        <v>0</v>
      </c>
      <c r="BC2275" s="297">
        <v>0</v>
      </c>
      <c r="BD2275" s="297">
        <v>0</v>
      </c>
      <c r="BE2275" s="299" t="s">
        <v>5349</v>
      </c>
      <c r="BF2275" s="299" t="s">
        <v>5350</v>
      </c>
      <c r="BG2275" s="296">
        <v>0</v>
      </c>
      <c r="BH2275" s="296">
        <v>0</v>
      </c>
      <c r="BI2275" s="296">
        <v>0</v>
      </c>
      <c r="BJ2275" s="296">
        <v>0</v>
      </c>
      <c r="BK2275" s="296">
        <v>0</v>
      </c>
      <c r="BL2275" s="296">
        <v>0</v>
      </c>
      <c r="BM2275" s="300">
        <v>0</v>
      </c>
      <c r="BN2275" s="23">
        <v>0</v>
      </c>
      <c r="BO2275" s="23">
        <v>0</v>
      </c>
      <c r="BP2275" s="23">
        <v>0</v>
      </c>
      <c r="BQ2275" s="23">
        <v>0</v>
      </c>
      <c r="BR2275" s="23">
        <v>0</v>
      </c>
      <c r="BS2275" s="23">
        <v>1</v>
      </c>
      <c r="BT2275" s="23">
        <v>0</v>
      </c>
      <c r="BU2275" s="23">
        <v>0</v>
      </c>
      <c r="BV2275" s="23"/>
      <c r="BW2275" s="23"/>
      <c r="BX2275" s="23"/>
      <c r="BY2275" s="23"/>
      <c r="BZ2275" s="23"/>
    </row>
    <row r="2276" spans="3:78" ht="19.5" customHeight="1">
      <c r="C2276" s="294">
        <v>77001206</v>
      </c>
      <c r="D2276" s="295" t="s">
        <v>5361</v>
      </c>
      <c r="E2276" s="295" t="s">
        <v>3479</v>
      </c>
      <c r="F2276" s="294">
        <v>1</v>
      </c>
      <c r="G2276" s="296">
        <v>0</v>
      </c>
      <c r="H2276" s="294">
        <v>0</v>
      </c>
      <c r="I2276" s="297">
        <v>0</v>
      </c>
      <c r="J2276" s="294">
        <v>1</v>
      </c>
      <c r="K2276" s="294">
        <v>0</v>
      </c>
      <c r="L2276" s="294">
        <v>0</v>
      </c>
      <c r="M2276" s="296">
        <v>0</v>
      </c>
      <c r="N2276" s="296">
        <v>0</v>
      </c>
      <c r="O2276" s="296">
        <v>2</v>
      </c>
      <c r="P2276" s="296" t="s">
        <v>5362</v>
      </c>
      <c r="Q2276" s="296" t="s">
        <v>5363</v>
      </c>
      <c r="R2276" s="296">
        <v>0</v>
      </c>
      <c r="S2276" s="23">
        <v>0</v>
      </c>
      <c r="T2276" s="296">
        <v>0</v>
      </c>
      <c r="U2276" s="296">
        <v>1</v>
      </c>
      <c r="V2276" s="296">
        <v>2</v>
      </c>
      <c r="W2276" s="296">
        <v>0</v>
      </c>
      <c r="X2276" s="296">
        <v>1.5</v>
      </c>
      <c r="Y2276" s="19">
        <v>0</v>
      </c>
      <c r="Z2276" s="296">
        <v>0</v>
      </c>
      <c r="AA2276" s="296">
        <v>0</v>
      </c>
      <c r="AB2276" s="296">
        <v>0</v>
      </c>
      <c r="AC2276" s="296">
        <v>0</v>
      </c>
      <c r="AD2276" s="296">
        <v>0</v>
      </c>
      <c r="AE2276" s="296">
        <v>1</v>
      </c>
      <c r="AF2276" s="296">
        <v>18</v>
      </c>
      <c r="AG2276" s="296">
        <v>1</v>
      </c>
      <c r="AH2276" s="296">
        <v>2</v>
      </c>
      <c r="AI2276" s="23">
        <v>0</v>
      </c>
      <c r="AJ2276" s="23">
        <v>2</v>
      </c>
      <c r="AK2276" s="23">
        <v>0</v>
      </c>
      <c r="AL2276" s="23">
        <v>2</v>
      </c>
      <c r="AM2276" s="296">
        <v>0</v>
      </c>
      <c r="AN2276" s="296">
        <v>0</v>
      </c>
      <c r="AO2276" s="296">
        <v>0</v>
      </c>
      <c r="AP2276" s="296">
        <v>1</v>
      </c>
      <c r="AQ2276" s="296">
        <v>12000</v>
      </c>
      <c r="AR2276" s="296">
        <v>1</v>
      </c>
      <c r="AS2276" s="296">
        <v>10</v>
      </c>
      <c r="AT2276" s="302">
        <v>0</v>
      </c>
      <c r="AU2276" s="359" t="s">
        <v>5364</v>
      </c>
      <c r="AV2276" s="301"/>
      <c r="AW2276" s="295" t="s">
        <v>205</v>
      </c>
      <c r="AX2276" s="296" t="s">
        <v>540</v>
      </c>
      <c r="AY2276" s="294">
        <v>10000007</v>
      </c>
      <c r="AZ2276" s="360" t="s">
        <v>5365</v>
      </c>
      <c r="BA2276" s="295" t="s">
        <v>592</v>
      </c>
      <c r="BB2276" s="296" t="s">
        <v>5366</v>
      </c>
      <c r="BC2276" s="297">
        <v>0</v>
      </c>
      <c r="BD2276" s="297">
        <v>0</v>
      </c>
      <c r="BE2276" s="299" t="s">
        <v>5367</v>
      </c>
      <c r="BF2276" s="299" t="s">
        <v>5368</v>
      </c>
      <c r="BG2276" s="296">
        <v>0</v>
      </c>
      <c r="BH2276" s="296">
        <v>0</v>
      </c>
      <c r="BI2276" s="296">
        <v>0</v>
      </c>
      <c r="BJ2276" s="296">
        <v>0</v>
      </c>
      <c r="BK2276" s="296">
        <v>0</v>
      </c>
      <c r="BL2276" s="296">
        <v>0</v>
      </c>
      <c r="BM2276" s="300">
        <v>0</v>
      </c>
      <c r="BN2276" s="23">
        <v>0</v>
      </c>
      <c r="BO2276" s="23">
        <v>0</v>
      </c>
      <c r="BP2276" s="23">
        <v>0</v>
      </c>
      <c r="BQ2276" s="23">
        <v>0</v>
      </c>
      <c r="BR2276" s="23">
        <v>0</v>
      </c>
      <c r="BS2276" s="23">
        <v>0</v>
      </c>
      <c r="BT2276" s="23">
        <v>0</v>
      </c>
      <c r="BU2276" s="23">
        <v>0</v>
      </c>
      <c r="BV2276" s="23"/>
      <c r="BW2276" s="23"/>
      <c r="BX2276" s="23"/>
      <c r="BY2276" s="23"/>
      <c r="BZ2276" s="23"/>
    </row>
    <row r="2277" spans="3:78" ht="19.5" customHeight="1">
      <c r="C2277" s="107">
        <v>77001301</v>
      </c>
      <c r="D2277" s="108" t="s">
        <v>1201</v>
      </c>
      <c r="E2277" s="108" t="s">
        <v>1202</v>
      </c>
      <c r="F2277" s="97">
        <v>1</v>
      </c>
      <c r="G2277" s="97">
        <v>0</v>
      </c>
      <c r="H2277" s="97">
        <v>0</v>
      </c>
      <c r="I2277" s="98">
        <v>0</v>
      </c>
      <c r="J2277" s="97">
        <v>1</v>
      </c>
      <c r="K2277" s="97">
        <v>0</v>
      </c>
      <c r="L2277" s="98">
        <v>0</v>
      </c>
      <c r="M2277" s="98">
        <v>0</v>
      </c>
      <c r="N2277" s="97">
        <v>0</v>
      </c>
      <c r="O2277" s="97">
        <v>2</v>
      </c>
      <c r="P2277" s="97">
        <v>2</v>
      </c>
      <c r="Q2277" s="97">
        <v>0.5</v>
      </c>
      <c r="R2277" s="97">
        <v>1</v>
      </c>
      <c r="S2277" s="99">
        <v>0</v>
      </c>
      <c r="T2277" s="97">
        <v>0</v>
      </c>
      <c r="U2277" s="100">
        <v>1</v>
      </c>
      <c r="V2277" s="97">
        <v>1</v>
      </c>
      <c r="W2277" s="98">
        <v>0</v>
      </c>
      <c r="X2277" s="97">
        <v>5</v>
      </c>
      <c r="Y2277" s="19">
        <v>0</v>
      </c>
      <c r="Z2277" s="97">
        <v>0</v>
      </c>
      <c r="AA2277" s="97">
        <v>0</v>
      </c>
      <c r="AB2277" s="97">
        <v>0</v>
      </c>
      <c r="AC2277" s="98">
        <v>0</v>
      </c>
      <c r="AD2277" s="97">
        <v>0</v>
      </c>
      <c r="AE2277" s="97">
        <v>0</v>
      </c>
      <c r="AF2277" s="97">
        <v>99999</v>
      </c>
      <c r="AG2277" s="97">
        <v>1</v>
      </c>
      <c r="AH2277" s="97">
        <v>5</v>
      </c>
      <c r="AI2277" s="101">
        <v>0</v>
      </c>
      <c r="AJ2277" s="101">
        <v>0</v>
      </c>
      <c r="AK2277" s="99">
        <v>0</v>
      </c>
      <c r="AL2277" s="97">
        <v>0</v>
      </c>
      <c r="AM2277" s="102">
        <v>0</v>
      </c>
      <c r="AN2277" s="97">
        <v>1.5</v>
      </c>
      <c r="AO2277" s="97">
        <v>0</v>
      </c>
      <c r="AP2277" s="97">
        <v>1</v>
      </c>
      <c r="AQ2277" s="97">
        <v>2000</v>
      </c>
      <c r="AR2277" s="97">
        <v>1</v>
      </c>
      <c r="AS2277" s="97">
        <v>0</v>
      </c>
      <c r="AT2277" s="323" t="s">
        <v>5369</v>
      </c>
      <c r="AU2277" s="97">
        <v>0</v>
      </c>
      <c r="AV2277" s="115"/>
      <c r="AW2277" s="104" t="s">
        <v>205</v>
      </c>
      <c r="AX2277" s="98">
        <v>0</v>
      </c>
      <c r="AY2277" s="98">
        <v>0</v>
      </c>
      <c r="AZ2277" s="98">
        <v>77001305</v>
      </c>
      <c r="BA2277" s="110" t="s">
        <v>534</v>
      </c>
      <c r="BB2277" s="97" t="s">
        <v>5370</v>
      </c>
      <c r="BC2277" s="116">
        <v>0</v>
      </c>
      <c r="BD2277" s="105">
        <v>0</v>
      </c>
      <c r="BE2277" s="106" t="s">
        <v>5371</v>
      </c>
      <c r="BF2277" s="106" t="s">
        <v>5372</v>
      </c>
      <c r="BG2277" s="97">
        <v>0</v>
      </c>
      <c r="BH2277" s="97">
        <v>0</v>
      </c>
      <c r="BI2277" s="107">
        <v>0</v>
      </c>
      <c r="BJ2277" s="97">
        <v>0</v>
      </c>
      <c r="BK2277" s="97">
        <v>0</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19.5" hidden="1" customHeight="1">
      <c r="C2278" s="107">
        <v>77001302</v>
      </c>
      <c r="D2278" s="110" t="s">
        <v>810</v>
      </c>
      <c r="E2278" s="303" t="s">
        <v>811</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8</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26" t="s">
        <v>5373</v>
      </c>
      <c r="AU2278" s="327" t="s">
        <v>5374</v>
      </c>
      <c r="AV2278" s="118"/>
      <c r="AW2278" s="110" t="s">
        <v>262</v>
      </c>
      <c r="AX2278" s="100" t="s">
        <v>221</v>
      </c>
      <c r="AY2278" s="107">
        <v>10000011</v>
      </c>
      <c r="AZ2278" s="107">
        <v>77001301</v>
      </c>
      <c r="BA2278" s="110" t="s">
        <v>222</v>
      </c>
      <c r="BB2278" s="100">
        <v>0</v>
      </c>
      <c r="BC2278" s="105">
        <v>0</v>
      </c>
      <c r="BD2278" s="105">
        <v>0</v>
      </c>
      <c r="BE2278" s="111" t="s">
        <v>5375</v>
      </c>
      <c r="BF2278" s="111" t="s">
        <v>5376</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77001305</v>
      </c>
      <c r="BU2278" s="23">
        <v>0</v>
      </c>
      <c r="BV2278" s="23"/>
      <c r="BW2278" s="23"/>
      <c r="BX2278" s="23"/>
      <c r="BY2278" s="23"/>
      <c r="BZ2278" s="23"/>
    </row>
    <row r="2279" spans="3:78" ht="20.100000000000001" customHeight="1">
      <c r="C2279" s="107">
        <v>77001303</v>
      </c>
      <c r="D2279" s="110" t="s">
        <v>816</v>
      </c>
      <c r="E2279" s="303" t="s">
        <v>817</v>
      </c>
      <c r="F2279" s="97">
        <v>1</v>
      </c>
      <c r="G2279" s="97">
        <v>0</v>
      </c>
      <c r="H2279" s="100">
        <v>0</v>
      </c>
      <c r="I2279" s="105">
        <v>0</v>
      </c>
      <c r="J2279" s="107">
        <v>1</v>
      </c>
      <c r="K2279" s="107">
        <v>0</v>
      </c>
      <c r="L2279" s="107">
        <v>0</v>
      </c>
      <c r="M2279" s="100">
        <v>0</v>
      </c>
      <c r="N2279" s="100">
        <v>0</v>
      </c>
      <c r="O2279" s="100">
        <v>2</v>
      </c>
      <c r="P2279" s="100">
        <v>3</v>
      </c>
      <c r="Q2279" s="100">
        <v>0.2</v>
      </c>
      <c r="R2279" s="100">
        <v>0</v>
      </c>
      <c r="S2279" s="99">
        <v>0</v>
      </c>
      <c r="T2279" s="100">
        <v>0</v>
      </c>
      <c r="U2279" s="100">
        <v>1</v>
      </c>
      <c r="V2279" s="97">
        <v>1</v>
      </c>
      <c r="W2279" s="100">
        <v>0</v>
      </c>
      <c r="X2279" s="100">
        <v>3</v>
      </c>
      <c r="Y2279" s="19">
        <v>0</v>
      </c>
      <c r="Z2279" s="100">
        <v>0</v>
      </c>
      <c r="AA2279" s="100">
        <v>1</v>
      </c>
      <c r="AB2279" s="100">
        <v>0</v>
      </c>
      <c r="AC2279" s="100">
        <v>0</v>
      </c>
      <c r="AD2279" s="100">
        <v>0</v>
      </c>
      <c r="AE2279" s="100">
        <v>1</v>
      </c>
      <c r="AF2279" s="100">
        <v>5</v>
      </c>
      <c r="AG2279" s="100">
        <v>1</v>
      </c>
      <c r="AH2279" s="100">
        <v>6</v>
      </c>
      <c r="AI2279" s="99">
        <v>0</v>
      </c>
      <c r="AJ2279" s="99">
        <v>1</v>
      </c>
      <c r="AK2279" s="99">
        <v>0</v>
      </c>
      <c r="AL2279" s="99">
        <v>3</v>
      </c>
      <c r="AM2279" s="100">
        <v>0</v>
      </c>
      <c r="AN2279" s="100">
        <v>1</v>
      </c>
      <c r="AO2279" s="100">
        <v>0</v>
      </c>
      <c r="AP2279" s="100">
        <v>1</v>
      </c>
      <c r="AQ2279" s="100">
        <v>3000</v>
      </c>
      <c r="AR2279" s="100">
        <v>1</v>
      </c>
      <c r="AS2279" s="100">
        <v>0</v>
      </c>
      <c r="AT2279" s="99">
        <v>0</v>
      </c>
      <c r="AU2279" s="327" t="s">
        <v>5374</v>
      </c>
      <c r="AV2279" s="118"/>
      <c r="AW2279" s="110" t="s">
        <v>623</v>
      </c>
      <c r="AX2279" s="100" t="s">
        <v>221</v>
      </c>
      <c r="AY2279" s="107">
        <v>10000011</v>
      </c>
      <c r="AZ2279" s="107">
        <v>77001302</v>
      </c>
      <c r="BA2279" s="104" t="s">
        <v>206</v>
      </c>
      <c r="BB2279" s="100">
        <v>0</v>
      </c>
      <c r="BC2279" s="105">
        <v>0</v>
      </c>
      <c r="BD2279" s="105">
        <v>0</v>
      </c>
      <c r="BE2279" s="111" t="s">
        <v>818</v>
      </c>
      <c r="BF2279" s="111" t="s">
        <v>819</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77001304</v>
      </c>
      <c r="D2280" s="119" t="s">
        <v>820</v>
      </c>
      <c r="E2280" s="119" t="s">
        <v>821</v>
      </c>
      <c r="F2280" s="97">
        <v>1</v>
      </c>
      <c r="G2280" s="97">
        <v>0</v>
      </c>
      <c r="H2280" s="97">
        <v>0</v>
      </c>
      <c r="I2280" s="98">
        <v>0</v>
      </c>
      <c r="J2280" s="97">
        <v>0</v>
      </c>
      <c r="K2280" s="97">
        <v>0</v>
      </c>
      <c r="L2280" s="98">
        <v>0</v>
      </c>
      <c r="M2280" s="98">
        <v>0</v>
      </c>
      <c r="N2280" s="97">
        <v>0</v>
      </c>
      <c r="O2280" s="100">
        <v>2</v>
      </c>
      <c r="P2280" s="100">
        <v>2</v>
      </c>
      <c r="Q2280" s="97">
        <v>0.8</v>
      </c>
      <c r="R2280" s="97">
        <v>0</v>
      </c>
      <c r="S2280" s="99">
        <v>0</v>
      </c>
      <c r="T2280" s="97">
        <v>0</v>
      </c>
      <c r="U2280" s="100">
        <v>1</v>
      </c>
      <c r="V2280" s="97">
        <v>1</v>
      </c>
      <c r="W2280" s="98">
        <v>0</v>
      </c>
      <c r="X2280" s="97">
        <v>3</v>
      </c>
      <c r="Y2280" s="19">
        <v>0</v>
      </c>
      <c r="Z2280" s="97">
        <v>0</v>
      </c>
      <c r="AA2280" s="97">
        <v>0</v>
      </c>
      <c r="AB2280" s="97">
        <v>0</v>
      </c>
      <c r="AC2280" s="98">
        <v>0</v>
      </c>
      <c r="AD2280" s="97">
        <v>0</v>
      </c>
      <c r="AE2280" s="97">
        <v>0</v>
      </c>
      <c r="AF2280" s="97">
        <v>12</v>
      </c>
      <c r="AG2280" s="97">
        <v>1</v>
      </c>
      <c r="AH2280" s="100">
        <v>2</v>
      </c>
      <c r="AI2280" s="101">
        <v>0</v>
      </c>
      <c r="AJ2280" s="101">
        <v>2</v>
      </c>
      <c r="AK2280" s="99">
        <v>0</v>
      </c>
      <c r="AL2280" s="97">
        <v>1.5</v>
      </c>
      <c r="AM2280" s="102">
        <v>0</v>
      </c>
      <c r="AN2280" s="97">
        <v>0</v>
      </c>
      <c r="AO2280" s="97">
        <v>0</v>
      </c>
      <c r="AP2280" s="97">
        <v>2.5</v>
      </c>
      <c r="AQ2280" s="100">
        <v>8000</v>
      </c>
      <c r="AR2280" s="97">
        <v>1.5</v>
      </c>
      <c r="AS2280" s="97">
        <v>10</v>
      </c>
      <c r="AT2280" s="99">
        <v>0</v>
      </c>
      <c r="AU2280" s="327" t="s">
        <v>5377</v>
      </c>
      <c r="AV2280" s="118"/>
      <c r="AW2280" s="104" t="s">
        <v>293</v>
      </c>
      <c r="AX2280" s="98">
        <v>0</v>
      </c>
      <c r="AY2280" s="98">
        <v>0</v>
      </c>
      <c r="AZ2280" s="107">
        <v>77001303</v>
      </c>
      <c r="BA2280" s="104" t="s">
        <v>592</v>
      </c>
      <c r="BB2280" s="100" t="s">
        <v>822</v>
      </c>
      <c r="BC2280" s="105">
        <v>0</v>
      </c>
      <c r="BD2280" s="105">
        <v>0</v>
      </c>
      <c r="BE2280" s="111" t="s">
        <v>5378</v>
      </c>
      <c r="BF2280" s="120" t="s">
        <v>5379</v>
      </c>
      <c r="BG2280" s="97">
        <v>2</v>
      </c>
      <c r="BH2280" s="97">
        <v>0</v>
      </c>
      <c r="BI2280" s="107">
        <v>0</v>
      </c>
      <c r="BJ2280" s="97">
        <v>1</v>
      </c>
      <c r="BK2280" s="97">
        <v>2</v>
      </c>
      <c r="BL2280" s="102">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77001305</v>
      </c>
      <c r="D2281" s="110" t="s">
        <v>766</v>
      </c>
      <c r="E2281" s="303"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3" t="s">
        <v>5373</v>
      </c>
      <c r="AU2281" s="327" t="s">
        <v>5374</v>
      </c>
      <c r="AV2281" s="118"/>
      <c r="AW2281" s="110" t="s">
        <v>262</v>
      </c>
      <c r="AX2281" s="100" t="s">
        <v>221</v>
      </c>
      <c r="AY2281" s="107">
        <v>10000011</v>
      </c>
      <c r="AZ2281" s="107">
        <v>77001301</v>
      </c>
      <c r="BA2281" s="110" t="s">
        <v>222</v>
      </c>
      <c r="BB2281" s="100">
        <v>0</v>
      </c>
      <c r="BC2281" s="105">
        <v>0</v>
      </c>
      <c r="BD2281" s="105">
        <v>0</v>
      </c>
      <c r="BE2281" s="111" t="s">
        <v>5380</v>
      </c>
      <c r="BF2281" s="111" t="s">
        <v>5381</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77001306</v>
      </c>
      <c r="BU2281" s="23">
        <v>0</v>
      </c>
      <c r="BV2281" s="23"/>
      <c r="BW2281" s="23"/>
      <c r="BX2281" s="23"/>
      <c r="BY2281" s="23"/>
      <c r="BZ2281" s="23"/>
    </row>
    <row r="2282" spans="3:78" ht="20.100000000000001" customHeight="1">
      <c r="C2282" s="107">
        <v>77001306</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5373</v>
      </c>
      <c r="AU2282" s="327" t="s">
        <v>5374</v>
      </c>
      <c r="AV2282" s="118"/>
      <c r="AW2282" s="110" t="s">
        <v>262</v>
      </c>
      <c r="AX2282" s="100" t="s">
        <v>221</v>
      </c>
      <c r="AY2282" s="107">
        <v>10000011</v>
      </c>
      <c r="AZ2282" s="107">
        <v>77001301</v>
      </c>
      <c r="BA2282" s="110" t="s">
        <v>222</v>
      </c>
      <c r="BB2282" s="100">
        <v>0</v>
      </c>
      <c r="BC2282" s="105">
        <v>0</v>
      </c>
      <c r="BD2282" s="105">
        <v>0</v>
      </c>
      <c r="BE2282" s="111" t="s">
        <v>5380</v>
      </c>
      <c r="BF2282" s="111" t="s">
        <v>5381</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77001304</v>
      </c>
      <c r="BU2282" s="23">
        <v>0</v>
      </c>
      <c r="BV2282" s="23"/>
      <c r="BW2282" s="23"/>
      <c r="BX2282" s="23"/>
      <c r="BY2282" s="23"/>
      <c r="BZ2282" s="23"/>
    </row>
    <row r="2283" spans="3:78" ht="20.100000000000001" customHeight="1">
      <c r="C2283" s="107">
        <v>77001307</v>
      </c>
      <c r="D2283" s="110" t="s">
        <v>5382</v>
      </c>
      <c r="E2283" s="303" t="s">
        <v>5383</v>
      </c>
      <c r="F2283" s="97">
        <v>1</v>
      </c>
      <c r="G2283" s="97">
        <v>0</v>
      </c>
      <c r="H2283" s="107">
        <v>0</v>
      </c>
      <c r="I2283" s="105">
        <v>0</v>
      </c>
      <c r="J2283" s="107">
        <v>1</v>
      </c>
      <c r="K2283" s="107">
        <v>0</v>
      </c>
      <c r="L2283" s="107">
        <v>0</v>
      </c>
      <c r="M2283" s="100">
        <v>0</v>
      </c>
      <c r="N2283" s="100">
        <v>0</v>
      </c>
      <c r="O2283" s="100">
        <v>2</v>
      </c>
      <c r="P2283" s="100">
        <v>16</v>
      </c>
      <c r="Q2283" s="100">
        <v>5</v>
      </c>
      <c r="R2283" s="100">
        <v>0</v>
      </c>
      <c r="S2283" s="99">
        <v>0</v>
      </c>
      <c r="T2283" s="100">
        <v>0</v>
      </c>
      <c r="U2283" s="100">
        <v>1</v>
      </c>
      <c r="V2283" s="97">
        <v>1</v>
      </c>
      <c r="W2283" s="100">
        <v>0</v>
      </c>
      <c r="X2283" s="100">
        <v>2</v>
      </c>
      <c r="Y2283" s="19">
        <v>0</v>
      </c>
      <c r="Z2283" s="100">
        <v>0</v>
      </c>
      <c r="AA2283" s="100">
        <v>0</v>
      </c>
      <c r="AB2283" s="100">
        <v>0</v>
      </c>
      <c r="AC2283" s="100">
        <v>0</v>
      </c>
      <c r="AD2283" s="100">
        <v>0</v>
      </c>
      <c r="AE2283" s="100">
        <v>0</v>
      </c>
      <c r="AF2283" s="100">
        <v>0</v>
      </c>
      <c r="AG2283" s="100">
        <v>2</v>
      </c>
      <c r="AH2283" s="100" t="s">
        <v>219</v>
      </c>
      <c r="AI2283" s="99">
        <v>0</v>
      </c>
      <c r="AJ2283" s="99">
        <v>2</v>
      </c>
      <c r="AK2283" s="99">
        <v>0</v>
      </c>
      <c r="AL2283" s="99">
        <v>1.5</v>
      </c>
      <c r="AM2283" s="100">
        <v>0</v>
      </c>
      <c r="AN2283" s="100">
        <v>0</v>
      </c>
      <c r="AO2283" s="100">
        <v>0</v>
      </c>
      <c r="AP2283" s="100">
        <v>1</v>
      </c>
      <c r="AQ2283" s="100">
        <v>2000</v>
      </c>
      <c r="AR2283" s="100">
        <v>1</v>
      </c>
      <c r="AS2283" s="100">
        <v>0</v>
      </c>
      <c r="AT2283" s="99">
        <v>0</v>
      </c>
      <c r="AU2283" s="327" t="s">
        <v>5374</v>
      </c>
      <c r="AV2283" s="118"/>
      <c r="AW2283" s="104" t="s">
        <v>204</v>
      </c>
      <c r="AX2283" s="100" t="s">
        <v>551</v>
      </c>
      <c r="AY2283" s="107">
        <v>10001007</v>
      </c>
      <c r="AZ2283" s="107">
        <v>77001304</v>
      </c>
      <c r="BA2283" s="110" t="s">
        <v>206</v>
      </c>
      <c r="BB2283" s="100">
        <v>0</v>
      </c>
      <c r="BC2283" s="105">
        <v>0</v>
      </c>
      <c r="BD2283" s="105">
        <v>0</v>
      </c>
      <c r="BE2283" s="111" t="s">
        <v>5384</v>
      </c>
      <c r="BF2283" s="111" t="s">
        <v>5385</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0</v>
      </c>
      <c r="BU2283" s="23">
        <v>0</v>
      </c>
      <c r="BV2283" s="23"/>
      <c r="BW2283" s="23"/>
      <c r="BX2283" s="23"/>
      <c r="BY2283" s="23"/>
      <c r="BZ2283" s="23"/>
    </row>
    <row r="2284" spans="3:78" ht="19.5" customHeight="1">
      <c r="C2284" s="74">
        <v>77001401</v>
      </c>
      <c r="D2284" s="71" t="s">
        <v>5386</v>
      </c>
      <c r="E2284" s="71" t="s">
        <v>5387</v>
      </c>
      <c r="F2284" s="74">
        <v>1</v>
      </c>
      <c r="G2284" s="74">
        <v>0</v>
      </c>
      <c r="H2284" s="74">
        <v>0</v>
      </c>
      <c r="I2284" s="75">
        <v>0</v>
      </c>
      <c r="J2284" s="74">
        <v>1</v>
      </c>
      <c r="K2284" s="74">
        <v>0</v>
      </c>
      <c r="L2284" s="74">
        <v>0</v>
      </c>
      <c r="M2284" s="72">
        <v>0</v>
      </c>
      <c r="N2284" s="72">
        <v>0</v>
      </c>
      <c r="O2284" s="72">
        <v>2</v>
      </c>
      <c r="P2284" s="72">
        <v>16</v>
      </c>
      <c r="Q2284" s="72">
        <v>5</v>
      </c>
      <c r="R2284" s="72">
        <v>0</v>
      </c>
      <c r="S2284" s="73">
        <v>0</v>
      </c>
      <c r="T2284" s="72">
        <v>0</v>
      </c>
      <c r="U2284" s="72">
        <v>1</v>
      </c>
      <c r="V2284" s="72">
        <v>2</v>
      </c>
      <c r="W2284" s="72">
        <v>0</v>
      </c>
      <c r="X2284" s="72">
        <v>1</v>
      </c>
      <c r="Y2284" s="19">
        <v>0</v>
      </c>
      <c r="Z2284" s="72">
        <v>0</v>
      </c>
      <c r="AA2284" s="72">
        <v>1</v>
      </c>
      <c r="AB2284" s="72">
        <v>0</v>
      </c>
      <c r="AC2284" s="72">
        <v>0</v>
      </c>
      <c r="AD2284" s="72">
        <v>0</v>
      </c>
      <c r="AE2284" s="72">
        <v>1</v>
      </c>
      <c r="AF2284" s="72">
        <v>0</v>
      </c>
      <c r="AG2284" s="72">
        <v>1</v>
      </c>
      <c r="AH2284" s="72">
        <v>2</v>
      </c>
      <c r="AI2284" s="73">
        <v>0</v>
      </c>
      <c r="AJ2284" s="73">
        <v>2</v>
      </c>
      <c r="AK2284" s="73">
        <v>0</v>
      </c>
      <c r="AL2284" s="73">
        <v>4</v>
      </c>
      <c r="AM2284" s="72">
        <v>0</v>
      </c>
      <c r="AN2284" s="72">
        <v>1</v>
      </c>
      <c r="AO2284" s="72">
        <v>0</v>
      </c>
      <c r="AP2284" s="72">
        <v>0</v>
      </c>
      <c r="AQ2284" s="72">
        <v>9000</v>
      </c>
      <c r="AR2284" s="72">
        <v>0</v>
      </c>
      <c r="AS2284" s="72">
        <v>10</v>
      </c>
      <c r="AT2284" s="92">
        <v>0</v>
      </c>
      <c r="AU2284" s="322" t="s">
        <v>5388</v>
      </c>
      <c r="AV2284" s="93"/>
      <c r="AW2284" s="71" t="s">
        <v>293</v>
      </c>
      <c r="AX2284" s="72" t="s">
        <v>540</v>
      </c>
      <c r="AY2284" s="74">
        <v>10000007</v>
      </c>
      <c r="AZ2284" s="74">
        <v>77001401</v>
      </c>
      <c r="BA2284" s="71" t="s">
        <v>592</v>
      </c>
      <c r="BB2284" s="72" t="s">
        <v>5389</v>
      </c>
      <c r="BC2284" s="75">
        <v>0</v>
      </c>
      <c r="BD2284" s="75">
        <v>1</v>
      </c>
      <c r="BE2284" s="76" t="s">
        <v>5390</v>
      </c>
      <c r="BF2284" s="76" t="s">
        <v>5391</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77001402</v>
      </c>
      <c r="D2285" s="71" t="s">
        <v>3010</v>
      </c>
      <c r="E2285" s="71" t="s">
        <v>5392</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330" t="s">
        <v>5393</v>
      </c>
      <c r="AU2285" s="322" t="s">
        <v>5394</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77001403</v>
      </c>
      <c r="D2286" s="71" t="s">
        <v>3010</v>
      </c>
      <c r="E2286" s="71" t="s">
        <v>5392</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73">
        <v>0</v>
      </c>
      <c r="AU2286" s="322" t="s">
        <v>5394</v>
      </c>
      <c r="AV2286" s="93"/>
      <c r="AW2286" s="88" t="s">
        <v>204</v>
      </c>
      <c r="AX2286" s="72" t="s">
        <v>540</v>
      </c>
      <c r="AY2286" s="74">
        <v>0</v>
      </c>
      <c r="AZ2286" s="74">
        <v>77001403</v>
      </c>
      <c r="BA2286" s="71" t="s">
        <v>206</v>
      </c>
      <c r="BB2286" s="72">
        <v>0</v>
      </c>
      <c r="BC2286" s="75">
        <v>0</v>
      </c>
      <c r="BD2286" s="75">
        <v>0</v>
      </c>
      <c r="BE2286" s="76" t="s">
        <v>2405</v>
      </c>
      <c r="BF2286" s="76" t="s">
        <v>2406</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77001404</v>
      </c>
      <c r="D2287" s="71" t="s">
        <v>5395</v>
      </c>
      <c r="E2287" s="71" t="s">
        <v>5396</v>
      </c>
      <c r="F2287" s="74">
        <v>1</v>
      </c>
      <c r="G2287" s="74">
        <v>0</v>
      </c>
      <c r="H2287" s="74">
        <v>0</v>
      </c>
      <c r="I2287" s="75">
        <v>0</v>
      </c>
      <c r="J2287" s="74">
        <v>1</v>
      </c>
      <c r="K2287" s="74">
        <v>0</v>
      </c>
      <c r="L2287" s="74">
        <v>0</v>
      </c>
      <c r="M2287" s="72">
        <v>0</v>
      </c>
      <c r="N2287" s="72">
        <v>0</v>
      </c>
      <c r="O2287" s="72">
        <v>2</v>
      </c>
      <c r="P2287" s="72">
        <v>10</v>
      </c>
      <c r="Q2287" s="72">
        <v>0.3</v>
      </c>
      <c r="R2287" s="72">
        <v>0</v>
      </c>
      <c r="S2287" s="73">
        <v>3</v>
      </c>
      <c r="T2287" s="72">
        <v>0</v>
      </c>
      <c r="U2287" s="72">
        <v>1</v>
      </c>
      <c r="V2287" s="72">
        <v>2</v>
      </c>
      <c r="W2287" s="72">
        <v>0</v>
      </c>
      <c r="X2287" s="72">
        <v>1</v>
      </c>
      <c r="Y2287" s="19">
        <v>0</v>
      </c>
      <c r="Z2287" s="72">
        <v>0</v>
      </c>
      <c r="AA2287" s="72">
        <v>1</v>
      </c>
      <c r="AB2287" s="72">
        <v>0</v>
      </c>
      <c r="AC2287" s="72">
        <v>0</v>
      </c>
      <c r="AD2287" s="72">
        <v>0</v>
      </c>
      <c r="AE2287" s="72">
        <v>1</v>
      </c>
      <c r="AF2287" s="72">
        <v>2</v>
      </c>
      <c r="AG2287" s="72">
        <v>1</v>
      </c>
      <c r="AH2287" s="72">
        <v>2</v>
      </c>
      <c r="AI2287" s="73">
        <v>0</v>
      </c>
      <c r="AJ2287" s="73">
        <v>2</v>
      </c>
      <c r="AK2287" s="73">
        <v>0</v>
      </c>
      <c r="AL2287" s="73">
        <v>1</v>
      </c>
      <c r="AM2287" s="72">
        <v>0</v>
      </c>
      <c r="AN2287" s="72">
        <v>1</v>
      </c>
      <c r="AO2287" s="72">
        <v>0</v>
      </c>
      <c r="AP2287" s="72">
        <v>0</v>
      </c>
      <c r="AQ2287" s="72">
        <v>5000</v>
      </c>
      <c r="AR2287" s="72">
        <v>0</v>
      </c>
      <c r="AS2287" s="72">
        <v>20</v>
      </c>
      <c r="AT2287" s="92">
        <v>0</v>
      </c>
      <c r="AU2287" s="322" t="s">
        <v>5397</v>
      </c>
      <c r="AV2287" s="93"/>
      <c r="AW2287" s="71" t="s">
        <v>262</v>
      </c>
      <c r="AX2287" s="72" t="s">
        <v>540</v>
      </c>
      <c r="AY2287" s="74">
        <v>10000007</v>
      </c>
      <c r="AZ2287" s="74">
        <v>77001402</v>
      </c>
      <c r="BA2287" s="71" t="s">
        <v>592</v>
      </c>
      <c r="BB2287" s="72" t="s">
        <v>5398</v>
      </c>
      <c r="BC2287" s="75">
        <v>0</v>
      </c>
      <c r="BD2287" s="75">
        <v>1</v>
      </c>
      <c r="BE2287" s="76" t="s">
        <v>5399</v>
      </c>
      <c r="BF2287" s="76" t="s">
        <v>5400</v>
      </c>
      <c r="BG2287" s="72">
        <v>0</v>
      </c>
      <c r="BH2287" s="72">
        <v>0</v>
      </c>
      <c r="BI2287" s="72">
        <v>0</v>
      </c>
      <c r="BJ2287" s="72">
        <v>0</v>
      </c>
      <c r="BK2287" s="72">
        <v>0</v>
      </c>
      <c r="BL2287" s="72">
        <v>0</v>
      </c>
      <c r="BM2287" s="90">
        <v>0</v>
      </c>
      <c r="BN2287" s="73">
        <v>0</v>
      </c>
      <c r="BO2287" s="73">
        <v>0</v>
      </c>
      <c r="BP2287" s="73">
        <v>0</v>
      </c>
      <c r="BQ2287" s="73">
        <v>0</v>
      </c>
      <c r="BR2287" s="73">
        <v>0</v>
      </c>
      <c r="BS2287" s="73">
        <v>1</v>
      </c>
      <c r="BT2287" s="73">
        <v>0</v>
      </c>
      <c r="BU2287" s="23">
        <v>0</v>
      </c>
      <c r="BV2287" s="23"/>
      <c r="BW2287" s="23"/>
      <c r="BX2287" s="23"/>
      <c r="BY2287" s="23"/>
      <c r="BZ2287" s="23"/>
    </row>
    <row r="2288" spans="3:78" ht="19.5" customHeight="1">
      <c r="C2288" s="74">
        <v>77001405</v>
      </c>
      <c r="D2288" s="71" t="s">
        <v>1051</v>
      </c>
      <c r="E2288" s="71" t="s">
        <v>1052</v>
      </c>
      <c r="F2288" s="74">
        <v>1</v>
      </c>
      <c r="G2288" s="74">
        <v>0</v>
      </c>
      <c r="H2288" s="74">
        <v>0</v>
      </c>
      <c r="I2288" s="75">
        <v>0</v>
      </c>
      <c r="J2288" s="74">
        <v>1</v>
      </c>
      <c r="K2288" s="74">
        <v>0</v>
      </c>
      <c r="L2288" s="74">
        <v>0</v>
      </c>
      <c r="M2288" s="72">
        <v>0</v>
      </c>
      <c r="N2288" s="72">
        <v>0</v>
      </c>
      <c r="O2288" s="72">
        <v>2</v>
      </c>
      <c r="P2288" s="72">
        <v>3</v>
      </c>
      <c r="Q2288" s="72">
        <v>0.1</v>
      </c>
      <c r="R2288" s="72">
        <v>0</v>
      </c>
      <c r="S2288" s="73">
        <v>0</v>
      </c>
      <c r="T2288" s="72">
        <v>0</v>
      </c>
      <c r="U2288" s="72">
        <v>1</v>
      </c>
      <c r="V2288" s="72">
        <v>2</v>
      </c>
      <c r="W2288" s="72">
        <v>0</v>
      </c>
      <c r="X2288" s="72">
        <v>1</v>
      </c>
      <c r="Y2288" s="19">
        <v>0</v>
      </c>
      <c r="Z2288" s="72">
        <v>0</v>
      </c>
      <c r="AA2288" s="72">
        <v>1</v>
      </c>
      <c r="AB2288" s="72">
        <v>0</v>
      </c>
      <c r="AC2288" s="72">
        <v>0</v>
      </c>
      <c r="AD2288" s="72">
        <v>1</v>
      </c>
      <c r="AE2288" s="72">
        <v>0</v>
      </c>
      <c r="AF2288" s="72">
        <v>0</v>
      </c>
      <c r="AG2288" s="72">
        <v>1</v>
      </c>
      <c r="AH2288" s="72">
        <v>3</v>
      </c>
      <c r="AI2288" s="73">
        <v>4</v>
      </c>
      <c r="AJ2288" s="73">
        <v>1</v>
      </c>
      <c r="AK2288" s="73">
        <v>0</v>
      </c>
      <c r="AL2288" s="73">
        <v>1.5</v>
      </c>
      <c r="AM2288" s="72">
        <v>0</v>
      </c>
      <c r="AN2288" s="72">
        <v>0</v>
      </c>
      <c r="AO2288" s="72">
        <v>0</v>
      </c>
      <c r="AP2288" s="72">
        <v>0</v>
      </c>
      <c r="AQ2288" s="72">
        <v>6000</v>
      </c>
      <c r="AR2288" s="72">
        <v>0.8</v>
      </c>
      <c r="AS2288" s="72">
        <v>0</v>
      </c>
      <c r="AT2288" s="73">
        <v>0</v>
      </c>
      <c r="AU2288" s="322" t="s">
        <v>5394</v>
      </c>
      <c r="AV2288" s="93"/>
      <c r="AW2288" s="88" t="s">
        <v>205</v>
      </c>
      <c r="AX2288" s="72" t="s">
        <v>540</v>
      </c>
      <c r="AY2288" s="74">
        <v>0</v>
      </c>
      <c r="AZ2288" s="74">
        <v>77001404</v>
      </c>
      <c r="BA2288" s="71" t="s">
        <v>206</v>
      </c>
      <c r="BB2288" s="72" t="s">
        <v>5401</v>
      </c>
      <c r="BC2288" s="75">
        <v>0</v>
      </c>
      <c r="BD2288" s="75">
        <v>0</v>
      </c>
      <c r="BE2288" s="76" t="s">
        <v>5402</v>
      </c>
      <c r="BF2288" s="76" t="s">
        <v>5403</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20.100000000000001" customHeight="1">
      <c r="C2289" s="74">
        <v>77001406</v>
      </c>
      <c r="D2289" s="131" t="s">
        <v>1045</v>
      </c>
      <c r="E2289" s="131" t="s">
        <v>1046</v>
      </c>
      <c r="F2289" s="73">
        <v>1</v>
      </c>
      <c r="G2289" s="74">
        <v>0</v>
      </c>
      <c r="H2289" s="73">
        <v>0</v>
      </c>
      <c r="I2289" s="73">
        <v>0</v>
      </c>
      <c r="J2289" s="73">
        <v>1</v>
      </c>
      <c r="K2289" s="73">
        <v>0</v>
      </c>
      <c r="L2289" s="73">
        <v>0</v>
      </c>
      <c r="M2289" s="73">
        <v>0</v>
      </c>
      <c r="N2289" s="73">
        <v>0</v>
      </c>
      <c r="O2289" s="73">
        <v>2</v>
      </c>
      <c r="P2289" s="73">
        <v>2</v>
      </c>
      <c r="Q2289" s="73">
        <v>0.8</v>
      </c>
      <c r="R2289" s="73">
        <v>0</v>
      </c>
      <c r="S2289" s="73">
        <v>0</v>
      </c>
      <c r="T2289" s="73">
        <v>0</v>
      </c>
      <c r="U2289" s="73">
        <v>1</v>
      </c>
      <c r="V2289" s="73">
        <v>2</v>
      </c>
      <c r="W2289" s="73">
        <v>0</v>
      </c>
      <c r="X2289" s="73">
        <v>0</v>
      </c>
      <c r="Y2289" s="19">
        <v>0</v>
      </c>
      <c r="Z2289" s="73">
        <v>0</v>
      </c>
      <c r="AA2289" s="73">
        <v>1</v>
      </c>
      <c r="AB2289" s="73">
        <v>0</v>
      </c>
      <c r="AC2289" s="73">
        <v>0</v>
      </c>
      <c r="AD2289" s="73">
        <v>0</v>
      </c>
      <c r="AE2289" s="73">
        <v>0</v>
      </c>
      <c r="AF2289" s="73">
        <v>12</v>
      </c>
      <c r="AG2289" s="73">
        <v>1</v>
      </c>
      <c r="AH2289" s="73">
        <v>8</v>
      </c>
      <c r="AI2289" s="73">
        <v>0</v>
      </c>
      <c r="AJ2289" s="73">
        <v>1</v>
      </c>
      <c r="AK2289" s="73">
        <v>0</v>
      </c>
      <c r="AL2289" s="73">
        <v>4</v>
      </c>
      <c r="AM2289" s="73">
        <v>0</v>
      </c>
      <c r="AN2289" s="73">
        <v>0</v>
      </c>
      <c r="AO2289" s="73">
        <v>0</v>
      </c>
      <c r="AP2289" s="73">
        <v>0</v>
      </c>
      <c r="AQ2289" s="73">
        <v>2000</v>
      </c>
      <c r="AR2289" s="73">
        <v>1.5</v>
      </c>
      <c r="AS2289" s="73">
        <v>0</v>
      </c>
      <c r="AT2289" s="73">
        <v>0</v>
      </c>
      <c r="AU2289" s="73">
        <v>0</v>
      </c>
      <c r="AV2289" s="73"/>
      <c r="AW2289" s="131" t="s">
        <v>623</v>
      </c>
      <c r="AX2289" s="73" t="s">
        <v>1047</v>
      </c>
      <c r="AY2289" s="73">
        <v>0</v>
      </c>
      <c r="AZ2289" s="73">
        <v>77001405</v>
      </c>
      <c r="BA2289" s="131" t="s">
        <v>1048</v>
      </c>
      <c r="BB2289" s="73">
        <v>0</v>
      </c>
      <c r="BC2289" s="73">
        <v>0</v>
      </c>
      <c r="BD2289" s="73">
        <v>0</v>
      </c>
      <c r="BE2289" s="132" t="s">
        <v>1049</v>
      </c>
      <c r="BF2289" s="132" t="s">
        <v>1050</v>
      </c>
      <c r="BG2289" s="73">
        <v>0</v>
      </c>
      <c r="BH2289" s="73">
        <v>0</v>
      </c>
      <c r="BI2289" s="73">
        <v>0</v>
      </c>
      <c r="BJ2289" s="73">
        <v>0</v>
      </c>
      <c r="BK2289" s="73">
        <v>0</v>
      </c>
      <c r="BL2289" s="73">
        <v>0</v>
      </c>
      <c r="BM2289" s="133">
        <v>0</v>
      </c>
      <c r="BN2289" s="73">
        <v>0</v>
      </c>
      <c r="BO2289" s="73">
        <v>0</v>
      </c>
      <c r="BP2289" s="73">
        <v>1000</v>
      </c>
      <c r="BQ2289" s="73">
        <v>0</v>
      </c>
      <c r="BR2289" s="73">
        <v>0</v>
      </c>
      <c r="BS2289" s="73">
        <v>0</v>
      </c>
      <c r="BT2289" s="73">
        <v>0</v>
      </c>
      <c r="BU2289" s="23">
        <v>0</v>
      </c>
      <c r="BV2289" s="23"/>
      <c r="BW2289" s="23"/>
      <c r="BX2289" s="23"/>
      <c r="BY2289" s="23"/>
      <c r="BZ2289" s="23"/>
    </row>
    <row r="2290" spans="3:78" ht="19.5" customHeight="1">
      <c r="C2290" s="74">
        <v>77001407</v>
      </c>
      <c r="D2290" s="71" t="s">
        <v>5404</v>
      </c>
      <c r="E2290" s="71" t="s">
        <v>5405</v>
      </c>
      <c r="F2290" s="74">
        <v>1</v>
      </c>
      <c r="G2290" s="74">
        <v>0</v>
      </c>
      <c r="H2290" s="74">
        <v>0</v>
      </c>
      <c r="I2290" s="75">
        <v>0</v>
      </c>
      <c r="J2290" s="74">
        <v>1</v>
      </c>
      <c r="K2290" s="74">
        <v>0</v>
      </c>
      <c r="L2290" s="74">
        <v>0</v>
      </c>
      <c r="M2290" s="72">
        <v>0</v>
      </c>
      <c r="N2290" s="72">
        <v>0</v>
      </c>
      <c r="O2290" s="72">
        <v>2</v>
      </c>
      <c r="P2290" s="72">
        <v>10</v>
      </c>
      <c r="Q2290" s="72">
        <v>0.15</v>
      </c>
      <c r="R2290" s="72">
        <v>0</v>
      </c>
      <c r="S2290" s="73">
        <v>0</v>
      </c>
      <c r="T2290" s="72">
        <v>0</v>
      </c>
      <c r="U2290" s="72">
        <v>1</v>
      </c>
      <c r="V2290" s="72">
        <v>2</v>
      </c>
      <c r="W2290" s="72">
        <v>0</v>
      </c>
      <c r="X2290" s="72">
        <v>2</v>
      </c>
      <c r="Y2290" s="19">
        <v>0</v>
      </c>
      <c r="Z2290" s="72">
        <v>0</v>
      </c>
      <c r="AA2290" s="72">
        <v>1</v>
      </c>
      <c r="AB2290" s="72">
        <v>0</v>
      </c>
      <c r="AC2290" s="72">
        <v>0</v>
      </c>
      <c r="AD2290" s="72">
        <v>0</v>
      </c>
      <c r="AE2290" s="72">
        <v>1</v>
      </c>
      <c r="AF2290" s="72">
        <v>3</v>
      </c>
      <c r="AG2290" s="72">
        <v>1</v>
      </c>
      <c r="AH2290" s="72">
        <v>4</v>
      </c>
      <c r="AI2290" s="73">
        <v>1</v>
      </c>
      <c r="AJ2290" s="73">
        <v>1</v>
      </c>
      <c r="AK2290" s="73">
        <v>0</v>
      </c>
      <c r="AL2290" s="73">
        <v>3</v>
      </c>
      <c r="AM2290" s="72">
        <v>0</v>
      </c>
      <c r="AN2290" s="72">
        <v>1</v>
      </c>
      <c r="AO2290" s="72">
        <v>0</v>
      </c>
      <c r="AP2290" s="72">
        <v>1</v>
      </c>
      <c r="AQ2290" s="72">
        <v>3000</v>
      </c>
      <c r="AR2290" s="72">
        <v>1</v>
      </c>
      <c r="AS2290" s="72">
        <v>0</v>
      </c>
      <c r="AT2290" s="73">
        <v>0</v>
      </c>
      <c r="AU2290" s="322" t="s">
        <v>5397</v>
      </c>
      <c r="AV2290" s="93"/>
      <c r="AW2290" s="88" t="s">
        <v>293</v>
      </c>
      <c r="AX2290" s="72" t="s">
        <v>540</v>
      </c>
      <c r="AY2290" s="74">
        <v>0</v>
      </c>
      <c r="AZ2290" s="74">
        <v>77001407</v>
      </c>
      <c r="BA2290" s="71" t="s">
        <v>206</v>
      </c>
      <c r="BB2290" s="72">
        <v>0</v>
      </c>
      <c r="BC2290" s="75">
        <v>0</v>
      </c>
      <c r="BD2290" s="75">
        <v>0</v>
      </c>
      <c r="BE2290" s="76" t="s">
        <v>5406</v>
      </c>
      <c r="BF2290" s="76" t="s">
        <v>5407</v>
      </c>
      <c r="BG2290" s="72">
        <v>0</v>
      </c>
      <c r="BH2290" s="72">
        <v>0</v>
      </c>
      <c r="BI2290" s="72">
        <v>0</v>
      </c>
      <c r="BJ2290" s="72">
        <v>0</v>
      </c>
      <c r="BK2290" s="72">
        <v>0</v>
      </c>
      <c r="BL2290" s="72">
        <v>0</v>
      </c>
      <c r="BM2290" s="90">
        <v>0</v>
      </c>
      <c r="BN2290" s="73">
        <v>0</v>
      </c>
      <c r="BO2290" s="73">
        <v>0</v>
      </c>
      <c r="BP2290" s="73">
        <v>0</v>
      </c>
      <c r="BQ2290" s="73">
        <v>0</v>
      </c>
      <c r="BR2290" s="73">
        <v>0</v>
      </c>
      <c r="BS2290" s="73">
        <v>0</v>
      </c>
      <c r="BT2290" s="73">
        <v>0</v>
      </c>
      <c r="BU2290" s="23">
        <v>0</v>
      </c>
      <c r="BV2290" s="23"/>
      <c r="BW2290" s="23"/>
      <c r="BX2290" s="23"/>
      <c r="BY2290" s="23"/>
      <c r="BZ2290" s="23"/>
    </row>
    <row r="2291" spans="3:78" ht="19.5" customHeight="1">
      <c r="C2291" s="294">
        <v>77001501</v>
      </c>
      <c r="D2291" s="295" t="s">
        <v>5408</v>
      </c>
      <c r="E2291" s="295" t="s">
        <v>5409</v>
      </c>
      <c r="F2291" s="294">
        <v>1</v>
      </c>
      <c r="G2291" s="294">
        <v>0</v>
      </c>
      <c r="H2291" s="294">
        <v>0</v>
      </c>
      <c r="I2291" s="297">
        <v>0</v>
      </c>
      <c r="J2291" s="294">
        <v>1</v>
      </c>
      <c r="K2291" s="294">
        <v>0</v>
      </c>
      <c r="L2291" s="294">
        <v>0</v>
      </c>
      <c r="M2291" s="296">
        <v>0</v>
      </c>
      <c r="N2291" s="296">
        <v>0</v>
      </c>
      <c r="O2291" s="296">
        <v>2</v>
      </c>
      <c r="P2291" s="296">
        <v>2</v>
      </c>
      <c r="Q2291" s="296">
        <v>0.5</v>
      </c>
      <c r="R2291" s="296">
        <v>0</v>
      </c>
      <c r="S2291" s="23">
        <v>0</v>
      </c>
      <c r="T2291" s="296">
        <v>0</v>
      </c>
      <c r="U2291" s="296">
        <v>1</v>
      </c>
      <c r="V2291" s="296">
        <v>2</v>
      </c>
      <c r="W2291" s="296">
        <v>0</v>
      </c>
      <c r="X2291" s="296">
        <v>2</v>
      </c>
      <c r="Y2291" s="19">
        <v>0</v>
      </c>
      <c r="Z2291" s="296">
        <v>0</v>
      </c>
      <c r="AA2291" s="296">
        <v>1</v>
      </c>
      <c r="AB2291" s="296">
        <v>0</v>
      </c>
      <c r="AC2291" s="296">
        <v>0</v>
      </c>
      <c r="AD2291" s="296">
        <v>0</v>
      </c>
      <c r="AE2291" s="296">
        <v>1</v>
      </c>
      <c r="AF2291" s="296">
        <v>30</v>
      </c>
      <c r="AG2291" s="296">
        <v>1</v>
      </c>
      <c r="AH2291" s="296">
        <v>4</v>
      </c>
      <c r="AI2291" s="23">
        <v>0</v>
      </c>
      <c r="AJ2291" s="23">
        <v>1</v>
      </c>
      <c r="AK2291" s="23">
        <v>0</v>
      </c>
      <c r="AL2291" s="23">
        <v>3</v>
      </c>
      <c r="AM2291" s="296">
        <v>0</v>
      </c>
      <c r="AN2291" s="296">
        <v>1</v>
      </c>
      <c r="AO2291" s="296">
        <v>0</v>
      </c>
      <c r="AP2291" s="296">
        <v>1</v>
      </c>
      <c r="AQ2291" s="296">
        <v>3000</v>
      </c>
      <c r="AR2291" s="296">
        <v>1</v>
      </c>
      <c r="AS2291" s="296">
        <v>0</v>
      </c>
      <c r="AT2291" s="23">
        <v>97005001</v>
      </c>
      <c r="AU2291" s="359" t="s">
        <v>5410</v>
      </c>
      <c r="AV2291" s="301"/>
      <c r="AW2291" s="298" t="s">
        <v>293</v>
      </c>
      <c r="AX2291" s="296" t="s">
        <v>540</v>
      </c>
      <c r="AY2291" s="294">
        <v>0</v>
      </c>
      <c r="AZ2291" s="294">
        <v>77001501</v>
      </c>
      <c r="BA2291" s="295" t="s">
        <v>206</v>
      </c>
      <c r="BB2291" s="296">
        <v>0</v>
      </c>
      <c r="BC2291" s="297">
        <v>0</v>
      </c>
      <c r="BD2291" s="297">
        <v>0</v>
      </c>
      <c r="BE2291" s="299" t="s">
        <v>5411</v>
      </c>
      <c r="BF2291" s="299" t="s">
        <v>5412</v>
      </c>
      <c r="BG2291" s="296">
        <v>0</v>
      </c>
      <c r="BH2291" s="296">
        <v>0</v>
      </c>
      <c r="BI2291" s="296">
        <v>0</v>
      </c>
      <c r="BJ2291" s="296">
        <v>0</v>
      </c>
      <c r="BK2291" s="296">
        <v>0</v>
      </c>
      <c r="BL2291" s="296">
        <v>0</v>
      </c>
      <c r="BM2291" s="300">
        <v>0</v>
      </c>
      <c r="BN2291" s="23">
        <v>0</v>
      </c>
      <c r="BO2291" s="23">
        <v>0</v>
      </c>
      <c r="BP2291" s="23">
        <v>0</v>
      </c>
      <c r="BQ2291" s="23">
        <v>0</v>
      </c>
      <c r="BR2291" s="23">
        <v>0</v>
      </c>
      <c r="BS2291" s="23">
        <v>0</v>
      </c>
      <c r="BT2291" s="23">
        <v>0</v>
      </c>
      <c r="BU2291" s="23">
        <v>0</v>
      </c>
      <c r="BV2291" s="23"/>
      <c r="BW2291" s="23"/>
      <c r="BX2291" s="23"/>
      <c r="BY2291" s="23"/>
      <c r="BZ2291" s="23"/>
    </row>
    <row r="2292" spans="3:78" ht="20.100000000000001" customHeight="1">
      <c r="C2292" s="294">
        <v>77001502</v>
      </c>
      <c r="D2292" s="295" t="s">
        <v>5413</v>
      </c>
      <c r="E2292" s="295" t="s">
        <v>5414</v>
      </c>
      <c r="F2292" s="296">
        <v>1</v>
      </c>
      <c r="G2292" s="296">
        <v>0</v>
      </c>
      <c r="H2292" s="296">
        <v>0</v>
      </c>
      <c r="I2292" s="297">
        <v>0</v>
      </c>
      <c r="J2292" s="294">
        <v>1</v>
      </c>
      <c r="K2292" s="296">
        <v>0</v>
      </c>
      <c r="L2292" s="296">
        <v>0</v>
      </c>
      <c r="M2292" s="296">
        <v>0</v>
      </c>
      <c r="N2292" s="296">
        <v>0</v>
      </c>
      <c r="O2292" s="296">
        <v>2</v>
      </c>
      <c r="P2292" s="296">
        <v>3</v>
      </c>
      <c r="Q2292" s="296">
        <v>0.2</v>
      </c>
      <c r="R2292" s="296">
        <v>0</v>
      </c>
      <c r="S2292" s="23">
        <v>0</v>
      </c>
      <c r="T2292" s="296">
        <v>0</v>
      </c>
      <c r="U2292" s="296">
        <v>1</v>
      </c>
      <c r="V2292" s="296">
        <v>1</v>
      </c>
      <c r="W2292" s="296">
        <v>0</v>
      </c>
      <c r="X2292" s="296">
        <v>1</v>
      </c>
      <c r="Y2292" s="19">
        <v>0</v>
      </c>
      <c r="Z2292" s="296">
        <v>0</v>
      </c>
      <c r="AA2292" s="296">
        <v>1</v>
      </c>
      <c r="AB2292" s="296">
        <v>0</v>
      </c>
      <c r="AC2292" s="296">
        <v>0</v>
      </c>
      <c r="AD2292" s="296">
        <v>0</v>
      </c>
      <c r="AE2292" s="296">
        <v>1</v>
      </c>
      <c r="AF2292" s="296">
        <v>6</v>
      </c>
      <c r="AG2292" s="296">
        <v>1</v>
      </c>
      <c r="AH2292" s="296">
        <v>3</v>
      </c>
      <c r="AI2292" s="23">
        <v>0</v>
      </c>
      <c r="AJ2292" s="23">
        <v>1</v>
      </c>
      <c r="AK2292" s="23">
        <v>0</v>
      </c>
      <c r="AL2292" s="23">
        <v>2</v>
      </c>
      <c r="AM2292" s="296">
        <v>0</v>
      </c>
      <c r="AN2292" s="296">
        <v>0</v>
      </c>
      <c r="AO2292" s="296">
        <v>0</v>
      </c>
      <c r="AP2292" s="296">
        <v>1</v>
      </c>
      <c r="AQ2292" s="296">
        <v>1100</v>
      </c>
      <c r="AR2292" s="296">
        <v>1</v>
      </c>
      <c r="AS2292" s="296">
        <v>0</v>
      </c>
      <c r="AT2292" s="23">
        <v>0</v>
      </c>
      <c r="AU2292" s="296">
        <v>97005003</v>
      </c>
      <c r="AV2292" s="296"/>
      <c r="AW2292" s="295" t="s">
        <v>204</v>
      </c>
      <c r="AX2292" s="296" t="s">
        <v>540</v>
      </c>
      <c r="AY2292" s="294">
        <v>10000001</v>
      </c>
      <c r="AZ2292" s="294">
        <v>77001505</v>
      </c>
      <c r="BA2292" s="295" t="s">
        <v>777</v>
      </c>
      <c r="BB2292" s="296">
        <v>0</v>
      </c>
      <c r="BC2292" s="297">
        <v>0</v>
      </c>
      <c r="BD2292" s="297">
        <v>0</v>
      </c>
      <c r="BE2292" s="304" t="s">
        <v>5415</v>
      </c>
      <c r="BF2292" s="304" t="s">
        <v>5416</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77001508</v>
      </c>
      <c r="BU2292" s="23">
        <v>0</v>
      </c>
      <c r="BV2292" s="23"/>
      <c r="BW2292" s="23"/>
      <c r="BX2292" s="23"/>
      <c r="BY2292" s="23"/>
      <c r="BZ2292" s="23"/>
    </row>
    <row r="2293" spans="3:78" ht="19.5" customHeight="1">
      <c r="C2293" s="294">
        <v>77001503</v>
      </c>
      <c r="D2293" s="295" t="s">
        <v>5417</v>
      </c>
      <c r="E2293" s="295" t="s">
        <v>5418</v>
      </c>
      <c r="F2293" s="294">
        <v>1</v>
      </c>
      <c r="G2293" s="296">
        <v>0</v>
      </c>
      <c r="H2293" s="294">
        <v>0</v>
      </c>
      <c r="I2293" s="297">
        <v>0</v>
      </c>
      <c r="J2293" s="294">
        <v>1</v>
      </c>
      <c r="K2293" s="294">
        <v>0</v>
      </c>
      <c r="L2293" s="294">
        <v>0</v>
      </c>
      <c r="M2293" s="296">
        <v>0</v>
      </c>
      <c r="N2293" s="296">
        <v>0</v>
      </c>
      <c r="O2293" s="296">
        <v>2</v>
      </c>
      <c r="P2293" s="296">
        <v>1</v>
      </c>
      <c r="Q2293" s="296">
        <v>0.2</v>
      </c>
      <c r="R2293" s="296">
        <v>0</v>
      </c>
      <c r="S2293" s="23">
        <v>0</v>
      </c>
      <c r="T2293" s="296">
        <v>0</v>
      </c>
      <c r="U2293" s="296">
        <v>1</v>
      </c>
      <c r="V2293" s="296">
        <v>2</v>
      </c>
      <c r="W2293" s="296">
        <v>0</v>
      </c>
      <c r="X2293" s="296">
        <v>0.8</v>
      </c>
      <c r="Y2293" s="19">
        <v>0</v>
      </c>
      <c r="Z2293" s="296">
        <v>0</v>
      </c>
      <c r="AA2293" s="296">
        <v>1</v>
      </c>
      <c r="AB2293" s="296">
        <v>0</v>
      </c>
      <c r="AC2293" s="296">
        <v>0</v>
      </c>
      <c r="AD2293" s="296">
        <v>0</v>
      </c>
      <c r="AE2293" s="296">
        <v>0</v>
      </c>
      <c r="AF2293" s="296">
        <v>14</v>
      </c>
      <c r="AG2293" s="296">
        <v>1</v>
      </c>
      <c r="AH2293" s="296">
        <v>3</v>
      </c>
      <c r="AI2293" s="23">
        <v>1</v>
      </c>
      <c r="AJ2293" s="23">
        <v>0</v>
      </c>
      <c r="AK2293" s="23">
        <v>0</v>
      </c>
      <c r="AL2293" s="23">
        <v>0</v>
      </c>
      <c r="AM2293" s="296">
        <v>0</v>
      </c>
      <c r="AN2293" s="296">
        <v>0</v>
      </c>
      <c r="AO2293" s="296">
        <v>0</v>
      </c>
      <c r="AP2293" s="296">
        <v>0</v>
      </c>
      <c r="AQ2293" s="296">
        <v>999999</v>
      </c>
      <c r="AR2293" s="296">
        <v>0</v>
      </c>
      <c r="AS2293" s="296">
        <v>0</v>
      </c>
      <c r="AT2293" s="23">
        <v>97005004</v>
      </c>
      <c r="AU2293" s="296">
        <v>97005002</v>
      </c>
      <c r="AV2293" s="296"/>
      <c r="AW2293" s="298" t="s">
        <v>293</v>
      </c>
      <c r="AX2293" s="296" t="s">
        <v>540</v>
      </c>
      <c r="AY2293" s="294">
        <v>10000007</v>
      </c>
      <c r="AZ2293" s="294">
        <v>77001503</v>
      </c>
      <c r="BA2293" s="298" t="s">
        <v>321</v>
      </c>
      <c r="BB2293" s="298" t="s">
        <v>377</v>
      </c>
      <c r="BC2293" s="297">
        <v>0</v>
      </c>
      <c r="BD2293" s="297">
        <v>0</v>
      </c>
      <c r="BE2293" s="299" t="s">
        <v>5419</v>
      </c>
      <c r="BF2293" s="299" t="s">
        <v>5420</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0</v>
      </c>
      <c r="BU2293" s="23">
        <v>0</v>
      </c>
      <c r="BV2293" s="23"/>
      <c r="BW2293" s="23"/>
      <c r="BX2293" s="23"/>
      <c r="BY2293" s="23"/>
      <c r="BZ2293" s="23"/>
    </row>
    <row r="2294" spans="3:78" ht="20.100000000000001" customHeight="1">
      <c r="C2294" s="294">
        <v>77001504</v>
      </c>
      <c r="D2294" s="295" t="s">
        <v>5421</v>
      </c>
      <c r="E2294" s="305" t="s">
        <v>5422</v>
      </c>
      <c r="F2294" s="300">
        <v>1</v>
      </c>
      <c r="G2294" s="296">
        <v>0</v>
      </c>
      <c r="H2294" s="296">
        <v>0</v>
      </c>
      <c r="I2294" s="297">
        <v>0</v>
      </c>
      <c r="J2294" s="294">
        <v>1</v>
      </c>
      <c r="K2294" s="294">
        <v>0</v>
      </c>
      <c r="L2294" s="294">
        <v>0</v>
      </c>
      <c r="M2294" s="296">
        <v>0</v>
      </c>
      <c r="N2294" s="296">
        <v>0</v>
      </c>
      <c r="O2294" s="296">
        <v>2</v>
      </c>
      <c r="P2294" s="296">
        <v>1</v>
      </c>
      <c r="Q2294" s="296">
        <v>0.2</v>
      </c>
      <c r="R2294" s="296">
        <v>0</v>
      </c>
      <c r="S2294" s="23">
        <v>0</v>
      </c>
      <c r="T2294" s="296">
        <v>0</v>
      </c>
      <c r="U2294" s="296">
        <v>1</v>
      </c>
      <c r="V2294" s="300">
        <v>1</v>
      </c>
      <c r="W2294" s="296">
        <v>0</v>
      </c>
      <c r="X2294" s="296">
        <v>0</v>
      </c>
      <c r="Y2294" s="19">
        <v>0</v>
      </c>
      <c r="Z2294" s="296">
        <v>0</v>
      </c>
      <c r="AA2294" s="296">
        <v>1</v>
      </c>
      <c r="AB2294" s="296">
        <v>0</v>
      </c>
      <c r="AC2294" s="296">
        <v>0</v>
      </c>
      <c r="AD2294" s="296">
        <v>0</v>
      </c>
      <c r="AE2294" s="296">
        <v>1</v>
      </c>
      <c r="AF2294" s="296">
        <v>12</v>
      </c>
      <c r="AG2294" s="296">
        <v>2</v>
      </c>
      <c r="AH2294" s="296" t="s">
        <v>219</v>
      </c>
      <c r="AI2294" s="23">
        <v>0</v>
      </c>
      <c r="AJ2294" s="23">
        <v>2</v>
      </c>
      <c r="AK2294" s="23">
        <v>0</v>
      </c>
      <c r="AL2294" s="23">
        <v>1.5</v>
      </c>
      <c r="AM2294" s="296">
        <v>0</v>
      </c>
      <c r="AN2294" s="296">
        <v>0</v>
      </c>
      <c r="AO2294" s="296">
        <v>0</v>
      </c>
      <c r="AP2294" s="296">
        <v>0.5</v>
      </c>
      <c r="AQ2294" s="296">
        <v>500</v>
      </c>
      <c r="AR2294" s="296">
        <v>0</v>
      </c>
      <c r="AS2294" s="296">
        <v>18</v>
      </c>
      <c r="AT2294" s="23">
        <v>0</v>
      </c>
      <c r="AU2294" s="301">
        <v>0</v>
      </c>
      <c r="AV2294" s="301"/>
      <c r="AW2294" s="295" t="s">
        <v>293</v>
      </c>
      <c r="AX2294" s="296" t="s">
        <v>221</v>
      </c>
      <c r="AY2294" s="294">
        <v>0</v>
      </c>
      <c r="AZ2294" s="294">
        <v>0</v>
      </c>
      <c r="BA2294" s="295" t="s">
        <v>222</v>
      </c>
      <c r="BB2294" s="296">
        <v>0</v>
      </c>
      <c r="BC2294" s="297">
        <v>0</v>
      </c>
      <c r="BD2294" s="297">
        <v>0</v>
      </c>
      <c r="BE2294" s="299" t="s">
        <v>5423</v>
      </c>
      <c r="BF2294" s="299" t="s">
        <v>5424</v>
      </c>
      <c r="BG2294" s="296">
        <v>0</v>
      </c>
      <c r="BH2294" s="296">
        <v>0</v>
      </c>
      <c r="BI2294" s="296">
        <v>0</v>
      </c>
      <c r="BJ2294" s="296">
        <v>0</v>
      </c>
      <c r="BK2294" s="296">
        <v>0</v>
      </c>
      <c r="BL2294" s="296">
        <v>0</v>
      </c>
      <c r="BM2294" s="300">
        <v>0</v>
      </c>
      <c r="BN2294" s="23">
        <v>0</v>
      </c>
      <c r="BO2294" s="23">
        <v>0</v>
      </c>
      <c r="BP2294" s="23">
        <v>0</v>
      </c>
      <c r="BQ2294" s="23">
        <v>0</v>
      </c>
      <c r="BR2294" s="23">
        <v>0</v>
      </c>
      <c r="BS2294" s="23">
        <v>1</v>
      </c>
      <c r="BT2294" s="23">
        <v>77001505</v>
      </c>
      <c r="BU2294" s="23">
        <v>0</v>
      </c>
      <c r="BV2294" s="23"/>
      <c r="BW2294" s="23"/>
      <c r="BX2294" s="23"/>
      <c r="BY2294" s="23"/>
      <c r="BZ2294" s="23"/>
    </row>
    <row r="2295" spans="3:78" ht="19.5" customHeight="1">
      <c r="C2295" s="294">
        <v>77001505</v>
      </c>
      <c r="D2295" s="295" t="s">
        <v>5425</v>
      </c>
      <c r="E2295" s="295" t="s">
        <v>1272</v>
      </c>
      <c r="F2295" s="294">
        <v>1</v>
      </c>
      <c r="G2295" s="296">
        <v>0</v>
      </c>
      <c r="H2295" s="294">
        <v>0</v>
      </c>
      <c r="I2295" s="297">
        <v>0</v>
      </c>
      <c r="J2295" s="294">
        <v>1</v>
      </c>
      <c r="K2295" s="294">
        <v>0</v>
      </c>
      <c r="L2295" s="294">
        <v>0</v>
      </c>
      <c r="M2295" s="296">
        <v>0</v>
      </c>
      <c r="N2295" s="296">
        <v>0</v>
      </c>
      <c r="O2295" s="296">
        <v>2</v>
      </c>
      <c r="P2295" s="296">
        <v>16</v>
      </c>
      <c r="Q2295" s="296">
        <v>5</v>
      </c>
      <c r="R2295" s="296">
        <v>0</v>
      </c>
      <c r="S2295" s="23">
        <v>0</v>
      </c>
      <c r="T2295" s="296">
        <v>0</v>
      </c>
      <c r="U2295" s="296">
        <v>1</v>
      </c>
      <c r="V2295" s="296">
        <v>2</v>
      </c>
      <c r="W2295" s="296">
        <v>0</v>
      </c>
      <c r="X2295" s="296">
        <v>2</v>
      </c>
      <c r="Y2295" s="19">
        <v>0</v>
      </c>
      <c r="Z2295" s="296">
        <v>0</v>
      </c>
      <c r="AA2295" s="296">
        <v>0</v>
      </c>
      <c r="AB2295" s="296">
        <v>0</v>
      </c>
      <c r="AC2295" s="296">
        <v>0</v>
      </c>
      <c r="AD2295" s="296">
        <v>0</v>
      </c>
      <c r="AE2295" s="296">
        <v>1</v>
      </c>
      <c r="AF2295" s="296">
        <v>0</v>
      </c>
      <c r="AG2295" s="296">
        <v>1</v>
      </c>
      <c r="AH2295" s="296" t="s">
        <v>5426</v>
      </c>
      <c r="AI2295" s="23">
        <v>0</v>
      </c>
      <c r="AJ2295" s="23">
        <v>2</v>
      </c>
      <c r="AK2295" s="23">
        <v>0</v>
      </c>
      <c r="AL2295" s="23">
        <v>2</v>
      </c>
      <c r="AM2295" s="296">
        <v>0</v>
      </c>
      <c r="AN2295" s="296">
        <v>0</v>
      </c>
      <c r="AO2295" s="296">
        <v>0</v>
      </c>
      <c r="AP2295" s="296">
        <v>0.5</v>
      </c>
      <c r="AQ2295" s="296">
        <v>1000</v>
      </c>
      <c r="AR2295" s="296">
        <v>0.5</v>
      </c>
      <c r="AS2295" s="296">
        <v>0</v>
      </c>
      <c r="AT2295" s="302">
        <v>0</v>
      </c>
      <c r="AU2295" s="359" t="s">
        <v>5427</v>
      </c>
      <c r="AV2295" s="301"/>
      <c r="AW2295" s="295" t="s">
        <v>205</v>
      </c>
      <c r="AX2295" s="296" t="s">
        <v>540</v>
      </c>
      <c r="AY2295" s="294">
        <v>10000007</v>
      </c>
      <c r="AZ2295" s="360" t="s">
        <v>5428</v>
      </c>
      <c r="BA2295" s="295" t="s">
        <v>206</v>
      </c>
      <c r="BB2295" s="296">
        <v>0</v>
      </c>
      <c r="BC2295" s="297">
        <v>0</v>
      </c>
      <c r="BD2295" s="297">
        <v>1</v>
      </c>
      <c r="BE2295" s="299" t="s">
        <v>1312</v>
      </c>
      <c r="BF2295" s="299" t="s">
        <v>1313</v>
      </c>
      <c r="BG2295" s="296">
        <v>0</v>
      </c>
      <c r="BH2295" s="296">
        <v>0</v>
      </c>
      <c r="BI2295" s="296">
        <v>0</v>
      </c>
      <c r="BJ2295" s="296">
        <v>0</v>
      </c>
      <c r="BK2295" s="296">
        <v>0</v>
      </c>
      <c r="BL2295" s="296">
        <v>0</v>
      </c>
      <c r="BM2295" s="300">
        <v>0</v>
      </c>
      <c r="BN2295" s="23">
        <v>0</v>
      </c>
      <c r="BO2295" s="23">
        <v>0</v>
      </c>
      <c r="BP2295" s="23">
        <v>0</v>
      </c>
      <c r="BQ2295" s="23">
        <v>0</v>
      </c>
      <c r="BR2295" s="23">
        <v>0</v>
      </c>
      <c r="BS2295" s="23">
        <v>0</v>
      </c>
      <c r="BT2295" s="23">
        <v>77001508</v>
      </c>
      <c r="BU2295" s="23">
        <v>0</v>
      </c>
      <c r="BV2295" s="23"/>
      <c r="BW2295" s="23"/>
      <c r="BX2295" s="23"/>
      <c r="BY2295" s="23"/>
      <c r="BZ2295" s="23"/>
    </row>
    <row r="2296" spans="3:78" ht="19.5" customHeight="1">
      <c r="C2296" s="294">
        <v>77001506</v>
      </c>
      <c r="D2296" s="295" t="s">
        <v>5429</v>
      </c>
      <c r="E2296" s="295" t="s">
        <v>5430</v>
      </c>
      <c r="F2296" s="294">
        <v>1</v>
      </c>
      <c r="G2296" s="294">
        <v>0</v>
      </c>
      <c r="H2296" s="294">
        <v>0</v>
      </c>
      <c r="I2296" s="297">
        <v>0</v>
      </c>
      <c r="J2296" s="294">
        <v>1</v>
      </c>
      <c r="K2296" s="294">
        <v>0</v>
      </c>
      <c r="L2296" s="294">
        <v>0</v>
      </c>
      <c r="M2296" s="296">
        <v>0</v>
      </c>
      <c r="N2296" s="296">
        <v>0</v>
      </c>
      <c r="O2296" s="296">
        <v>2</v>
      </c>
      <c r="P2296" s="296">
        <v>2</v>
      </c>
      <c r="Q2296" s="296">
        <v>0.3</v>
      </c>
      <c r="R2296" s="296">
        <v>1</v>
      </c>
      <c r="S2296" s="23">
        <v>0</v>
      </c>
      <c r="T2296" s="296">
        <v>0</v>
      </c>
      <c r="U2296" s="296">
        <v>1</v>
      </c>
      <c r="V2296" s="296">
        <v>2</v>
      </c>
      <c r="W2296" s="296">
        <v>0</v>
      </c>
      <c r="X2296" s="296">
        <v>2.5</v>
      </c>
      <c r="Y2296" s="19">
        <v>0</v>
      </c>
      <c r="Z2296" s="296">
        <v>0</v>
      </c>
      <c r="AA2296" s="296">
        <v>1</v>
      </c>
      <c r="AB2296" s="296">
        <v>0</v>
      </c>
      <c r="AC2296" s="296">
        <v>0</v>
      </c>
      <c r="AD2296" s="296">
        <v>1</v>
      </c>
      <c r="AE2296" s="296">
        <v>0</v>
      </c>
      <c r="AF2296" s="296">
        <v>0</v>
      </c>
      <c r="AG2296" s="296">
        <v>1</v>
      </c>
      <c r="AH2296" s="296">
        <v>5</v>
      </c>
      <c r="AI2296" s="23">
        <v>0</v>
      </c>
      <c r="AJ2296" s="23">
        <v>1</v>
      </c>
      <c r="AK2296" s="23">
        <v>0</v>
      </c>
      <c r="AL2296" s="23">
        <v>1.5</v>
      </c>
      <c r="AM2296" s="296">
        <v>0</v>
      </c>
      <c r="AN2296" s="296">
        <v>0</v>
      </c>
      <c r="AO2296" s="296">
        <v>0</v>
      </c>
      <c r="AP2296" s="296">
        <v>1.5</v>
      </c>
      <c r="AQ2296" s="296">
        <v>2000</v>
      </c>
      <c r="AR2296" s="296">
        <v>1.5</v>
      </c>
      <c r="AS2296" s="296">
        <v>0</v>
      </c>
      <c r="AT2296" s="23">
        <v>97005007</v>
      </c>
      <c r="AU2296" s="359" t="s">
        <v>5427</v>
      </c>
      <c r="AV2296" s="301"/>
      <c r="AW2296" s="298" t="s">
        <v>623</v>
      </c>
      <c r="AX2296" s="296" t="s">
        <v>540</v>
      </c>
      <c r="AY2296" s="294">
        <v>0</v>
      </c>
      <c r="AZ2296" s="294">
        <v>77001506</v>
      </c>
      <c r="BA2296" s="295" t="s">
        <v>206</v>
      </c>
      <c r="BB2296" s="296">
        <v>0</v>
      </c>
      <c r="BC2296" s="297">
        <v>0</v>
      </c>
      <c r="BD2296" s="297">
        <v>0</v>
      </c>
      <c r="BE2296" s="299" t="s">
        <v>5431</v>
      </c>
      <c r="BF2296" s="299" t="s">
        <v>5432</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0</v>
      </c>
      <c r="BU2296" s="23">
        <v>0</v>
      </c>
      <c r="BV2296" s="23"/>
      <c r="BW2296" s="23"/>
      <c r="BX2296" s="23"/>
      <c r="BY2296" s="23"/>
      <c r="BZ2296" s="23"/>
    </row>
    <row r="2297" spans="3:78" ht="19.5" customHeight="1">
      <c r="C2297" s="294">
        <v>77001507</v>
      </c>
      <c r="D2297" s="295" t="s">
        <v>5433</v>
      </c>
      <c r="E2297" s="295" t="s">
        <v>5434</v>
      </c>
      <c r="F2297" s="294">
        <v>1</v>
      </c>
      <c r="G2297" s="294">
        <v>0</v>
      </c>
      <c r="H2297" s="294">
        <v>0</v>
      </c>
      <c r="I2297" s="297">
        <v>0</v>
      </c>
      <c r="J2297" s="294">
        <v>1</v>
      </c>
      <c r="K2297" s="294">
        <v>0</v>
      </c>
      <c r="L2297" s="294">
        <v>0</v>
      </c>
      <c r="M2297" s="296">
        <v>0</v>
      </c>
      <c r="N2297" s="296">
        <v>0</v>
      </c>
      <c r="O2297" s="296">
        <v>2</v>
      </c>
      <c r="P2297" s="296">
        <v>3</v>
      </c>
      <c r="Q2297" s="296">
        <v>0.2</v>
      </c>
      <c r="R2297" s="296">
        <v>0</v>
      </c>
      <c r="S2297" s="23">
        <v>1</v>
      </c>
      <c r="T2297" s="296">
        <v>0</v>
      </c>
      <c r="U2297" s="296">
        <v>1</v>
      </c>
      <c r="V2297" s="296">
        <v>2</v>
      </c>
      <c r="W2297" s="296">
        <v>0</v>
      </c>
      <c r="X2297" s="296">
        <v>2</v>
      </c>
      <c r="Y2297" s="19">
        <v>0</v>
      </c>
      <c r="Z2297" s="296">
        <v>0</v>
      </c>
      <c r="AA2297" s="296">
        <v>1</v>
      </c>
      <c r="AB2297" s="296">
        <v>0</v>
      </c>
      <c r="AC2297" s="296">
        <v>0</v>
      </c>
      <c r="AD2297" s="296">
        <v>1</v>
      </c>
      <c r="AE2297" s="296">
        <v>1</v>
      </c>
      <c r="AF2297" s="296">
        <v>0</v>
      </c>
      <c r="AG2297" s="296">
        <v>1</v>
      </c>
      <c r="AH2297" s="296">
        <v>3</v>
      </c>
      <c r="AI2297" s="23">
        <v>0</v>
      </c>
      <c r="AJ2297" s="23">
        <v>1</v>
      </c>
      <c r="AK2297" s="23">
        <v>0</v>
      </c>
      <c r="AL2297" s="23">
        <v>3</v>
      </c>
      <c r="AM2297" s="296">
        <v>0</v>
      </c>
      <c r="AN2297" s="296">
        <v>0</v>
      </c>
      <c r="AO2297" s="296">
        <v>0</v>
      </c>
      <c r="AP2297" s="296">
        <v>0</v>
      </c>
      <c r="AQ2297" s="296">
        <v>500</v>
      </c>
      <c r="AR2297" s="296">
        <v>0.3</v>
      </c>
      <c r="AS2297" s="296">
        <v>0</v>
      </c>
      <c r="AT2297" s="23">
        <v>0</v>
      </c>
      <c r="AU2297" s="301">
        <v>0</v>
      </c>
      <c r="AV2297" s="301"/>
      <c r="AW2297" s="298" t="s">
        <v>204</v>
      </c>
      <c r="AX2297" s="296" t="s">
        <v>540</v>
      </c>
      <c r="AY2297" s="294">
        <v>0</v>
      </c>
      <c r="AZ2297" s="294">
        <v>77001507</v>
      </c>
      <c r="BA2297" s="295" t="s">
        <v>206</v>
      </c>
      <c r="BB2297" s="296">
        <v>0</v>
      </c>
      <c r="BC2297" s="297">
        <v>0</v>
      </c>
      <c r="BD2297" s="297">
        <v>0</v>
      </c>
      <c r="BE2297" s="299" t="s">
        <v>2405</v>
      </c>
      <c r="BF2297" s="299" t="s">
        <v>2406</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77001508</v>
      </c>
      <c r="D2298" s="295" t="s">
        <v>568</v>
      </c>
      <c r="E2298" s="295" t="s">
        <v>569</v>
      </c>
      <c r="F2298" s="294">
        <v>1</v>
      </c>
      <c r="G2298" s="296">
        <v>0</v>
      </c>
      <c r="H2298" s="294">
        <v>0</v>
      </c>
      <c r="I2298" s="297">
        <v>0</v>
      </c>
      <c r="J2298" s="294">
        <v>1</v>
      </c>
      <c r="K2298" s="294">
        <v>0</v>
      </c>
      <c r="L2298" s="294">
        <v>0</v>
      </c>
      <c r="M2298" s="296">
        <v>0</v>
      </c>
      <c r="N2298" s="296">
        <v>0</v>
      </c>
      <c r="O2298" s="296">
        <v>2</v>
      </c>
      <c r="P2298" s="296">
        <v>1</v>
      </c>
      <c r="Q2298" s="296">
        <v>1</v>
      </c>
      <c r="R2298" s="296">
        <v>0</v>
      </c>
      <c r="S2298" s="23">
        <v>0</v>
      </c>
      <c r="T2298" s="296">
        <v>0</v>
      </c>
      <c r="U2298" s="296">
        <v>1</v>
      </c>
      <c r="V2298" s="296">
        <v>2</v>
      </c>
      <c r="W2298" s="296">
        <v>0</v>
      </c>
      <c r="X2298" s="296">
        <v>0.5</v>
      </c>
      <c r="Y2298" s="19">
        <v>0</v>
      </c>
      <c r="Z2298" s="296">
        <v>0</v>
      </c>
      <c r="AA2298" s="296">
        <v>1</v>
      </c>
      <c r="AB2298" s="296">
        <v>0</v>
      </c>
      <c r="AC2298" s="296">
        <v>0</v>
      </c>
      <c r="AD2298" s="296">
        <v>0</v>
      </c>
      <c r="AE2298" s="296">
        <v>0</v>
      </c>
      <c r="AF2298" s="296">
        <v>25</v>
      </c>
      <c r="AG2298" s="296">
        <v>1</v>
      </c>
      <c r="AH2298" s="296">
        <v>3</v>
      </c>
      <c r="AI2298" s="23">
        <v>0</v>
      </c>
      <c r="AJ2298" s="23">
        <v>0</v>
      </c>
      <c r="AK2298" s="23">
        <v>0</v>
      </c>
      <c r="AL2298" s="23">
        <v>0</v>
      </c>
      <c r="AM2298" s="296">
        <v>0</v>
      </c>
      <c r="AN2298" s="296">
        <v>0</v>
      </c>
      <c r="AO2298" s="296">
        <v>0</v>
      </c>
      <c r="AP2298" s="296">
        <v>0</v>
      </c>
      <c r="AQ2298" s="296">
        <v>300000</v>
      </c>
      <c r="AR2298" s="296">
        <v>0</v>
      </c>
      <c r="AS2298" s="296">
        <v>0</v>
      </c>
      <c r="AT2298" s="361" t="s">
        <v>5435</v>
      </c>
      <c r="AU2298" s="296">
        <v>97005002</v>
      </c>
      <c r="AV2298" s="296"/>
      <c r="AW2298" s="298" t="s">
        <v>204</v>
      </c>
      <c r="AX2298" s="296" t="s">
        <v>540</v>
      </c>
      <c r="AY2298" s="294">
        <v>10000007</v>
      </c>
      <c r="AZ2298" s="294">
        <v>77001503</v>
      </c>
      <c r="BA2298" s="298" t="s">
        <v>321</v>
      </c>
      <c r="BB2298" s="298" t="s">
        <v>377</v>
      </c>
      <c r="BC2298" s="297">
        <v>0</v>
      </c>
      <c r="BD2298" s="297">
        <v>0</v>
      </c>
      <c r="BE2298" s="299" t="s">
        <v>1232</v>
      </c>
      <c r="BF2298" s="299" t="s">
        <v>1233</v>
      </c>
      <c r="BG2298" s="296">
        <v>0</v>
      </c>
      <c r="BH2298" s="296">
        <v>0</v>
      </c>
      <c r="BI2298" s="296">
        <v>0</v>
      </c>
      <c r="BJ2298" s="296">
        <v>0</v>
      </c>
      <c r="BK2298" s="296">
        <v>0</v>
      </c>
      <c r="BL2298" s="296">
        <v>0</v>
      </c>
      <c r="BM2298" s="300">
        <v>0</v>
      </c>
      <c r="BN2298" s="23">
        <v>0</v>
      </c>
      <c r="BO2298" s="23">
        <v>0</v>
      </c>
      <c r="BP2298" s="23">
        <v>0</v>
      </c>
      <c r="BQ2298" s="23">
        <v>0</v>
      </c>
      <c r="BR2298" s="23">
        <v>0</v>
      </c>
      <c r="BS2298" s="23">
        <v>1</v>
      </c>
      <c r="BT2298" s="23">
        <v>0</v>
      </c>
      <c r="BU2298" s="23">
        <v>0</v>
      </c>
      <c r="BV2298" s="23"/>
      <c r="BW2298" s="23"/>
      <c r="BX2298" s="23"/>
      <c r="BY2298" s="23"/>
      <c r="BZ2298" s="23"/>
    </row>
    <row r="2299" spans="3:78" ht="20.100000000000001" customHeight="1">
      <c r="C2299" s="107">
        <v>77001601</v>
      </c>
      <c r="D2299" s="110" t="s">
        <v>5436</v>
      </c>
      <c r="E2299" s="110" t="s">
        <v>5437</v>
      </c>
      <c r="F2299" s="100">
        <v>1</v>
      </c>
      <c r="G2299" s="100">
        <v>0</v>
      </c>
      <c r="H2299" s="107">
        <v>0</v>
      </c>
      <c r="I2299" s="105">
        <v>0</v>
      </c>
      <c r="J2299" s="107">
        <v>1</v>
      </c>
      <c r="K2299" s="107">
        <v>0</v>
      </c>
      <c r="L2299" s="107">
        <v>0</v>
      </c>
      <c r="M2299" s="100">
        <v>0</v>
      </c>
      <c r="N2299" s="100">
        <v>0</v>
      </c>
      <c r="O2299" s="100">
        <v>2</v>
      </c>
      <c r="P2299" s="100">
        <v>16</v>
      </c>
      <c r="Q2299" s="100">
        <v>8</v>
      </c>
      <c r="R2299" s="100">
        <v>0</v>
      </c>
      <c r="S2299" s="99">
        <v>3</v>
      </c>
      <c r="T2299" s="100">
        <v>0</v>
      </c>
      <c r="U2299" s="100">
        <v>1</v>
      </c>
      <c r="V2299" s="100">
        <v>2</v>
      </c>
      <c r="W2299" s="100">
        <v>0</v>
      </c>
      <c r="X2299" s="100">
        <v>1.2</v>
      </c>
      <c r="Y2299" s="19">
        <v>0</v>
      </c>
      <c r="Z2299" s="100">
        <v>0</v>
      </c>
      <c r="AA2299" s="100">
        <v>0</v>
      </c>
      <c r="AB2299" s="100">
        <v>0</v>
      </c>
      <c r="AC2299" s="100">
        <v>0</v>
      </c>
      <c r="AD2299" s="100">
        <v>0</v>
      </c>
      <c r="AE2299" s="100">
        <v>0</v>
      </c>
      <c r="AF2299" s="100">
        <v>0</v>
      </c>
      <c r="AG2299" s="100">
        <v>1</v>
      </c>
      <c r="AH2299" s="100">
        <v>3</v>
      </c>
      <c r="AI2299" s="99">
        <v>6</v>
      </c>
      <c r="AJ2299" s="99">
        <v>1</v>
      </c>
      <c r="AK2299" s="99">
        <v>0</v>
      </c>
      <c r="AL2299" s="99">
        <v>1.5</v>
      </c>
      <c r="AM2299" s="100">
        <v>0</v>
      </c>
      <c r="AN2299" s="100">
        <v>0</v>
      </c>
      <c r="AO2299" s="100">
        <v>0</v>
      </c>
      <c r="AP2299" s="100">
        <v>1</v>
      </c>
      <c r="AQ2299" s="100">
        <v>5000</v>
      </c>
      <c r="AR2299" s="100">
        <v>1</v>
      </c>
      <c r="AS2299" s="100">
        <v>0</v>
      </c>
      <c r="AT2299" s="99">
        <v>0</v>
      </c>
      <c r="AU2299" s="327" t="s">
        <v>5438</v>
      </c>
      <c r="AV2299" s="118"/>
      <c r="AW2299" s="104" t="s">
        <v>262</v>
      </c>
      <c r="AX2299" s="100" t="s">
        <v>540</v>
      </c>
      <c r="AY2299" s="107">
        <v>10000007</v>
      </c>
      <c r="AZ2299" s="325" t="s">
        <v>5439</v>
      </c>
      <c r="BA2299" s="110" t="s">
        <v>206</v>
      </c>
      <c r="BB2299" s="100" t="s">
        <v>5440</v>
      </c>
      <c r="BC2299" s="105">
        <v>0</v>
      </c>
      <c r="BD2299" s="105">
        <v>0</v>
      </c>
      <c r="BE2299" s="111" t="s">
        <v>5441</v>
      </c>
      <c r="BF2299" s="111" t="s">
        <v>5442</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77001602</v>
      </c>
      <c r="D2300" s="119" t="s">
        <v>820</v>
      </c>
      <c r="E2300" s="119" t="s">
        <v>821</v>
      </c>
      <c r="F2300" s="97">
        <v>1</v>
      </c>
      <c r="G2300" s="97">
        <v>0</v>
      </c>
      <c r="H2300" s="97">
        <v>0</v>
      </c>
      <c r="I2300" s="98">
        <v>0</v>
      </c>
      <c r="J2300" s="107">
        <v>1</v>
      </c>
      <c r="K2300" s="97">
        <v>0</v>
      </c>
      <c r="L2300" s="98">
        <v>0</v>
      </c>
      <c r="M2300" s="98">
        <v>0</v>
      </c>
      <c r="N2300" s="97">
        <v>0</v>
      </c>
      <c r="O2300" s="100">
        <v>2</v>
      </c>
      <c r="P2300" s="100">
        <v>2</v>
      </c>
      <c r="Q2300" s="97">
        <v>0.8</v>
      </c>
      <c r="R2300" s="97">
        <v>0</v>
      </c>
      <c r="S2300" s="99">
        <v>0</v>
      </c>
      <c r="T2300" s="97">
        <v>0</v>
      </c>
      <c r="U2300" s="100">
        <v>1</v>
      </c>
      <c r="V2300" s="97">
        <v>1</v>
      </c>
      <c r="W2300" s="98">
        <v>0</v>
      </c>
      <c r="X2300" s="97">
        <v>2</v>
      </c>
      <c r="Y2300" s="19">
        <v>0</v>
      </c>
      <c r="Z2300" s="97">
        <v>0</v>
      </c>
      <c r="AA2300" s="97">
        <v>0</v>
      </c>
      <c r="AB2300" s="97">
        <v>0</v>
      </c>
      <c r="AC2300" s="98">
        <v>0</v>
      </c>
      <c r="AD2300" s="97">
        <v>0</v>
      </c>
      <c r="AE2300" s="97">
        <v>0</v>
      </c>
      <c r="AF2300" s="97">
        <v>0</v>
      </c>
      <c r="AG2300" s="97">
        <v>1</v>
      </c>
      <c r="AH2300" s="100">
        <v>2</v>
      </c>
      <c r="AI2300" s="101">
        <v>0</v>
      </c>
      <c r="AJ2300" s="101">
        <v>2</v>
      </c>
      <c r="AK2300" s="99">
        <v>0</v>
      </c>
      <c r="AL2300" s="97">
        <v>1.5</v>
      </c>
      <c r="AM2300" s="102">
        <v>0</v>
      </c>
      <c r="AN2300" s="97">
        <v>0</v>
      </c>
      <c r="AO2300" s="97">
        <v>0</v>
      </c>
      <c r="AP2300" s="97">
        <v>0</v>
      </c>
      <c r="AQ2300" s="100">
        <v>7000</v>
      </c>
      <c r="AR2300" s="97">
        <v>0</v>
      </c>
      <c r="AS2300" s="97">
        <v>10</v>
      </c>
      <c r="AT2300" s="99">
        <v>0</v>
      </c>
      <c r="AU2300" s="100">
        <v>0</v>
      </c>
      <c r="AV2300" s="100"/>
      <c r="AW2300" s="104" t="s">
        <v>293</v>
      </c>
      <c r="AX2300" s="98">
        <v>0</v>
      </c>
      <c r="AY2300" s="98">
        <v>0</v>
      </c>
      <c r="AZ2300" s="107">
        <v>77001602</v>
      </c>
      <c r="BA2300" s="104" t="s">
        <v>592</v>
      </c>
      <c r="BB2300" s="100" t="s">
        <v>5443</v>
      </c>
      <c r="BC2300" s="105">
        <v>0</v>
      </c>
      <c r="BD2300" s="105">
        <v>0</v>
      </c>
      <c r="BE2300" s="111" t="s">
        <v>5444</v>
      </c>
      <c r="BF2300" s="120" t="s">
        <v>5445</v>
      </c>
      <c r="BG2300" s="97">
        <v>2</v>
      </c>
      <c r="BH2300" s="97">
        <v>0</v>
      </c>
      <c r="BI2300" s="107">
        <v>0</v>
      </c>
      <c r="BJ2300" s="97">
        <v>1</v>
      </c>
      <c r="BK2300" s="97">
        <v>2</v>
      </c>
      <c r="BL2300" s="102">
        <v>0</v>
      </c>
      <c r="BM2300" s="97">
        <v>0</v>
      </c>
      <c r="BN2300" s="99">
        <v>0</v>
      </c>
      <c r="BO2300" s="99">
        <v>0</v>
      </c>
      <c r="BP2300" s="99">
        <v>0</v>
      </c>
      <c r="BQ2300" s="99">
        <v>0</v>
      </c>
      <c r="BR2300" s="99">
        <v>0</v>
      </c>
      <c r="BS2300" s="99">
        <v>1</v>
      </c>
      <c r="BT2300" s="99">
        <v>0</v>
      </c>
      <c r="BU2300" s="23">
        <v>0</v>
      </c>
      <c r="BV2300" s="23"/>
      <c r="BW2300" s="23"/>
      <c r="BX2300" s="23"/>
      <c r="BY2300" s="23"/>
      <c r="BZ2300" s="23"/>
    </row>
    <row r="2301" spans="3:78" ht="19.5" customHeight="1">
      <c r="C2301" s="107">
        <v>77001603</v>
      </c>
      <c r="D2301" s="110" t="s">
        <v>5446</v>
      </c>
      <c r="E2301" s="110" t="s">
        <v>5447</v>
      </c>
      <c r="F2301" s="107">
        <v>1</v>
      </c>
      <c r="G2301" s="100">
        <v>0</v>
      </c>
      <c r="H2301" s="107">
        <v>0</v>
      </c>
      <c r="I2301" s="105">
        <v>0</v>
      </c>
      <c r="J2301" s="107">
        <v>1</v>
      </c>
      <c r="K2301" s="107">
        <v>0</v>
      </c>
      <c r="L2301" s="107">
        <v>0</v>
      </c>
      <c r="M2301" s="100">
        <v>0</v>
      </c>
      <c r="N2301" s="100">
        <v>0</v>
      </c>
      <c r="O2301" s="100">
        <v>2</v>
      </c>
      <c r="P2301" s="100">
        <v>2</v>
      </c>
      <c r="Q2301" s="100">
        <v>0.6</v>
      </c>
      <c r="R2301" s="100">
        <v>0</v>
      </c>
      <c r="S2301" s="99">
        <v>0</v>
      </c>
      <c r="T2301" s="100">
        <v>0</v>
      </c>
      <c r="U2301" s="100">
        <v>1</v>
      </c>
      <c r="V2301" s="100">
        <v>2</v>
      </c>
      <c r="W2301" s="100">
        <v>0</v>
      </c>
      <c r="X2301" s="100">
        <v>0.8</v>
      </c>
      <c r="Y2301" s="19">
        <v>0</v>
      </c>
      <c r="Z2301" s="100">
        <v>0</v>
      </c>
      <c r="AA2301" s="100">
        <v>1</v>
      </c>
      <c r="AB2301" s="100">
        <v>0</v>
      </c>
      <c r="AC2301" s="100">
        <v>0</v>
      </c>
      <c r="AD2301" s="100">
        <v>0</v>
      </c>
      <c r="AE2301" s="100">
        <v>0</v>
      </c>
      <c r="AF2301" s="100">
        <v>16</v>
      </c>
      <c r="AG2301" s="100">
        <v>1</v>
      </c>
      <c r="AH2301" s="100">
        <v>5</v>
      </c>
      <c r="AI2301" s="99">
        <v>0</v>
      </c>
      <c r="AJ2301" s="99">
        <v>0</v>
      </c>
      <c r="AK2301" s="99">
        <v>0</v>
      </c>
      <c r="AL2301" s="99">
        <v>0</v>
      </c>
      <c r="AM2301" s="100">
        <v>0</v>
      </c>
      <c r="AN2301" s="100">
        <v>0</v>
      </c>
      <c r="AO2301" s="100">
        <v>0</v>
      </c>
      <c r="AP2301" s="100">
        <v>0.8</v>
      </c>
      <c r="AQ2301" s="100">
        <v>15000</v>
      </c>
      <c r="AR2301" s="100">
        <v>0.8</v>
      </c>
      <c r="AS2301" s="100">
        <v>0</v>
      </c>
      <c r="AT2301" s="117">
        <v>0</v>
      </c>
      <c r="AU2301" s="327" t="s">
        <v>5448</v>
      </c>
      <c r="AV2301" s="118"/>
      <c r="AW2301" s="104" t="s">
        <v>205</v>
      </c>
      <c r="AX2301" s="100" t="s">
        <v>540</v>
      </c>
      <c r="AY2301" s="107">
        <v>10000007</v>
      </c>
      <c r="AZ2301" s="107">
        <v>77001603</v>
      </c>
      <c r="BA2301" s="104" t="s">
        <v>321</v>
      </c>
      <c r="BB2301" s="104" t="s">
        <v>377</v>
      </c>
      <c r="BC2301" s="105">
        <v>0</v>
      </c>
      <c r="BD2301" s="105">
        <v>0</v>
      </c>
      <c r="BE2301" s="111" t="s">
        <v>5449</v>
      </c>
      <c r="BF2301" s="111" t="s">
        <v>5450</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3:78" ht="20.100000000000001" customHeight="1">
      <c r="C2302" s="107">
        <v>77001604</v>
      </c>
      <c r="D2302" s="110" t="s">
        <v>5451</v>
      </c>
      <c r="E2302" s="110" t="s">
        <v>5452</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1.5</v>
      </c>
      <c r="Y2302" s="19">
        <v>0</v>
      </c>
      <c r="Z2302" s="100">
        <v>0</v>
      </c>
      <c r="AA2302" s="100">
        <v>1</v>
      </c>
      <c r="AB2302" s="100">
        <v>0</v>
      </c>
      <c r="AC2302" s="100">
        <v>0</v>
      </c>
      <c r="AD2302" s="100">
        <v>0</v>
      </c>
      <c r="AE2302" s="100">
        <v>1</v>
      </c>
      <c r="AF2302" s="100">
        <v>8</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5453</v>
      </c>
      <c r="BF2302" s="136" t="s">
        <v>5454</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77001603</v>
      </c>
      <c r="BU2302" s="23">
        <v>0</v>
      </c>
      <c r="BV2302" s="23"/>
      <c r="BW2302" s="23"/>
      <c r="BX2302" s="23"/>
      <c r="BY2302" s="23"/>
      <c r="BZ2302" s="23"/>
    </row>
    <row r="2303" spans="3:78" ht="20.100000000000001" customHeight="1">
      <c r="C2303" s="107">
        <v>77001605</v>
      </c>
      <c r="D2303" s="110" t="s">
        <v>5455</v>
      </c>
      <c r="E2303" s="303" t="s">
        <v>5456</v>
      </c>
      <c r="F2303" s="97">
        <v>1</v>
      </c>
      <c r="G2303" s="97">
        <v>0</v>
      </c>
      <c r="H2303" s="100">
        <v>0</v>
      </c>
      <c r="I2303" s="105">
        <v>0</v>
      </c>
      <c r="J2303" s="107">
        <v>1</v>
      </c>
      <c r="K2303" s="107">
        <v>0</v>
      </c>
      <c r="L2303" s="107">
        <v>0</v>
      </c>
      <c r="M2303" s="100">
        <v>0</v>
      </c>
      <c r="N2303" s="100">
        <v>0</v>
      </c>
      <c r="O2303" s="100">
        <v>2</v>
      </c>
      <c r="P2303" s="100">
        <v>16</v>
      </c>
      <c r="Q2303" s="100">
        <v>30</v>
      </c>
      <c r="R2303" s="100">
        <v>0</v>
      </c>
      <c r="S2303" s="99">
        <v>0</v>
      </c>
      <c r="T2303" s="100">
        <v>0</v>
      </c>
      <c r="U2303" s="100">
        <v>1</v>
      </c>
      <c r="V2303" s="97">
        <v>1</v>
      </c>
      <c r="W2303" s="100">
        <v>0</v>
      </c>
      <c r="X2303" s="100">
        <v>0</v>
      </c>
      <c r="Y2303" s="19">
        <v>0</v>
      </c>
      <c r="Z2303" s="100">
        <v>0</v>
      </c>
      <c r="AA2303" s="100">
        <v>1</v>
      </c>
      <c r="AB2303" s="100">
        <v>0</v>
      </c>
      <c r="AC2303" s="100">
        <v>0</v>
      </c>
      <c r="AD2303" s="100">
        <v>0</v>
      </c>
      <c r="AE2303" s="100">
        <v>1</v>
      </c>
      <c r="AF2303" s="100">
        <v>0</v>
      </c>
      <c r="AG2303" s="100">
        <v>1</v>
      </c>
      <c r="AH2303" s="100">
        <v>15</v>
      </c>
      <c r="AI2303" s="99">
        <v>0</v>
      </c>
      <c r="AJ2303" s="99">
        <v>1</v>
      </c>
      <c r="AK2303" s="99">
        <v>0</v>
      </c>
      <c r="AL2303" s="99">
        <v>1.5</v>
      </c>
      <c r="AM2303" s="100">
        <v>0</v>
      </c>
      <c r="AN2303" s="100">
        <v>0</v>
      </c>
      <c r="AO2303" s="100">
        <v>0</v>
      </c>
      <c r="AP2303" s="100">
        <v>1</v>
      </c>
      <c r="AQ2303" s="100">
        <v>3000</v>
      </c>
      <c r="AR2303" s="100">
        <v>0.5</v>
      </c>
      <c r="AS2303" s="100">
        <v>0</v>
      </c>
      <c r="AT2303" s="323" t="s">
        <v>5457</v>
      </c>
      <c r="AU2303" s="118">
        <v>0</v>
      </c>
      <c r="AV2303" s="118"/>
      <c r="AW2303" s="110" t="s">
        <v>293</v>
      </c>
      <c r="AX2303" s="100" t="s">
        <v>221</v>
      </c>
      <c r="AY2303" s="107">
        <v>0</v>
      </c>
      <c r="AZ2303" s="107">
        <v>0</v>
      </c>
      <c r="BA2303" s="110" t="s">
        <v>206</v>
      </c>
      <c r="BB2303" s="100">
        <v>0</v>
      </c>
      <c r="BC2303" s="105">
        <v>0</v>
      </c>
      <c r="BD2303" s="105">
        <v>0</v>
      </c>
      <c r="BE2303" s="111" t="s">
        <v>5458</v>
      </c>
      <c r="BF2303" s="111" t="s">
        <v>5459</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3:78" ht="20.100000000000001" customHeight="1">
      <c r="C2304" s="107">
        <v>77001606</v>
      </c>
      <c r="D2304" s="110" t="s">
        <v>5460</v>
      </c>
      <c r="E2304" s="110" t="s">
        <v>5461</v>
      </c>
      <c r="F2304" s="100">
        <v>1</v>
      </c>
      <c r="G2304" s="100">
        <v>0</v>
      </c>
      <c r="H2304" s="107">
        <v>0</v>
      </c>
      <c r="I2304" s="105">
        <v>0</v>
      </c>
      <c r="J2304" s="107">
        <v>1</v>
      </c>
      <c r="K2304" s="107">
        <v>0</v>
      </c>
      <c r="L2304" s="107">
        <v>0</v>
      </c>
      <c r="M2304" s="100">
        <v>0</v>
      </c>
      <c r="N2304" s="100">
        <v>0</v>
      </c>
      <c r="O2304" s="100">
        <v>2</v>
      </c>
      <c r="P2304" s="100">
        <v>1</v>
      </c>
      <c r="Q2304" s="100">
        <v>0.2</v>
      </c>
      <c r="R2304" s="100">
        <v>0</v>
      </c>
      <c r="S2304" s="99">
        <v>3</v>
      </c>
      <c r="T2304" s="100">
        <v>0</v>
      </c>
      <c r="U2304" s="100">
        <v>1</v>
      </c>
      <c r="V2304" s="100">
        <v>2</v>
      </c>
      <c r="W2304" s="100">
        <v>0</v>
      </c>
      <c r="X2304" s="100">
        <v>1</v>
      </c>
      <c r="Y2304" s="19">
        <v>0</v>
      </c>
      <c r="Z2304" s="100">
        <v>0</v>
      </c>
      <c r="AA2304" s="100">
        <v>0</v>
      </c>
      <c r="AB2304" s="100">
        <v>0</v>
      </c>
      <c r="AC2304" s="100">
        <v>0</v>
      </c>
      <c r="AD2304" s="100">
        <v>0</v>
      </c>
      <c r="AE2304" s="100">
        <v>0</v>
      </c>
      <c r="AF2304" s="100">
        <v>18</v>
      </c>
      <c r="AG2304" s="100">
        <v>1</v>
      </c>
      <c r="AH2304" s="100">
        <v>3</v>
      </c>
      <c r="AI2304" s="99">
        <v>6</v>
      </c>
      <c r="AJ2304" s="99">
        <v>1</v>
      </c>
      <c r="AK2304" s="99">
        <v>0</v>
      </c>
      <c r="AL2304" s="99">
        <v>1.5</v>
      </c>
      <c r="AM2304" s="100">
        <v>0</v>
      </c>
      <c r="AN2304" s="100">
        <v>0</v>
      </c>
      <c r="AO2304" s="100">
        <v>0</v>
      </c>
      <c r="AP2304" s="100">
        <v>1</v>
      </c>
      <c r="AQ2304" s="100">
        <v>5000</v>
      </c>
      <c r="AR2304" s="100">
        <v>1</v>
      </c>
      <c r="AS2304" s="100">
        <v>0</v>
      </c>
      <c r="AT2304" s="99">
        <v>0</v>
      </c>
      <c r="AU2304" s="327" t="s">
        <v>5462</v>
      </c>
      <c r="AV2304" s="118"/>
      <c r="AW2304" s="104" t="s">
        <v>205</v>
      </c>
      <c r="AX2304" s="100" t="s">
        <v>540</v>
      </c>
      <c r="AY2304" s="107">
        <v>10000007</v>
      </c>
      <c r="AZ2304" s="325" t="s">
        <v>5439</v>
      </c>
      <c r="BA2304" s="110" t="s">
        <v>206</v>
      </c>
      <c r="BB2304" s="100" t="s">
        <v>5463</v>
      </c>
      <c r="BC2304" s="105">
        <v>0</v>
      </c>
      <c r="BD2304" s="105">
        <v>0</v>
      </c>
      <c r="BE2304" s="111" t="s">
        <v>5464</v>
      </c>
      <c r="BF2304" s="111" t="s">
        <v>5465</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20.100000000000001" customHeight="1">
      <c r="C2305" s="107">
        <v>77001607</v>
      </c>
      <c r="D2305" s="110" t="s">
        <v>5466</v>
      </c>
      <c r="E2305" s="110" t="s">
        <v>5467</v>
      </c>
      <c r="F2305" s="100">
        <v>1</v>
      </c>
      <c r="G2305" s="100">
        <v>0</v>
      </c>
      <c r="H2305" s="100">
        <v>0</v>
      </c>
      <c r="I2305" s="105">
        <v>0</v>
      </c>
      <c r="J2305" s="107">
        <v>1</v>
      </c>
      <c r="K2305" s="100">
        <v>0</v>
      </c>
      <c r="L2305" s="100">
        <v>0</v>
      </c>
      <c r="M2305" s="100">
        <v>0</v>
      </c>
      <c r="N2305" s="100">
        <v>0</v>
      </c>
      <c r="O2305" s="100">
        <v>2</v>
      </c>
      <c r="P2305" s="100">
        <v>3</v>
      </c>
      <c r="Q2305" s="100">
        <v>0.2</v>
      </c>
      <c r="R2305" s="100">
        <v>0</v>
      </c>
      <c r="S2305" s="99">
        <v>0</v>
      </c>
      <c r="T2305" s="100">
        <v>0</v>
      </c>
      <c r="U2305" s="100">
        <v>1</v>
      </c>
      <c r="V2305" s="100">
        <v>1</v>
      </c>
      <c r="W2305" s="100">
        <v>0</v>
      </c>
      <c r="X2305" s="100">
        <v>2</v>
      </c>
      <c r="Y2305" s="19">
        <v>0</v>
      </c>
      <c r="Z2305" s="100">
        <v>0</v>
      </c>
      <c r="AA2305" s="100">
        <v>1</v>
      </c>
      <c r="AB2305" s="100">
        <v>0</v>
      </c>
      <c r="AC2305" s="100">
        <v>0</v>
      </c>
      <c r="AD2305" s="100">
        <v>0</v>
      </c>
      <c r="AE2305" s="100">
        <v>1</v>
      </c>
      <c r="AF2305" s="100">
        <v>9</v>
      </c>
      <c r="AG2305" s="100">
        <v>1</v>
      </c>
      <c r="AH2305" s="100">
        <v>4</v>
      </c>
      <c r="AI2305" s="99">
        <v>0</v>
      </c>
      <c r="AJ2305" s="99">
        <v>1</v>
      </c>
      <c r="AK2305" s="99">
        <v>0</v>
      </c>
      <c r="AL2305" s="99">
        <v>2</v>
      </c>
      <c r="AM2305" s="100">
        <v>0</v>
      </c>
      <c r="AN2305" s="100">
        <v>0</v>
      </c>
      <c r="AO2305" s="100">
        <v>0</v>
      </c>
      <c r="AP2305" s="100">
        <v>0.5</v>
      </c>
      <c r="AQ2305" s="100">
        <v>600</v>
      </c>
      <c r="AR2305" s="100">
        <v>0.5</v>
      </c>
      <c r="AS2305" s="100">
        <v>0</v>
      </c>
      <c r="AT2305" s="99">
        <v>0</v>
      </c>
      <c r="AU2305" s="100">
        <v>97006001</v>
      </c>
      <c r="AV2305" s="100"/>
      <c r="AW2305" s="110" t="s">
        <v>204</v>
      </c>
      <c r="AX2305" s="100" t="s">
        <v>540</v>
      </c>
      <c r="AY2305" s="107">
        <v>10000001</v>
      </c>
      <c r="AZ2305" s="107">
        <v>77001604</v>
      </c>
      <c r="BA2305" s="110" t="s">
        <v>777</v>
      </c>
      <c r="BB2305" s="100">
        <v>0</v>
      </c>
      <c r="BC2305" s="105">
        <v>0</v>
      </c>
      <c r="BD2305" s="105">
        <v>0</v>
      </c>
      <c r="BE2305" s="136" t="s">
        <v>5468</v>
      </c>
      <c r="BF2305" s="136" t="s">
        <v>5469</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19.5" customHeight="1">
      <c r="C2306" s="107">
        <v>77001608</v>
      </c>
      <c r="D2306" s="110" t="s">
        <v>5470</v>
      </c>
      <c r="E2306" s="110" t="s">
        <v>5471</v>
      </c>
      <c r="F2306" s="107">
        <v>1</v>
      </c>
      <c r="G2306" s="100">
        <v>0</v>
      </c>
      <c r="H2306" s="107">
        <v>0</v>
      </c>
      <c r="I2306" s="105">
        <v>0</v>
      </c>
      <c r="J2306" s="107">
        <v>1</v>
      </c>
      <c r="K2306" s="107">
        <v>0</v>
      </c>
      <c r="L2306" s="107">
        <v>0</v>
      </c>
      <c r="M2306" s="100">
        <v>0</v>
      </c>
      <c r="N2306" s="100">
        <v>0</v>
      </c>
      <c r="O2306" s="100">
        <v>2</v>
      </c>
      <c r="P2306" s="100">
        <v>2</v>
      </c>
      <c r="Q2306" s="100">
        <v>0.5</v>
      </c>
      <c r="R2306" s="100">
        <v>0</v>
      </c>
      <c r="S2306" s="99">
        <v>0</v>
      </c>
      <c r="T2306" s="100">
        <v>0</v>
      </c>
      <c r="U2306" s="100">
        <v>1</v>
      </c>
      <c r="V2306" s="100">
        <v>1</v>
      </c>
      <c r="W2306" s="100">
        <v>0</v>
      </c>
      <c r="X2306" s="100">
        <v>0</v>
      </c>
      <c r="Y2306" s="19">
        <v>0</v>
      </c>
      <c r="Z2306" s="100">
        <v>0</v>
      </c>
      <c r="AA2306" s="100">
        <v>0</v>
      </c>
      <c r="AB2306" s="100">
        <v>0</v>
      </c>
      <c r="AC2306" s="100">
        <v>0</v>
      </c>
      <c r="AD2306" s="100">
        <v>0</v>
      </c>
      <c r="AE2306" s="100">
        <v>1</v>
      </c>
      <c r="AF2306" s="100">
        <v>12</v>
      </c>
      <c r="AG2306" s="100">
        <v>1</v>
      </c>
      <c r="AH2306" s="100">
        <v>2</v>
      </c>
      <c r="AI2306" s="99">
        <v>0</v>
      </c>
      <c r="AJ2306" s="99">
        <v>1</v>
      </c>
      <c r="AK2306" s="99">
        <v>0</v>
      </c>
      <c r="AL2306" s="99">
        <v>3</v>
      </c>
      <c r="AM2306" s="100">
        <v>0</v>
      </c>
      <c r="AN2306" s="100">
        <v>0</v>
      </c>
      <c r="AO2306" s="100">
        <v>0</v>
      </c>
      <c r="AP2306" s="100">
        <v>0.3</v>
      </c>
      <c r="AQ2306" s="100">
        <v>300</v>
      </c>
      <c r="AR2306" s="100">
        <v>0</v>
      </c>
      <c r="AS2306" s="100">
        <v>0</v>
      </c>
      <c r="AT2306" s="99">
        <v>0</v>
      </c>
      <c r="AU2306" s="118">
        <v>0</v>
      </c>
      <c r="AV2306" s="118"/>
      <c r="AW2306" s="110" t="s">
        <v>204</v>
      </c>
      <c r="AX2306" s="100">
        <v>0</v>
      </c>
      <c r="AY2306" s="107">
        <v>0</v>
      </c>
      <c r="AZ2306" s="107">
        <v>0</v>
      </c>
      <c r="BA2306" s="110" t="s">
        <v>534</v>
      </c>
      <c r="BB2306" s="328" t="s">
        <v>5472</v>
      </c>
      <c r="BC2306" s="105">
        <v>0</v>
      </c>
      <c r="BD2306" s="105">
        <v>0</v>
      </c>
      <c r="BE2306" s="111" t="s">
        <v>5473</v>
      </c>
      <c r="BF2306" s="111" t="s">
        <v>5474</v>
      </c>
      <c r="BG2306" s="100">
        <v>0</v>
      </c>
      <c r="BH2306" s="100">
        <v>0</v>
      </c>
      <c r="BI2306" s="100">
        <v>0</v>
      </c>
      <c r="BJ2306" s="100">
        <v>0</v>
      </c>
      <c r="BK2306" s="100">
        <v>0</v>
      </c>
      <c r="BL2306" s="100">
        <v>0</v>
      </c>
      <c r="BM2306" s="97">
        <v>0</v>
      </c>
      <c r="BN2306" s="99">
        <v>0</v>
      </c>
      <c r="BO2306" s="99">
        <v>0</v>
      </c>
      <c r="BP2306" s="99">
        <v>0</v>
      </c>
      <c r="BQ2306" s="99">
        <v>0</v>
      </c>
      <c r="BR2306" s="99">
        <v>0</v>
      </c>
      <c r="BS2306" s="99">
        <v>1</v>
      </c>
      <c r="BT2306" s="99">
        <v>0</v>
      </c>
      <c r="BU2306" s="23">
        <v>0</v>
      </c>
      <c r="BV2306" s="23"/>
      <c r="BW2306" s="23"/>
      <c r="BX2306" s="23"/>
      <c r="BY2306" s="23"/>
      <c r="BZ2306" s="23"/>
    </row>
    <row r="2307" spans="1:78" s="2" customFormat="1" ht="19.5" customHeight="1">
      <c r="A2307" s="6"/>
      <c r="B2307" s="6"/>
      <c r="C2307" s="107">
        <v>77001609</v>
      </c>
      <c r="D2307" s="110" t="s">
        <v>5475</v>
      </c>
      <c r="E2307" s="110" t="s">
        <v>5476</v>
      </c>
      <c r="F2307" s="107">
        <v>1</v>
      </c>
      <c r="G2307" s="100">
        <v>0</v>
      </c>
      <c r="H2307" s="107">
        <v>0</v>
      </c>
      <c r="I2307" s="105">
        <v>0</v>
      </c>
      <c r="J2307" s="107">
        <v>1</v>
      </c>
      <c r="K2307" s="107">
        <v>0</v>
      </c>
      <c r="L2307" s="107">
        <v>0</v>
      </c>
      <c r="M2307" s="100">
        <v>0</v>
      </c>
      <c r="N2307" s="100">
        <v>0</v>
      </c>
      <c r="O2307" s="100">
        <v>2</v>
      </c>
      <c r="P2307" s="100">
        <v>2</v>
      </c>
      <c r="Q2307" s="100">
        <v>1</v>
      </c>
      <c r="R2307" s="100">
        <v>1</v>
      </c>
      <c r="S2307" s="99">
        <v>0</v>
      </c>
      <c r="T2307" s="100">
        <v>0</v>
      </c>
      <c r="U2307" s="100">
        <v>1</v>
      </c>
      <c r="V2307" s="100">
        <v>2</v>
      </c>
      <c r="W2307" s="100">
        <v>0</v>
      </c>
      <c r="X2307" s="100">
        <v>1</v>
      </c>
      <c r="Y2307" s="19">
        <v>0</v>
      </c>
      <c r="Z2307" s="100">
        <v>0</v>
      </c>
      <c r="AA2307" s="100">
        <v>0</v>
      </c>
      <c r="AB2307" s="100">
        <v>0</v>
      </c>
      <c r="AC2307" s="100">
        <v>0</v>
      </c>
      <c r="AD2307" s="100">
        <v>0</v>
      </c>
      <c r="AE2307" s="100">
        <v>1</v>
      </c>
      <c r="AF2307" s="100">
        <v>18</v>
      </c>
      <c r="AG2307" s="100">
        <v>1</v>
      </c>
      <c r="AH2307" s="100">
        <v>2</v>
      </c>
      <c r="AI2307" s="99">
        <v>0</v>
      </c>
      <c r="AJ2307" s="99">
        <v>2</v>
      </c>
      <c r="AK2307" s="99">
        <v>0</v>
      </c>
      <c r="AL2307" s="99">
        <v>2</v>
      </c>
      <c r="AM2307" s="100">
        <v>0</v>
      </c>
      <c r="AN2307" s="100">
        <v>0</v>
      </c>
      <c r="AO2307" s="100">
        <v>0</v>
      </c>
      <c r="AP2307" s="100">
        <v>0</v>
      </c>
      <c r="AQ2307" s="100">
        <v>5000</v>
      </c>
      <c r="AR2307" s="100">
        <v>0.5</v>
      </c>
      <c r="AS2307" s="100">
        <v>15</v>
      </c>
      <c r="AT2307" s="117">
        <v>0</v>
      </c>
      <c r="AU2307" s="327" t="s">
        <v>5462</v>
      </c>
      <c r="AV2307" s="118"/>
      <c r="AW2307" s="110" t="s">
        <v>204</v>
      </c>
      <c r="AX2307" s="100" t="s">
        <v>540</v>
      </c>
      <c r="AY2307" s="107">
        <v>10000007</v>
      </c>
      <c r="AZ2307" s="325" t="s">
        <v>5477</v>
      </c>
      <c r="BA2307" s="110" t="s">
        <v>592</v>
      </c>
      <c r="BB2307" s="100" t="s">
        <v>5366</v>
      </c>
      <c r="BC2307" s="105">
        <v>0</v>
      </c>
      <c r="BD2307" s="105">
        <v>0</v>
      </c>
      <c r="BE2307" s="111" t="s">
        <v>5478</v>
      </c>
      <c r="BF2307" s="111" t="s">
        <v>5479</v>
      </c>
      <c r="BG2307" s="100">
        <v>0</v>
      </c>
      <c r="BH2307" s="100">
        <v>0</v>
      </c>
      <c r="BI2307" s="100">
        <v>0</v>
      </c>
      <c r="BJ2307" s="100">
        <v>0</v>
      </c>
      <c r="BK2307" s="100">
        <v>0</v>
      </c>
      <c r="BL2307" s="100">
        <v>0</v>
      </c>
      <c r="BM2307" s="97">
        <v>0</v>
      </c>
      <c r="BN2307" s="99">
        <v>0</v>
      </c>
      <c r="BO2307" s="99">
        <v>0</v>
      </c>
      <c r="BP2307" s="99">
        <v>0</v>
      </c>
      <c r="BQ2307" s="99">
        <v>0</v>
      </c>
      <c r="BR2307" s="99">
        <v>0</v>
      </c>
      <c r="BS2307" s="99">
        <v>0</v>
      </c>
      <c r="BT2307" s="99">
        <v>0</v>
      </c>
      <c r="BU2307" s="99">
        <v>0</v>
      </c>
      <c r="BV2307" s="23"/>
      <c r="BW2307" s="23"/>
      <c r="BX2307" s="23"/>
      <c r="BY2307" s="23"/>
      <c r="BZ2307" s="23"/>
    </row>
    <row r="2308" spans="1:78" ht="20.100000000000001" customHeight="1">
      <c r="C2308" s="74">
        <v>77001701</v>
      </c>
      <c r="D2308" s="71" t="s">
        <v>5480</v>
      </c>
      <c r="E2308" s="160" t="s">
        <v>5481</v>
      </c>
      <c r="F2308" s="90">
        <v>1</v>
      </c>
      <c r="G2308" s="90">
        <v>0</v>
      </c>
      <c r="H2308" s="72">
        <v>0</v>
      </c>
      <c r="I2308" s="75">
        <v>0</v>
      </c>
      <c r="J2308" s="74">
        <v>1</v>
      </c>
      <c r="K2308" s="74">
        <v>0</v>
      </c>
      <c r="L2308" s="74">
        <v>0</v>
      </c>
      <c r="M2308" s="72">
        <v>0</v>
      </c>
      <c r="N2308" s="72">
        <v>0</v>
      </c>
      <c r="O2308" s="72">
        <v>2</v>
      </c>
      <c r="P2308" s="72">
        <v>1</v>
      </c>
      <c r="Q2308" s="72">
        <v>0.2</v>
      </c>
      <c r="R2308" s="72">
        <v>0</v>
      </c>
      <c r="S2308" s="73">
        <v>0</v>
      </c>
      <c r="T2308" s="72">
        <v>0</v>
      </c>
      <c r="U2308" s="72">
        <v>1</v>
      </c>
      <c r="V2308" s="90">
        <v>1</v>
      </c>
      <c r="W2308" s="72">
        <v>0</v>
      </c>
      <c r="X2308" s="72">
        <v>0</v>
      </c>
      <c r="Y2308" s="19">
        <v>0</v>
      </c>
      <c r="Z2308" s="72">
        <v>0</v>
      </c>
      <c r="AA2308" s="72">
        <v>1</v>
      </c>
      <c r="AB2308" s="72">
        <v>0</v>
      </c>
      <c r="AC2308" s="72">
        <v>0</v>
      </c>
      <c r="AD2308" s="72">
        <v>0</v>
      </c>
      <c r="AE2308" s="72">
        <v>1</v>
      </c>
      <c r="AF2308" s="72">
        <v>8</v>
      </c>
      <c r="AG2308" s="72">
        <v>2</v>
      </c>
      <c r="AH2308" s="72" t="s">
        <v>1042</v>
      </c>
      <c r="AI2308" s="73">
        <v>0</v>
      </c>
      <c r="AJ2308" s="73">
        <v>2</v>
      </c>
      <c r="AK2308" s="73">
        <v>0</v>
      </c>
      <c r="AL2308" s="73">
        <v>1.5</v>
      </c>
      <c r="AM2308" s="72">
        <v>0</v>
      </c>
      <c r="AN2308" s="72">
        <v>0</v>
      </c>
      <c r="AO2308" s="72">
        <v>0</v>
      </c>
      <c r="AP2308" s="72">
        <v>1.2</v>
      </c>
      <c r="AQ2308" s="72">
        <v>1200</v>
      </c>
      <c r="AR2308" s="72">
        <v>1</v>
      </c>
      <c r="AS2308" s="72">
        <v>15</v>
      </c>
      <c r="AT2308" s="330" t="s">
        <v>204</v>
      </c>
      <c r="AU2308" s="344" t="s">
        <v>5482</v>
      </c>
      <c r="AV2308" s="72"/>
      <c r="AW2308" s="71" t="s">
        <v>262</v>
      </c>
      <c r="AX2308" s="72" t="s">
        <v>221</v>
      </c>
      <c r="AY2308" s="74">
        <v>10000011</v>
      </c>
      <c r="AZ2308" s="74">
        <v>77001706</v>
      </c>
      <c r="BA2308" s="71" t="s">
        <v>222</v>
      </c>
      <c r="BB2308" s="72">
        <v>0</v>
      </c>
      <c r="BC2308" s="75">
        <v>0</v>
      </c>
      <c r="BD2308" s="75">
        <v>0</v>
      </c>
      <c r="BE2308" s="76" t="s">
        <v>5483</v>
      </c>
      <c r="BF2308" s="76" t="s">
        <v>5484</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77001702</v>
      </c>
      <c r="BU2308" s="23">
        <v>0</v>
      </c>
      <c r="BV2308" s="23"/>
      <c r="BW2308" s="23"/>
      <c r="BX2308" s="23"/>
      <c r="BY2308" s="23"/>
      <c r="BZ2308" s="23"/>
    </row>
    <row r="2309" spans="1:78" ht="20.100000000000001" customHeight="1">
      <c r="C2309" s="74">
        <v>77001702</v>
      </c>
      <c r="D2309" s="71" t="s">
        <v>1271</v>
      </c>
      <c r="E2309" s="71" t="s">
        <v>1272</v>
      </c>
      <c r="F2309" s="72">
        <v>1</v>
      </c>
      <c r="G2309" s="72">
        <v>0</v>
      </c>
      <c r="H2309" s="72">
        <v>0</v>
      </c>
      <c r="I2309" s="75">
        <v>0</v>
      </c>
      <c r="J2309" s="74">
        <v>1</v>
      </c>
      <c r="K2309" s="72">
        <v>0</v>
      </c>
      <c r="L2309" s="72">
        <v>0</v>
      </c>
      <c r="M2309" s="72">
        <v>0</v>
      </c>
      <c r="N2309" s="72">
        <v>0</v>
      </c>
      <c r="O2309" s="72">
        <v>2</v>
      </c>
      <c r="P2309" s="72">
        <v>3</v>
      </c>
      <c r="Q2309" s="72">
        <v>0.2</v>
      </c>
      <c r="R2309" s="72">
        <v>0</v>
      </c>
      <c r="S2309" s="73">
        <v>0</v>
      </c>
      <c r="T2309" s="72">
        <v>0</v>
      </c>
      <c r="U2309" s="72">
        <v>1</v>
      </c>
      <c r="V2309" s="72">
        <v>1</v>
      </c>
      <c r="W2309" s="72">
        <v>0</v>
      </c>
      <c r="X2309" s="72">
        <v>1.5</v>
      </c>
      <c r="Y2309" s="19">
        <v>0</v>
      </c>
      <c r="Z2309" s="72">
        <v>0</v>
      </c>
      <c r="AA2309" s="72">
        <v>1</v>
      </c>
      <c r="AB2309" s="72">
        <v>0</v>
      </c>
      <c r="AC2309" s="72">
        <v>0</v>
      </c>
      <c r="AD2309" s="72">
        <v>0</v>
      </c>
      <c r="AE2309" s="72">
        <v>1</v>
      </c>
      <c r="AF2309" s="72">
        <v>6</v>
      </c>
      <c r="AG2309" s="72">
        <v>1</v>
      </c>
      <c r="AH2309" s="72">
        <v>4</v>
      </c>
      <c r="AI2309" s="73">
        <v>0</v>
      </c>
      <c r="AJ2309" s="73">
        <v>1</v>
      </c>
      <c r="AK2309" s="73">
        <v>0</v>
      </c>
      <c r="AL2309" s="73">
        <v>2</v>
      </c>
      <c r="AM2309" s="72">
        <v>0</v>
      </c>
      <c r="AN2309" s="72">
        <v>0</v>
      </c>
      <c r="AO2309" s="72">
        <v>0</v>
      </c>
      <c r="AP2309" s="72">
        <v>0.6</v>
      </c>
      <c r="AQ2309" s="72">
        <v>700</v>
      </c>
      <c r="AR2309" s="72">
        <v>0.6</v>
      </c>
      <c r="AS2309" s="72">
        <v>0</v>
      </c>
      <c r="AT2309" s="73">
        <v>0</v>
      </c>
      <c r="AU2309" s="344" t="s">
        <v>5482</v>
      </c>
      <c r="AV2309" s="72"/>
      <c r="AW2309" s="71" t="s">
        <v>204</v>
      </c>
      <c r="AX2309" s="72" t="s">
        <v>540</v>
      </c>
      <c r="AY2309" s="74">
        <v>10000001</v>
      </c>
      <c r="AZ2309" s="74">
        <v>77001701</v>
      </c>
      <c r="BA2309" s="71" t="s">
        <v>777</v>
      </c>
      <c r="BB2309" s="72">
        <v>0</v>
      </c>
      <c r="BC2309" s="75">
        <v>0</v>
      </c>
      <c r="BD2309" s="75">
        <v>0</v>
      </c>
      <c r="BE2309" s="114" t="s">
        <v>5485</v>
      </c>
      <c r="BF2309" s="114" t="s">
        <v>5486</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77001706</v>
      </c>
      <c r="BU2309" s="23">
        <v>0</v>
      </c>
      <c r="BV2309" s="23"/>
      <c r="BW2309" s="23"/>
      <c r="BX2309" s="23"/>
      <c r="BY2309" s="23"/>
      <c r="BZ2309" s="23"/>
    </row>
    <row r="2310" spans="1:78" ht="20.100000000000001" customHeight="1">
      <c r="C2310" s="74">
        <v>77001703</v>
      </c>
      <c r="D2310" s="71" t="s">
        <v>5480</v>
      </c>
      <c r="E2310" s="71" t="s">
        <v>5481</v>
      </c>
      <c r="F2310" s="72">
        <v>1</v>
      </c>
      <c r="G2310" s="72">
        <v>0</v>
      </c>
      <c r="H2310" s="72">
        <v>0</v>
      </c>
      <c r="I2310" s="75">
        <v>0</v>
      </c>
      <c r="J2310" s="74">
        <v>1</v>
      </c>
      <c r="K2310" s="72">
        <v>0</v>
      </c>
      <c r="L2310" s="72">
        <v>0</v>
      </c>
      <c r="M2310" s="72">
        <v>0</v>
      </c>
      <c r="N2310" s="72">
        <v>0</v>
      </c>
      <c r="O2310" s="72">
        <v>2</v>
      </c>
      <c r="P2310" s="72">
        <v>3</v>
      </c>
      <c r="Q2310" s="72">
        <v>0.3</v>
      </c>
      <c r="R2310" s="72">
        <v>0</v>
      </c>
      <c r="S2310" s="73">
        <v>0</v>
      </c>
      <c r="T2310" s="72">
        <v>0</v>
      </c>
      <c r="U2310" s="72">
        <v>1</v>
      </c>
      <c r="V2310" s="72">
        <v>2</v>
      </c>
      <c r="W2310" s="72">
        <v>0</v>
      </c>
      <c r="X2310" s="72">
        <v>0</v>
      </c>
      <c r="Y2310" s="19">
        <v>0</v>
      </c>
      <c r="Z2310" s="72">
        <v>0</v>
      </c>
      <c r="AA2310" s="72">
        <v>1</v>
      </c>
      <c r="AB2310" s="72">
        <v>0</v>
      </c>
      <c r="AC2310" s="72">
        <v>0</v>
      </c>
      <c r="AD2310" s="72">
        <v>0</v>
      </c>
      <c r="AE2310" s="72">
        <v>0</v>
      </c>
      <c r="AF2310" s="72">
        <v>21</v>
      </c>
      <c r="AG2310" s="72">
        <v>1</v>
      </c>
      <c r="AH2310" s="72">
        <v>1</v>
      </c>
      <c r="AI2310" s="73">
        <v>0</v>
      </c>
      <c r="AJ2310" s="73">
        <v>1</v>
      </c>
      <c r="AK2310" s="73">
        <v>0</v>
      </c>
      <c r="AL2310" s="73">
        <v>1.5</v>
      </c>
      <c r="AM2310" s="72">
        <v>0</v>
      </c>
      <c r="AN2310" s="72">
        <v>0</v>
      </c>
      <c r="AO2310" s="72">
        <v>0</v>
      </c>
      <c r="AP2310" s="72">
        <v>0</v>
      </c>
      <c r="AQ2310" s="72">
        <v>300</v>
      </c>
      <c r="AR2310" s="72">
        <v>0</v>
      </c>
      <c r="AS2310" s="72">
        <v>0</v>
      </c>
      <c r="AT2310" s="330" t="s">
        <v>5487</v>
      </c>
      <c r="AU2310" s="72">
        <v>0</v>
      </c>
      <c r="AV2310" s="72"/>
      <c r="AW2310" s="71" t="s">
        <v>205</v>
      </c>
      <c r="AX2310" s="72" t="s">
        <v>540</v>
      </c>
      <c r="AY2310" s="74">
        <v>0</v>
      </c>
      <c r="AZ2310" s="74">
        <v>0</v>
      </c>
      <c r="BA2310" s="71" t="s">
        <v>777</v>
      </c>
      <c r="BB2310" s="72">
        <v>0</v>
      </c>
      <c r="BC2310" s="75">
        <v>0</v>
      </c>
      <c r="BD2310" s="75">
        <v>0</v>
      </c>
      <c r="BE2310" s="114" t="s">
        <v>5488</v>
      </c>
      <c r="BF2310" s="114" t="s">
        <v>5489</v>
      </c>
      <c r="BG2310" s="72">
        <v>0</v>
      </c>
      <c r="BH2310" s="72">
        <v>0</v>
      </c>
      <c r="BI2310" s="72">
        <v>0</v>
      </c>
      <c r="BJ2310" s="72">
        <v>0</v>
      </c>
      <c r="BK2310" s="72">
        <v>0</v>
      </c>
      <c r="BL2310" s="72">
        <v>0</v>
      </c>
      <c r="BM2310" s="90">
        <v>0</v>
      </c>
      <c r="BN2310" s="73">
        <v>0</v>
      </c>
      <c r="BO2310" s="73">
        <v>0</v>
      </c>
      <c r="BP2310" s="73">
        <v>0</v>
      </c>
      <c r="BQ2310" s="73">
        <v>0</v>
      </c>
      <c r="BR2310" s="73">
        <v>0</v>
      </c>
      <c r="BS2310" s="73">
        <v>1</v>
      </c>
      <c r="BT2310" s="73">
        <v>0</v>
      </c>
      <c r="BU2310" s="23">
        <v>0</v>
      </c>
      <c r="BV2310" s="23"/>
      <c r="BW2310" s="23"/>
      <c r="BX2310" s="23"/>
      <c r="BY2310" s="23"/>
      <c r="BZ2310" s="23"/>
    </row>
    <row r="2311" spans="1:78" ht="19.5" customHeight="1">
      <c r="C2311" s="74">
        <v>77001704</v>
      </c>
      <c r="D2311" s="71" t="s">
        <v>1271</v>
      </c>
      <c r="E2311" s="71" t="s">
        <v>1272</v>
      </c>
      <c r="F2311" s="72">
        <v>1</v>
      </c>
      <c r="G2311" s="72">
        <v>0</v>
      </c>
      <c r="H2311" s="72">
        <v>0</v>
      </c>
      <c r="I2311" s="75">
        <v>0</v>
      </c>
      <c r="J2311" s="74">
        <v>1</v>
      </c>
      <c r="K2311" s="74">
        <v>0</v>
      </c>
      <c r="L2311" s="74">
        <v>0</v>
      </c>
      <c r="M2311" s="72">
        <v>0</v>
      </c>
      <c r="N2311" s="72">
        <v>0</v>
      </c>
      <c r="O2311" s="72">
        <v>2</v>
      </c>
      <c r="P2311" s="72">
        <v>3</v>
      </c>
      <c r="Q2311" s="72">
        <v>0.2</v>
      </c>
      <c r="R2311" s="72">
        <v>0</v>
      </c>
      <c r="S2311" s="73">
        <v>0</v>
      </c>
      <c r="T2311" s="72">
        <v>0</v>
      </c>
      <c r="U2311" s="72">
        <v>1</v>
      </c>
      <c r="V2311" s="72">
        <v>1</v>
      </c>
      <c r="W2311" s="72">
        <v>0</v>
      </c>
      <c r="X2311" s="72">
        <v>0</v>
      </c>
      <c r="Y2311" s="19">
        <v>0</v>
      </c>
      <c r="Z2311" s="72">
        <v>0</v>
      </c>
      <c r="AA2311" s="72">
        <v>1</v>
      </c>
      <c r="AB2311" s="72">
        <v>0</v>
      </c>
      <c r="AC2311" s="72">
        <v>0</v>
      </c>
      <c r="AD2311" s="72">
        <v>0</v>
      </c>
      <c r="AE2311" s="72">
        <v>1</v>
      </c>
      <c r="AF2311" s="72">
        <v>8</v>
      </c>
      <c r="AG2311" s="72">
        <v>2</v>
      </c>
      <c r="AH2311" s="72" t="s">
        <v>219</v>
      </c>
      <c r="AI2311" s="73">
        <v>0</v>
      </c>
      <c r="AJ2311" s="73">
        <v>2</v>
      </c>
      <c r="AK2311" s="73">
        <v>0</v>
      </c>
      <c r="AL2311" s="73">
        <v>1.5</v>
      </c>
      <c r="AM2311" s="72">
        <v>0</v>
      </c>
      <c r="AN2311" s="72">
        <v>0</v>
      </c>
      <c r="AO2311" s="72">
        <v>0</v>
      </c>
      <c r="AP2311" s="72">
        <v>0.3</v>
      </c>
      <c r="AQ2311" s="72">
        <v>300</v>
      </c>
      <c r="AR2311" s="72">
        <v>0</v>
      </c>
      <c r="AS2311" s="72">
        <v>15</v>
      </c>
      <c r="AT2311" s="73">
        <v>0</v>
      </c>
      <c r="AU2311" s="93">
        <v>0</v>
      </c>
      <c r="AV2311" s="93"/>
      <c r="AW2311" s="71" t="s">
        <v>204</v>
      </c>
      <c r="AX2311" s="72" t="s">
        <v>221</v>
      </c>
      <c r="AY2311" s="74">
        <v>0</v>
      </c>
      <c r="AZ2311" s="74">
        <v>0</v>
      </c>
      <c r="BA2311" s="306" t="s">
        <v>222</v>
      </c>
      <c r="BB2311" s="72">
        <v>1</v>
      </c>
      <c r="BC2311" s="75">
        <v>0</v>
      </c>
      <c r="BD2311" s="75">
        <v>0</v>
      </c>
      <c r="BE2311" s="76" t="s">
        <v>5490</v>
      </c>
      <c r="BF2311" s="76" t="s">
        <v>5491</v>
      </c>
      <c r="BG2311" s="72">
        <v>0</v>
      </c>
      <c r="BH2311" s="72">
        <v>0</v>
      </c>
      <c r="BI2311" s="72">
        <v>0</v>
      </c>
      <c r="BJ2311" s="72">
        <v>0</v>
      </c>
      <c r="BK2311" s="72">
        <v>0</v>
      </c>
      <c r="BL2311" s="72">
        <v>0</v>
      </c>
      <c r="BM2311" s="90">
        <v>0</v>
      </c>
      <c r="BN2311" s="73">
        <v>0</v>
      </c>
      <c r="BO2311" s="73">
        <v>0</v>
      </c>
      <c r="BP2311" s="73">
        <v>0</v>
      </c>
      <c r="BQ2311" s="73">
        <v>0</v>
      </c>
      <c r="BR2311" s="73">
        <v>0</v>
      </c>
      <c r="BS2311" s="73">
        <v>1</v>
      </c>
      <c r="BT2311" s="73">
        <v>77001705</v>
      </c>
      <c r="BU2311" s="23">
        <v>0</v>
      </c>
      <c r="BV2311" s="23"/>
      <c r="BW2311" s="23"/>
      <c r="BX2311" s="23"/>
      <c r="BY2311" s="23"/>
      <c r="BZ2311" s="23"/>
    </row>
    <row r="2312" spans="1:78" ht="19.5" customHeight="1">
      <c r="C2312" s="74">
        <v>77001705</v>
      </c>
      <c r="D2312" s="88" t="s">
        <v>1271</v>
      </c>
      <c r="E2312" s="88" t="s">
        <v>1272</v>
      </c>
      <c r="F2312" s="72">
        <v>1</v>
      </c>
      <c r="G2312" s="72">
        <v>0</v>
      </c>
      <c r="H2312" s="74">
        <v>0</v>
      </c>
      <c r="I2312" s="75">
        <v>0</v>
      </c>
      <c r="J2312" s="72">
        <v>1</v>
      </c>
      <c r="K2312" s="72">
        <v>0</v>
      </c>
      <c r="L2312" s="72">
        <v>0</v>
      </c>
      <c r="M2312" s="74">
        <v>0</v>
      </c>
      <c r="N2312" s="74">
        <v>0</v>
      </c>
      <c r="O2312" s="74">
        <v>2</v>
      </c>
      <c r="P2312" s="74">
        <v>1</v>
      </c>
      <c r="Q2312" s="74">
        <v>1</v>
      </c>
      <c r="R2312" s="74">
        <v>0</v>
      </c>
      <c r="S2312" s="73">
        <v>0</v>
      </c>
      <c r="T2312" s="75">
        <v>0</v>
      </c>
      <c r="U2312" s="72">
        <v>1</v>
      </c>
      <c r="V2312" s="74">
        <v>1</v>
      </c>
      <c r="W2312" s="74">
        <v>0</v>
      </c>
      <c r="X2312" s="74">
        <v>1.5</v>
      </c>
      <c r="Y2312" s="19">
        <v>0</v>
      </c>
      <c r="Z2312" s="74">
        <v>0</v>
      </c>
      <c r="AA2312" s="74">
        <v>1</v>
      </c>
      <c r="AB2312" s="74">
        <v>0</v>
      </c>
      <c r="AC2312" s="74">
        <v>0</v>
      </c>
      <c r="AD2312" s="74">
        <v>0</v>
      </c>
      <c r="AE2312" s="74">
        <v>0</v>
      </c>
      <c r="AF2312" s="74">
        <v>0</v>
      </c>
      <c r="AG2312" s="74">
        <v>1</v>
      </c>
      <c r="AH2312" s="91">
        <v>4</v>
      </c>
      <c r="AI2312" s="73">
        <v>0</v>
      </c>
      <c r="AJ2312" s="73">
        <v>1</v>
      </c>
      <c r="AK2312" s="73">
        <v>0</v>
      </c>
      <c r="AL2312" s="73">
        <v>5</v>
      </c>
      <c r="AM2312" s="74">
        <v>0</v>
      </c>
      <c r="AN2312" s="74">
        <v>1</v>
      </c>
      <c r="AO2312" s="74">
        <v>0</v>
      </c>
      <c r="AP2312" s="74">
        <v>0.6</v>
      </c>
      <c r="AQ2312" s="74">
        <v>2000</v>
      </c>
      <c r="AR2312" s="74">
        <v>0.6</v>
      </c>
      <c r="AS2312" s="74">
        <v>0</v>
      </c>
      <c r="AT2312" s="73">
        <v>0</v>
      </c>
      <c r="AU2312" s="320" t="s">
        <v>5482</v>
      </c>
      <c r="AV2312" s="74"/>
      <c r="AW2312" s="88" t="s">
        <v>293</v>
      </c>
      <c r="AX2312" s="74" t="s">
        <v>551</v>
      </c>
      <c r="AY2312" s="74">
        <v>10001005</v>
      </c>
      <c r="AZ2312" s="74">
        <v>77001701</v>
      </c>
      <c r="BA2312" s="88" t="s">
        <v>206</v>
      </c>
      <c r="BB2312" s="88">
        <v>0</v>
      </c>
      <c r="BC2312" s="75">
        <v>0</v>
      </c>
      <c r="BD2312" s="75">
        <v>0</v>
      </c>
      <c r="BE2312" s="208" t="s">
        <v>1275</v>
      </c>
      <c r="BF2312" s="208" t="s">
        <v>1276</v>
      </c>
      <c r="BG2312" s="74">
        <v>0</v>
      </c>
      <c r="BH2312" s="72">
        <v>0</v>
      </c>
      <c r="BI2312" s="74">
        <v>0</v>
      </c>
      <c r="BJ2312" s="74">
        <v>0</v>
      </c>
      <c r="BK2312" s="74">
        <v>0</v>
      </c>
      <c r="BL2312" s="74">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77001706</v>
      </c>
      <c r="D2313" s="88" t="s">
        <v>1271</v>
      </c>
      <c r="E2313" s="88" t="s">
        <v>1272</v>
      </c>
      <c r="F2313" s="72">
        <v>1</v>
      </c>
      <c r="G2313" s="72">
        <v>0</v>
      </c>
      <c r="H2313" s="74">
        <v>0</v>
      </c>
      <c r="I2313" s="75">
        <v>0</v>
      </c>
      <c r="J2313" s="72">
        <v>1</v>
      </c>
      <c r="K2313" s="72">
        <v>0</v>
      </c>
      <c r="L2313" s="72">
        <v>0</v>
      </c>
      <c r="M2313" s="74">
        <v>0</v>
      </c>
      <c r="N2313" s="74">
        <v>0</v>
      </c>
      <c r="O2313" s="74">
        <v>2</v>
      </c>
      <c r="P2313" s="74">
        <v>16</v>
      </c>
      <c r="Q2313" s="74">
        <v>10</v>
      </c>
      <c r="R2313" s="74">
        <v>0</v>
      </c>
      <c r="S2313" s="73">
        <v>0</v>
      </c>
      <c r="T2313" s="75">
        <v>0</v>
      </c>
      <c r="U2313" s="72">
        <v>1</v>
      </c>
      <c r="V2313" s="74">
        <v>2</v>
      </c>
      <c r="W2313" s="74">
        <v>0</v>
      </c>
      <c r="X2313" s="74">
        <v>2.6</v>
      </c>
      <c r="Y2313" s="19">
        <v>0</v>
      </c>
      <c r="Z2313" s="74">
        <v>0</v>
      </c>
      <c r="AA2313" s="74">
        <v>1</v>
      </c>
      <c r="AB2313" s="74">
        <v>0</v>
      </c>
      <c r="AC2313" s="74">
        <v>0</v>
      </c>
      <c r="AD2313" s="74">
        <v>0</v>
      </c>
      <c r="AE2313" s="74">
        <v>0</v>
      </c>
      <c r="AF2313" s="74">
        <v>0</v>
      </c>
      <c r="AG2313" s="74">
        <v>2</v>
      </c>
      <c r="AH2313" s="74" t="s">
        <v>219</v>
      </c>
      <c r="AI2313" s="73">
        <v>0</v>
      </c>
      <c r="AJ2313" s="73">
        <v>2</v>
      </c>
      <c r="AK2313" s="73">
        <v>0</v>
      </c>
      <c r="AL2313" s="73">
        <v>3</v>
      </c>
      <c r="AM2313" s="74">
        <v>0</v>
      </c>
      <c r="AN2313" s="74">
        <v>0</v>
      </c>
      <c r="AO2313" s="74">
        <v>0</v>
      </c>
      <c r="AP2313" s="74">
        <v>1</v>
      </c>
      <c r="AQ2313" s="74">
        <v>2000</v>
      </c>
      <c r="AR2313" s="74">
        <v>1</v>
      </c>
      <c r="AS2313" s="74">
        <v>0</v>
      </c>
      <c r="AT2313" s="73">
        <v>0</v>
      </c>
      <c r="AU2313" s="74">
        <v>97007001</v>
      </c>
      <c r="AV2313" s="74"/>
      <c r="AW2313" s="88" t="s">
        <v>293</v>
      </c>
      <c r="AX2313" s="74" t="s">
        <v>540</v>
      </c>
      <c r="AY2313" s="74">
        <v>10000015</v>
      </c>
      <c r="AZ2313" s="74">
        <v>77001702</v>
      </c>
      <c r="BA2313" s="71" t="s">
        <v>206</v>
      </c>
      <c r="BB2313" s="88">
        <v>0</v>
      </c>
      <c r="BC2313" s="75">
        <v>0</v>
      </c>
      <c r="BD2313" s="75">
        <v>0</v>
      </c>
      <c r="BE2313" s="208" t="s">
        <v>2550</v>
      </c>
      <c r="BF2313" s="208" t="s">
        <v>2551</v>
      </c>
      <c r="BG2313" s="74">
        <v>0</v>
      </c>
      <c r="BH2313" s="72">
        <v>0</v>
      </c>
      <c r="BI2313" s="74">
        <v>0</v>
      </c>
      <c r="BJ2313" s="74">
        <v>0</v>
      </c>
      <c r="BK2313" s="74">
        <v>0</v>
      </c>
      <c r="BL2313" s="74">
        <v>0</v>
      </c>
      <c r="BM2313" s="90">
        <v>0</v>
      </c>
      <c r="BN2313" s="73">
        <v>1</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77001707</v>
      </c>
      <c r="D2314" s="71" t="s">
        <v>5492</v>
      </c>
      <c r="E2314" s="160" t="s">
        <v>5493</v>
      </c>
      <c r="F2314" s="90">
        <v>1</v>
      </c>
      <c r="G2314" s="72">
        <v>0</v>
      </c>
      <c r="H2314" s="72">
        <v>0</v>
      </c>
      <c r="I2314" s="75">
        <v>0</v>
      </c>
      <c r="J2314" s="74">
        <v>1</v>
      </c>
      <c r="K2314" s="74">
        <v>0</v>
      </c>
      <c r="L2314" s="74">
        <v>0</v>
      </c>
      <c r="M2314" s="72">
        <v>0</v>
      </c>
      <c r="N2314" s="72">
        <v>0</v>
      </c>
      <c r="O2314" s="72">
        <v>2</v>
      </c>
      <c r="P2314" s="72">
        <v>2</v>
      </c>
      <c r="Q2314" s="72">
        <v>0.5</v>
      </c>
      <c r="R2314" s="72">
        <v>0</v>
      </c>
      <c r="S2314" s="73">
        <v>0</v>
      </c>
      <c r="T2314" s="72">
        <v>0</v>
      </c>
      <c r="U2314" s="72">
        <v>1</v>
      </c>
      <c r="V2314" s="90">
        <v>1</v>
      </c>
      <c r="W2314" s="72">
        <v>0</v>
      </c>
      <c r="X2314" s="72">
        <v>3</v>
      </c>
      <c r="Y2314" s="19">
        <v>0</v>
      </c>
      <c r="Z2314" s="72">
        <v>0</v>
      </c>
      <c r="AA2314" s="72">
        <v>1</v>
      </c>
      <c r="AB2314" s="72">
        <v>0</v>
      </c>
      <c r="AC2314" s="72">
        <v>0</v>
      </c>
      <c r="AD2314" s="72">
        <v>0</v>
      </c>
      <c r="AE2314" s="72">
        <v>1</v>
      </c>
      <c r="AF2314" s="72">
        <v>30</v>
      </c>
      <c r="AG2314" s="72">
        <v>1</v>
      </c>
      <c r="AH2314" s="72">
        <v>6</v>
      </c>
      <c r="AI2314" s="73">
        <v>0</v>
      </c>
      <c r="AJ2314" s="73">
        <v>1</v>
      </c>
      <c r="AK2314" s="73">
        <v>0</v>
      </c>
      <c r="AL2314" s="73">
        <v>3</v>
      </c>
      <c r="AM2314" s="72">
        <v>0</v>
      </c>
      <c r="AN2314" s="72">
        <v>1</v>
      </c>
      <c r="AO2314" s="72">
        <v>0</v>
      </c>
      <c r="AP2314" s="72">
        <v>1</v>
      </c>
      <c r="AQ2314" s="72">
        <v>3000</v>
      </c>
      <c r="AR2314" s="72">
        <v>1</v>
      </c>
      <c r="AS2314" s="72">
        <v>0</v>
      </c>
      <c r="AT2314" s="330" t="s">
        <v>5494</v>
      </c>
      <c r="AU2314" s="322" t="s">
        <v>5482</v>
      </c>
      <c r="AV2314" s="93"/>
      <c r="AW2314" s="71" t="s">
        <v>623</v>
      </c>
      <c r="AX2314" s="72" t="s">
        <v>221</v>
      </c>
      <c r="AY2314" s="74">
        <v>10000011</v>
      </c>
      <c r="AZ2314" s="74">
        <v>77001703</v>
      </c>
      <c r="BA2314" s="88" t="s">
        <v>206</v>
      </c>
      <c r="BB2314" s="72">
        <v>0</v>
      </c>
      <c r="BC2314" s="75">
        <v>0</v>
      </c>
      <c r="BD2314" s="75">
        <v>0</v>
      </c>
      <c r="BE2314" s="76" t="s">
        <v>5495</v>
      </c>
      <c r="BF2314" s="76" t="s">
        <v>5496</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19.5" customHeight="1">
      <c r="C2315" s="74">
        <v>77001708</v>
      </c>
      <c r="D2315" s="71" t="s">
        <v>5497</v>
      </c>
      <c r="E2315" s="71" t="s">
        <v>5498</v>
      </c>
      <c r="F2315" s="74">
        <v>1</v>
      </c>
      <c r="G2315" s="72">
        <v>0</v>
      </c>
      <c r="H2315" s="74">
        <v>0</v>
      </c>
      <c r="I2315" s="75">
        <v>0</v>
      </c>
      <c r="J2315" s="74">
        <v>1</v>
      </c>
      <c r="K2315" s="74">
        <v>0</v>
      </c>
      <c r="L2315" s="74">
        <v>0</v>
      </c>
      <c r="M2315" s="72">
        <v>0</v>
      </c>
      <c r="N2315" s="72">
        <v>0</v>
      </c>
      <c r="O2315" s="72">
        <v>2</v>
      </c>
      <c r="P2315" s="72">
        <v>3</v>
      </c>
      <c r="Q2315" s="72">
        <v>0.4</v>
      </c>
      <c r="R2315" s="72">
        <v>0</v>
      </c>
      <c r="S2315" s="73">
        <v>0</v>
      </c>
      <c r="T2315" s="72">
        <v>0</v>
      </c>
      <c r="U2315" s="72">
        <v>1</v>
      </c>
      <c r="V2315" s="72">
        <v>1</v>
      </c>
      <c r="W2315" s="72">
        <v>0</v>
      </c>
      <c r="X2315" s="72">
        <v>0</v>
      </c>
      <c r="Y2315" s="19">
        <v>0</v>
      </c>
      <c r="Z2315" s="72">
        <v>0</v>
      </c>
      <c r="AA2315" s="72">
        <v>0</v>
      </c>
      <c r="AB2315" s="72">
        <v>0</v>
      </c>
      <c r="AC2315" s="72">
        <v>0</v>
      </c>
      <c r="AD2315" s="72">
        <v>0</v>
      </c>
      <c r="AE2315" s="72">
        <v>1</v>
      </c>
      <c r="AF2315" s="72">
        <v>0</v>
      </c>
      <c r="AG2315" s="72">
        <v>1</v>
      </c>
      <c r="AH2315" s="72">
        <v>2</v>
      </c>
      <c r="AI2315" s="73">
        <v>0</v>
      </c>
      <c r="AJ2315" s="73">
        <v>1</v>
      </c>
      <c r="AK2315" s="73">
        <v>0</v>
      </c>
      <c r="AL2315" s="73">
        <v>3</v>
      </c>
      <c r="AM2315" s="72">
        <v>0</v>
      </c>
      <c r="AN2315" s="72">
        <v>0</v>
      </c>
      <c r="AO2315" s="72">
        <v>0</v>
      </c>
      <c r="AP2315" s="72">
        <v>0.3</v>
      </c>
      <c r="AQ2315" s="72">
        <v>300</v>
      </c>
      <c r="AR2315" s="72">
        <v>0</v>
      </c>
      <c r="AS2315" s="72">
        <v>0</v>
      </c>
      <c r="AT2315" s="73">
        <v>0</v>
      </c>
      <c r="AU2315" s="93">
        <v>0</v>
      </c>
      <c r="AV2315" s="93"/>
      <c r="AW2315" s="71" t="s">
        <v>204</v>
      </c>
      <c r="AX2315" s="72">
        <v>0</v>
      </c>
      <c r="AY2315" s="74">
        <v>0</v>
      </c>
      <c r="AZ2315" s="74">
        <v>0</v>
      </c>
      <c r="BA2315" s="71" t="s">
        <v>534</v>
      </c>
      <c r="BB2315" s="344" t="s">
        <v>5499</v>
      </c>
      <c r="BC2315" s="75">
        <v>0</v>
      </c>
      <c r="BD2315" s="75">
        <v>0</v>
      </c>
      <c r="BE2315" s="76" t="s">
        <v>5500</v>
      </c>
      <c r="BF2315" s="76" t="s">
        <v>5501</v>
      </c>
      <c r="BG2315" s="72">
        <v>0</v>
      </c>
      <c r="BH2315" s="72">
        <v>0</v>
      </c>
      <c r="BI2315" s="72">
        <v>0</v>
      </c>
      <c r="BJ2315" s="72">
        <v>0</v>
      </c>
      <c r="BK2315" s="72">
        <v>0</v>
      </c>
      <c r="BL2315" s="72">
        <v>0</v>
      </c>
      <c r="BM2315" s="90">
        <v>0</v>
      </c>
      <c r="BN2315" s="73">
        <v>0</v>
      </c>
      <c r="BO2315" s="73">
        <v>0</v>
      </c>
      <c r="BP2315" s="73">
        <v>0</v>
      </c>
      <c r="BQ2315" s="73">
        <v>0</v>
      </c>
      <c r="BR2315" s="73">
        <v>0</v>
      </c>
      <c r="BS2315" s="73">
        <v>1</v>
      </c>
      <c r="BT2315" s="73">
        <v>0</v>
      </c>
      <c r="BU2315" s="23">
        <v>0</v>
      </c>
      <c r="BV2315" s="23"/>
      <c r="BW2315" s="23"/>
      <c r="BX2315" s="23"/>
      <c r="BY2315" s="23"/>
      <c r="BZ2315" s="23"/>
    </row>
    <row r="2316" spans="1:78" ht="19.5" customHeight="1">
      <c r="C2316" s="74">
        <v>77001709</v>
      </c>
      <c r="D2316" s="71" t="s">
        <v>5502</v>
      </c>
      <c r="E2316" s="71" t="s">
        <v>5503</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22" t="s">
        <v>5504</v>
      </c>
      <c r="AV2316" s="93"/>
      <c r="AW2316" s="88" t="s">
        <v>205</v>
      </c>
      <c r="AX2316" s="72" t="s">
        <v>540</v>
      </c>
      <c r="AY2316" s="74">
        <v>0</v>
      </c>
      <c r="AZ2316" s="320" t="s">
        <v>5505</v>
      </c>
      <c r="BA2316" s="71" t="s">
        <v>206</v>
      </c>
      <c r="BB2316" s="72" t="s">
        <v>5506</v>
      </c>
      <c r="BC2316" s="75">
        <v>0</v>
      </c>
      <c r="BD2316" s="75">
        <v>0</v>
      </c>
      <c r="BE2316" s="76" t="s">
        <v>5507</v>
      </c>
      <c r="BF2316" s="76" t="s">
        <v>5508</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20.100000000000001" customHeight="1">
      <c r="C2317" s="74">
        <v>77001710</v>
      </c>
      <c r="D2317" s="71" t="s">
        <v>1271</v>
      </c>
      <c r="E2317" s="71" t="s">
        <v>1272</v>
      </c>
      <c r="F2317" s="72">
        <v>1</v>
      </c>
      <c r="G2317" s="72">
        <v>0</v>
      </c>
      <c r="H2317" s="72">
        <v>0</v>
      </c>
      <c r="I2317" s="75">
        <v>0</v>
      </c>
      <c r="J2317" s="74">
        <v>1</v>
      </c>
      <c r="K2317" s="72">
        <v>0</v>
      </c>
      <c r="L2317" s="72">
        <v>0</v>
      </c>
      <c r="M2317" s="72">
        <v>0</v>
      </c>
      <c r="N2317" s="72">
        <v>0</v>
      </c>
      <c r="O2317" s="72">
        <v>2</v>
      </c>
      <c r="P2317" s="72">
        <v>3</v>
      </c>
      <c r="Q2317" s="72">
        <v>0.2</v>
      </c>
      <c r="R2317" s="72">
        <v>0</v>
      </c>
      <c r="S2317" s="73">
        <v>0</v>
      </c>
      <c r="T2317" s="72">
        <v>0</v>
      </c>
      <c r="U2317" s="72">
        <v>1</v>
      </c>
      <c r="V2317" s="72">
        <v>1</v>
      </c>
      <c r="W2317" s="72">
        <v>0</v>
      </c>
      <c r="X2317" s="72">
        <v>2</v>
      </c>
      <c r="Y2317" s="19">
        <v>0</v>
      </c>
      <c r="Z2317" s="72">
        <v>0</v>
      </c>
      <c r="AA2317" s="72">
        <v>1</v>
      </c>
      <c r="AB2317" s="72">
        <v>0</v>
      </c>
      <c r="AC2317" s="72">
        <v>0</v>
      </c>
      <c r="AD2317" s="72">
        <v>0</v>
      </c>
      <c r="AE2317" s="72">
        <v>1</v>
      </c>
      <c r="AF2317" s="72">
        <v>6</v>
      </c>
      <c r="AG2317" s="72">
        <v>1</v>
      </c>
      <c r="AH2317" s="72">
        <v>4</v>
      </c>
      <c r="AI2317" s="73">
        <v>0</v>
      </c>
      <c r="AJ2317" s="73">
        <v>1</v>
      </c>
      <c r="AK2317" s="73">
        <v>0</v>
      </c>
      <c r="AL2317" s="73">
        <v>2</v>
      </c>
      <c r="AM2317" s="72">
        <v>0</v>
      </c>
      <c r="AN2317" s="72">
        <v>0</v>
      </c>
      <c r="AO2317" s="72">
        <v>0</v>
      </c>
      <c r="AP2317" s="72">
        <v>0.6</v>
      </c>
      <c r="AQ2317" s="72">
        <v>600</v>
      </c>
      <c r="AR2317" s="72">
        <v>0.6</v>
      </c>
      <c r="AS2317" s="72">
        <v>0</v>
      </c>
      <c r="AT2317" s="73">
        <v>97007009</v>
      </c>
      <c r="AU2317" s="72">
        <v>97007001</v>
      </c>
      <c r="AV2317" s="72"/>
      <c r="AW2317" s="71" t="s">
        <v>204</v>
      </c>
      <c r="AX2317" s="72" t="s">
        <v>540</v>
      </c>
      <c r="AY2317" s="74">
        <v>10000001</v>
      </c>
      <c r="AZ2317" s="74">
        <v>77001701</v>
      </c>
      <c r="BA2317" s="71" t="s">
        <v>777</v>
      </c>
      <c r="BB2317" s="72">
        <v>0</v>
      </c>
      <c r="BC2317" s="75">
        <v>0</v>
      </c>
      <c r="BD2317" s="75">
        <v>0</v>
      </c>
      <c r="BE2317" s="114" t="s">
        <v>5509</v>
      </c>
      <c r="BF2317" s="114" t="s">
        <v>5510</v>
      </c>
      <c r="BG2317" s="72">
        <v>0</v>
      </c>
      <c r="BH2317" s="72">
        <v>0</v>
      </c>
      <c r="BI2317" s="72">
        <v>0</v>
      </c>
      <c r="BJ2317" s="72">
        <v>0</v>
      </c>
      <c r="BK2317" s="72">
        <v>0</v>
      </c>
      <c r="BL2317" s="72">
        <v>0</v>
      </c>
      <c r="BM2317" s="90">
        <v>0</v>
      </c>
      <c r="BN2317" s="73">
        <v>0</v>
      </c>
      <c r="BO2317" s="73">
        <v>0</v>
      </c>
      <c r="BP2317" s="73">
        <v>0</v>
      </c>
      <c r="BQ2317" s="73">
        <v>0</v>
      </c>
      <c r="BR2317" s="73">
        <v>0</v>
      </c>
      <c r="BS2317" s="73">
        <v>0</v>
      </c>
      <c r="BT2317" s="73">
        <v>77001709</v>
      </c>
      <c r="BU2317" s="23">
        <v>0</v>
      </c>
      <c r="BV2317" s="23"/>
      <c r="BW2317" s="23"/>
      <c r="BX2317" s="23"/>
      <c r="BY2317" s="23"/>
      <c r="BZ2317" s="23"/>
    </row>
    <row r="2318" spans="1:78" ht="19.5" customHeight="1">
      <c r="C2318" s="74">
        <v>77001711</v>
      </c>
      <c r="D2318" s="71" t="s">
        <v>5502</v>
      </c>
      <c r="E2318" s="71" t="s">
        <v>5503</v>
      </c>
      <c r="F2318" s="74">
        <v>1</v>
      </c>
      <c r="G2318" s="74">
        <v>0</v>
      </c>
      <c r="H2318" s="74">
        <v>0</v>
      </c>
      <c r="I2318" s="75">
        <v>0</v>
      </c>
      <c r="J2318" s="74">
        <v>1</v>
      </c>
      <c r="K2318" s="74">
        <v>0</v>
      </c>
      <c r="L2318" s="74">
        <v>0</v>
      </c>
      <c r="M2318" s="72">
        <v>0</v>
      </c>
      <c r="N2318" s="72">
        <v>0</v>
      </c>
      <c r="O2318" s="72">
        <v>2</v>
      </c>
      <c r="P2318" s="72">
        <v>2</v>
      </c>
      <c r="Q2318" s="72">
        <v>0.7</v>
      </c>
      <c r="R2318" s="72">
        <v>0</v>
      </c>
      <c r="S2318" s="73">
        <v>0</v>
      </c>
      <c r="T2318" s="72">
        <v>0</v>
      </c>
      <c r="U2318" s="72">
        <v>1</v>
      </c>
      <c r="V2318" s="72">
        <v>2</v>
      </c>
      <c r="W2318" s="72">
        <v>0</v>
      </c>
      <c r="X2318" s="72">
        <v>1.5</v>
      </c>
      <c r="Y2318" s="19">
        <v>0</v>
      </c>
      <c r="Z2318" s="72">
        <v>0</v>
      </c>
      <c r="AA2318" s="72">
        <v>1</v>
      </c>
      <c r="AB2318" s="72">
        <v>0</v>
      </c>
      <c r="AC2318" s="72">
        <v>0</v>
      </c>
      <c r="AD2318" s="72">
        <v>1</v>
      </c>
      <c r="AE2318" s="72">
        <v>0</v>
      </c>
      <c r="AF2318" s="72">
        <v>9</v>
      </c>
      <c r="AG2318" s="72">
        <v>1</v>
      </c>
      <c r="AH2318" s="72">
        <v>3</v>
      </c>
      <c r="AI2318" s="73">
        <v>4</v>
      </c>
      <c r="AJ2318" s="73">
        <v>1</v>
      </c>
      <c r="AK2318" s="73">
        <v>0</v>
      </c>
      <c r="AL2318" s="73">
        <v>1.5</v>
      </c>
      <c r="AM2318" s="72">
        <v>0</v>
      </c>
      <c r="AN2318" s="72">
        <v>0</v>
      </c>
      <c r="AO2318" s="72">
        <v>0</v>
      </c>
      <c r="AP2318" s="72">
        <v>0</v>
      </c>
      <c r="AQ2318" s="72">
        <v>6000</v>
      </c>
      <c r="AR2318" s="72">
        <v>1</v>
      </c>
      <c r="AS2318" s="72">
        <v>0</v>
      </c>
      <c r="AT2318" s="73">
        <v>0</v>
      </c>
      <c r="AU2318" s="322" t="s">
        <v>5504</v>
      </c>
      <c r="AV2318" s="93"/>
      <c r="AW2318" s="88" t="s">
        <v>205</v>
      </c>
      <c r="AX2318" s="72" t="s">
        <v>540</v>
      </c>
      <c r="AY2318" s="74">
        <v>0</v>
      </c>
      <c r="AZ2318" s="320" t="s">
        <v>5505</v>
      </c>
      <c r="BA2318" s="71" t="s">
        <v>206</v>
      </c>
      <c r="BB2318" s="72" t="s">
        <v>5511</v>
      </c>
      <c r="BC2318" s="75">
        <v>0</v>
      </c>
      <c r="BD2318" s="75">
        <v>0</v>
      </c>
      <c r="BE2318" s="76" t="s">
        <v>5512</v>
      </c>
      <c r="BF2318" s="76" t="s">
        <v>5513</v>
      </c>
      <c r="BG2318" s="72">
        <v>0</v>
      </c>
      <c r="BH2318" s="72">
        <v>0</v>
      </c>
      <c r="BI2318" s="72">
        <v>0</v>
      </c>
      <c r="BJ2318" s="72">
        <v>0</v>
      </c>
      <c r="BK2318" s="72">
        <v>0</v>
      </c>
      <c r="BL2318" s="72">
        <v>0</v>
      </c>
      <c r="BM2318" s="90">
        <v>0</v>
      </c>
      <c r="BN2318" s="73">
        <v>0</v>
      </c>
      <c r="BO2318" s="73">
        <v>0</v>
      </c>
      <c r="BP2318" s="73">
        <v>0</v>
      </c>
      <c r="BQ2318" s="73">
        <v>0</v>
      </c>
      <c r="BR2318" s="73">
        <v>0</v>
      </c>
      <c r="BS2318" s="73">
        <v>0</v>
      </c>
      <c r="BT2318" s="73">
        <v>0</v>
      </c>
      <c r="BU2318" s="23">
        <v>0</v>
      </c>
      <c r="BV2318" s="23"/>
      <c r="BW2318" s="23"/>
      <c r="BX2318" s="23"/>
      <c r="BY2318" s="23"/>
      <c r="BZ2318" s="23"/>
    </row>
    <row r="2319" spans="1:78" ht="18.75" customHeight="1">
      <c r="C2319" s="294">
        <v>77001801</v>
      </c>
      <c r="D2319" s="295" t="s">
        <v>5514</v>
      </c>
      <c r="E2319" s="295" t="s">
        <v>5515</v>
      </c>
      <c r="F2319" s="294">
        <v>1</v>
      </c>
      <c r="G2319" s="296">
        <v>0</v>
      </c>
      <c r="H2319" s="294">
        <v>0</v>
      </c>
      <c r="I2319" s="297">
        <v>0</v>
      </c>
      <c r="J2319" s="294">
        <v>1</v>
      </c>
      <c r="K2319" s="294">
        <v>0</v>
      </c>
      <c r="L2319" s="294">
        <v>0</v>
      </c>
      <c r="M2319" s="296">
        <v>0</v>
      </c>
      <c r="N2319" s="296">
        <v>0</v>
      </c>
      <c r="O2319" s="296">
        <v>2</v>
      </c>
      <c r="P2319" s="296">
        <v>2</v>
      </c>
      <c r="Q2319" s="296">
        <v>0.99</v>
      </c>
      <c r="R2319" s="296">
        <v>0</v>
      </c>
      <c r="S2319" s="23">
        <v>0</v>
      </c>
      <c r="T2319" s="296">
        <v>0</v>
      </c>
      <c r="U2319" s="296">
        <v>1</v>
      </c>
      <c r="V2319" s="296">
        <v>2</v>
      </c>
      <c r="W2319" s="296">
        <v>0</v>
      </c>
      <c r="X2319" s="296">
        <v>1.5</v>
      </c>
      <c r="Y2319" s="19">
        <v>0</v>
      </c>
      <c r="Z2319" s="296">
        <v>0</v>
      </c>
      <c r="AA2319" s="296">
        <v>1</v>
      </c>
      <c r="AB2319" s="296">
        <v>0</v>
      </c>
      <c r="AC2319" s="296">
        <v>0</v>
      </c>
      <c r="AD2319" s="296">
        <v>1</v>
      </c>
      <c r="AE2319" s="296">
        <v>0</v>
      </c>
      <c r="AF2319" s="296">
        <v>8</v>
      </c>
      <c r="AG2319" s="296">
        <v>1</v>
      </c>
      <c r="AH2319" s="296">
        <v>3</v>
      </c>
      <c r="AI2319" s="23">
        <v>3</v>
      </c>
      <c r="AJ2319" s="23">
        <v>1</v>
      </c>
      <c r="AK2319" s="23">
        <v>0</v>
      </c>
      <c r="AL2319" s="23">
        <v>1.5</v>
      </c>
      <c r="AM2319" s="296">
        <v>0</v>
      </c>
      <c r="AN2319" s="296">
        <v>0</v>
      </c>
      <c r="AO2319" s="296">
        <v>0</v>
      </c>
      <c r="AP2319" s="296">
        <v>0.8</v>
      </c>
      <c r="AQ2319" s="296">
        <v>6000</v>
      </c>
      <c r="AR2319" s="296">
        <v>0.8</v>
      </c>
      <c r="AS2319" s="296">
        <v>0</v>
      </c>
      <c r="AT2319" s="23">
        <v>0</v>
      </c>
      <c r="AU2319" s="359" t="s">
        <v>5516</v>
      </c>
      <c r="AV2319" s="301"/>
      <c r="AW2319" s="298" t="s">
        <v>205</v>
      </c>
      <c r="AX2319" s="296" t="s">
        <v>540</v>
      </c>
      <c r="AY2319" s="294">
        <v>0</v>
      </c>
      <c r="AZ2319" s="294">
        <v>77001801</v>
      </c>
      <c r="BA2319" s="295" t="s">
        <v>206</v>
      </c>
      <c r="BB2319" s="296" t="s">
        <v>5517</v>
      </c>
      <c r="BC2319" s="297">
        <v>0</v>
      </c>
      <c r="BD2319" s="297">
        <v>0</v>
      </c>
      <c r="BE2319" s="299" t="s">
        <v>5518</v>
      </c>
      <c r="BF2319" s="299" t="s">
        <v>5519</v>
      </c>
      <c r="BG2319" s="296">
        <v>0</v>
      </c>
      <c r="BH2319" s="296">
        <v>0</v>
      </c>
      <c r="BI2319" s="296">
        <v>0</v>
      </c>
      <c r="BJ2319" s="296">
        <v>0</v>
      </c>
      <c r="BK2319" s="296">
        <v>0</v>
      </c>
      <c r="BL2319" s="296">
        <v>0</v>
      </c>
      <c r="BM2319" s="300">
        <v>0</v>
      </c>
      <c r="BN2319" s="23">
        <v>0</v>
      </c>
      <c r="BO2319" s="23">
        <v>0</v>
      </c>
      <c r="BP2319" s="23">
        <v>0</v>
      </c>
      <c r="BQ2319" s="23">
        <v>0</v>
      </c>
      <c r="BR2319" s="23">
        <v>0</v>
      </c>
      <c r="BS2319" s="23">
        <v>0</v>
      </c>
      <c r="BT2319" s="23">
        <v>0</v>
      </c>
      <c r="BU2319" s="23">
        <v>0</v>
      </c>
      <c r="BV2319" s="23"/>
      <c r="BW2319" s="23"/>
      <c r="BX2319" s="23"/>
      <c r="BY2319" s="23"/>
      <c r="BZ2319" s="23"/>
    </row>
    <row r="2320" spans="1:78" ht="19.5" customHeight="1">
      <c r="C2320" s="294">
        <v>77001802</v>
      </c>
      <c r="D2320" s="295" t="s">
        <v>5520</v>
      </c>
      <c r="E2320" s="295" t="s">
        <v>5521</v>
      </c>
      <c r="F2320" s="294">
        <v>1</v>
      </c>
      <c r="G2320" s="296">
        <v>0</v>
      </c>
      <c r="H2320" s="294">
        <v>0</v>
      </c>
      <c r="I2320" s="297">
        <v>0</v>
      </c>
      <c r="J2320" s="294">
        <v>1</v>
      </c>
      <c r="K2320" s="294">
        <v>0</v>
      </c>
      <c r="L2320" s="294">
        <v>0</v>
      </c>
      <c r="M2320" s="296">
        <v>0</v>
      </c>
      <c r="N2320" s="296">
        <v>0</v>
      </c>
      <c r="O2320" s="300">
        <v>2</v>
      </c>
      <c r="P2320" s="296">
        <v>2</v>
      </c>
      <c r="Q2320" s="296">
        <v>0.7</v>
      </c>
      <c r="R2320" s="296">
        <v>0</v>
      </c>
      <c r="S2320" s="23">
        <v>0</v>
      </c>
      <c r="T2320" s="296">
        <v>0</v>
      </c>
      <c r="U2320" s="296">
        <v>1</v>
      </c>
      <c r="V2320" s="296">
        <v>1</v>
      </c>
      <c r="W2320" s="296">
        <v>0</v>
      </c>
      <c r="X2320" s="296">
        <v>0</v>
      </c>
      <c r="Y2320" s="19">
        <v>0</v>
      </c>
      <c r="Z2320" s="296">
        <v>0</v>
      </c>
      <c r="AA2320" s="296">
        <v>0</v>
      </c>
      <c r="AB2320" s="296">
        <v>0</v>
      </c>
      <c r="AC2320" s="296">
        <v>0</v>
      </c>
      <c r="AD2320" s="300">
        <v>0</v>
      </c>
      <c r="AE2320" s="296">
        <v>1</v>
      </c>
      <c r="AF2320" s="296">
        <v>20</v>
      </c>
      <c r="AG2320" s="296">
        <v>1</v>
      </c>
      <c r="AH2320" s="296">
        <v>2</v>
      </c>
      <c r="AI2320" s="23">
        <v>0</v>
      </c>
      <c r="AJ2320" s="23">
        <v>1</v>
      </c>
      <c r="AK2320" s="23">
        <v>0</v>
      </c>
      <c r="AL2320" s="23">
        <v>0</v>
      </c>
      <c r="AM2320" s="296">
        <v>0</v>
      </c>
      <c r="AN2320" s="296">
        <v>0</v>
      </c>
      <c r="AO2320" s="296">
        <v>0</v>
      </c>
      <c r="AP2320" s="296">
        <v>0</v>
      </c>
      <c r="AQ2320" s="296">
        <v>1000</v>
      </c>
      <c r="AR2320" s="296">
        <v>0</v>
      </c>
      <c r="AS2320" s="296">
        <v>0</v>
      </c>
      <c r="AT2320" s="23">
        <v>0</v>
      </c>
      <c r="AU2320" s="296">
        <v>0</v>
      </c>
      <c r="AV2320" s="296"/>
      <c r="AW2320" s="298" t="s">
        <v>293</v>
      </c>
      <c r="AX2320" s="296" t="s">
        <v>551</v>
      </c>
      <c r="AY2320" s="294">
        <v>0</v>
      </c>
      <c r="AZ2320" s="294">
        <v>0</v>
      </c>
      <c r="BA2320" s="295" t="s">
        <v>534</v>
      </c>
      <c r="BB2320" s="296" t="s">
        <v>5522</v>
      </c>
      <c r="BC2320" s="297">
        <v>0</v>
      </c>
      <c r="BD2320" s="297">
        <v>0</v>
      </c>
      <c r="BE2320" s="299" t="s">
        <v>5523</v>
      </c>
      <c r="BF2320" s="299" t="s">
        <v>5524</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77001803</v>
      </c>
      <c r="D2321" s="295" t="s">
        <v>5525</v>
      </c>
      <c r="E2321" s="295" t="s">
        <v>5526</v>
      </c>
      <c r="F2321" s="294">
        <v>1</v>
      </c>
      <c r="G2321" s="296">
        <v>0</v>
      </c>
      <c r="H2321" s="294">
        <v>0</v>
      </c>
      <c r="I2321" s="297">
        <v>0</v>
      </c>
      <c r="J2321" s="294">
        <v>1</v>
      </c>
      <c r="K2321" s="294">
        <v>0</v>
      </c>
      <c r="L2321" s="294">
        <v>0</v>
      </c>
      <c r="M2321" s="296">
        <v>0</v>
      </c>
      <c r="N2321" s="296">
        <v>0</v>
      </c>
      <c r="O2321" s="296">
        <v>2</v>
      </c>
      <c r="P2321" s="296" t="s">
        <v>5362</v>
      </c>
      <c r="Q2321" s="296" t="s">
        <v>5363</v>
      </c>
      <c r="R2321" s="296">
        <v>0</v>
      </c>
      <c r="S2321" s="23">
        <v>0</v>
      </c>
      <c r="T2321" s="296">
        <v>0</v>
      </c>
      <c r="U2321" s="296">
        <v>1</v>
      </c>
      <c r="V2321" s="296">
        <v>2</v>
      </c>
      <c r="W2321" s="296">
        <v>0</v>
      </c>
      <c r="X2321" s="296">
        <v>2</v>
      </c>
      <c r="Y2321" s="19">
        <v>0</v>
      </c>
      <c r="Z2321" s="296">
        <v>0</v>
      </c>
      <c r="AA2321" s="296">
        <v>0</v>
      </c>
      <c r="AB2321" s="296">
        <v>0</v>
      </c>
      <c r="AC2321" s="296">
        <v>0</v>
      </c>
      <c r="AD2321" s="296">
        <v>0</v>
      </c>
      <c r="AE2321" s="296">
        <v>1</v>
      </c>
      <c r="AF2321" s="296">
        <v>24</v>
      </c>
      <c r="AG2321" s="296">
        <v>1</v>
      </c>
      <c r="AH2321" s="296">
        <v>2</v>
      </c>
      <c r="AI2321" s="23">
        <v>0</v>
      </c>
      <c r="AJ2321" s="23">
        <v>2</v>
      </c>
      <c r="AK2321" s="23">
        <v>0</v>
      </c>
      <c r="AL2321" s="23">
        <v>2</v>
      </c>
      <c r="AM2321" s="296">
        <v>0</v>
      </c>
      <c r="AN2321" s="296">
        <v>0</v>
      </c>
      <c r="AO2321" s="296">
        <v>0</v>
      </c>
      <c r="AP2321" s="296">
        <v>3</v>
      </c>
      <c r="AQ2321" s="296">
        <v>12000</v>
      </c>
      <c r="AR2321" s="296">
        <v>1</v>
      </c>
      <c r="AS2321" s="296">
        <v>2</v>
      </c>
      <c r="AT2321" s="361" t="s">
        <v>5527</v>
      </c>
      <c r="AU2321" s="359" t="s">
        <v>5528</v>
      </c>
      <c r="AV2321" s="301"/>
      <c r="AW2321" s="295" t="s">
        <v>205</v>
      </c>
      <c r="AX2321" s="296" t="s">
        <v>540</v>
      </c>
      <c r="AY2321" s="294">
        <v>10000007</v>
      </c>
      <c r="AZ2321" s="360" t="s">
        <v>5529</v>
      </c>
      <c r="BA2321" s="295" t="s">
        <v>592</v>
      </c>
      <c r="BB2321" s="296" t="s">
        <v>5530</v>
      </c>
      <c r="BC2321" s="297">
        <v>0</v>
      </c>
      <c r="BD2321" s="297">
        <v>0</v>
      </c>
      <c r="BE2321" s="299" t="s">
        <v>5531</v>
      </c>
      <c r="BF2321" s="299" t="s">
        <v>5532</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77001804</v>
      </c>
      <c r="D2322" s="295" t="s">
        <v>5533</v>
      </c>
      <c r="E2322" s="295" t="s">
        <v>5534</v>
      </c>
      <c r="F2322" s="294">
        <v>1</v>
      </c>
      <c r="G2322" s="296">
        <v>0</v>
      </c>
      <c r="H2322" s="294">
        <v>0</v>
      </c>
      <c r="I2322" s="297">
        <v>0</v>
      </c>
      <c r="J2322" s="294">
        <v>1</v>
      </c>
      <c r="K2322" s="294">
        <v>0</v>
      </c>
      <c r="L2322" s="294">
        <v>0</v>
      </c>
      <c r="M2322" s="296">
        <v>0</v>
      </c>
      <c r="N2322" s="296">
        <v>0</v>
      </c>
      <c r="O2322" s="296">
        <v>2</v>
      </c>
      <c r="P2322" s="296">
        <v>2</v>
      </c>
      <c r="Q2322" s="296">
        <v>0.5</v>
      </c>
      <c r="R2322" s="296">
        <v>1</v>
      </c>
      <c r="S2322" s="23">
        <v>1</v>
      </c>
      <c r="T2322" s="296">
        <v>0</v>
      </c>
      <c r="U2322" s="296">
        <v>1</v>
      </c>
      <c r="V2322" s="296">
        <v>2</v>
      </c>
      <c r="W2322" s="296">
        <v>0</v>
      </c>
      <c r="X2322" s="296">
        <v>2.5</v>
      </c>
      <c r="Y2322" s="19">
        <v>0</v>
      </c>
      <c r="Z2322" s="296">
        <v>0</v>
      </c>
      <c r="AA2322" s="296">
        <v>1</v>
      </c>
      <c r="AB2322" s="296">
        <v>0</v>
      </c>
      <c r="AC2322" s="296">
        <v>0</v>
      </c>
      <c r="AD2322" s="296">
        <v>0</v>
      </c>
      <c r="AE2322" s="296">
        <v>1</v>
      </c>
      <c r="AF2322" s="296">
        <v>0</v>
      </c>
      <c r="AG2322" s="296">
        <v>1</v>
      </c>
      <c r="AH2322" s="296">
        <v>4</v>
      </c>
      <c r="AI2322" s="23">
        <v>1</v>
      </c>
      <c r="AJ2322" s="23">
        <v>1</v>
      </c>
      <c r="AK2322" s="23">
        <v>0</v>
      </c>
      <c r="AL2322" s="23">
        <v>3</v>
      </c>
      <c r="AM2322" s="296">
        <v>0</v>
      </c>
      <c r="AN2322" s="296">
        <v>0</v>
      </c>
      <c r="AO2322" s="296">
        <v>0</v>
      </c>
      <c r="AP2322" s="296">
        <v>0</v>
      </c>
      <c r="AQ2322" s="296">
        <v>3000</v>
      </c>
      <c r="AR2322" s="296">
        <v>1</v>
      </c>
      <c r="AS2322" s="296">
        <v>0</v>
      </c>
      <c r="AT2322" s="23">
        <v>0</v>
      </c>
      <c r="AU2322" s="359" t="s">
        <v>5535</v>
      </c>
      <c r="AV2322" s="301"/>
      <c r="AW2322" s="298" t="s">
        <v>293</v>
      </c>
      <c r="AX2322" s="296" t="s">
        <v>540</v>
      </c>
      <c r="AY2322" s="294">
        <v>0</v>
      </c>
      <c r="AZ2322" s="294">
        <v>77001803</v>
      </c>
      <c r="BA2322" s="295" t="s">
        <v>206</v>
      </c>
      <c r="BB2322" s="296">
        <v>0</v>
      </c>
      <c r="BC2322" s="297">
        <v>0</v>
      </c>
      <c r="BD2322" s="297">
        <v>0</v>
      </c>
      <c r="BE2322" s="299" t="s">
        <v>5536</v>
      </c>
      <c r="BF2322" s="299" t="s">
        <v>5537</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77001806</v>
      </c>
      <c r="BU2322" s="23">
        <v>0</v>
      </c>
      <c r="BV2322" s="23"/>
      <c r="BW2322" s="23"/>
      <c r="BX2322" s="23"/>
      <c r="BY2322" s="23"/>
      <c r="BZ2322" s="23"/>
    </row>
    <row r="2323" spans="3:78" ht="19.5" customHeight="1">
      <c r="C2323" s="294">
        <v>77001805</v>
      </c>
      <c r="D2323" s="295" t="s">
        <v>5525</v>
      </c>
      <c r="E2323" s="295" t="s">
        <v>5526</v>
      </c>
      <c r="F2323" s="294">
        <v>1</v>
      </c>
      <c r="G2323" s="296">
        <v>0</v>
      </c>
      <c r="H2323" s="294">
        <v>0</v>
      </c>
      <c r="I2323" s="297">
        <v>0</v>
      </c>
      <c r="J2323" s="294">
        <v>1</v>
      </c>
      <c r="K2323" s="294">
        <v>0</v>
      </c>
      <c r="L2323" s="294">
        <v>0</v>
      </c>
      <c r="M2323" s="296">
        <v>0</v>
      </c>
      <c r="N2323" s="296">
        <v>0</v>
      </c>
      <c r="O2323" s="296">
        <v>2</v>
      </c>
      <c r="P2323" s="296">
        <v>1</v>
      </c>
      <c r="Q2323" s="296">
        <v>1</v>
      </c>
      <c r="R2323" s="296">
        <v>1</v>
      </c>
      <c r="S2323" s="23">
        <v>0</v>
      </c>
      <c r="T2323" s="296">
        <v>0</v>
      </c>
      <c r="U2323" s="296">
        <v>1</v>
      </c>
      <c r="V2323" s="296">
        <v>2</v>
      </c>
      <c r="W2323" s="296">
        <v>0</v>
      </c>
      <c r="X2323" s="296">
        <v>1.5</v>
      </c>
      <c r="Y2323" s="19">
        <v>0</v>
      </c>
      <c r="Z2323" s="296">
        <v>0</v>
      </c>
      <c r="AA2323" s="296">
        <v>0</v>
      </c>
      <c r="AB2323" s="296">
        <v>0</v>
      </c>
      <c r="AC2323" s="296">
        <v>0</v>
      </c>
      <c r="AD2323" s="296">
        <v>0</v>
      </c>
      <c r="AE2323" s="296">
        <v>1</v>
      </c>
      <c r="AF2323" s="296">
        <v>35</v>
      </c>
      <c r="AG2323" s="296">
        <v>1</v>
      </c>
      <c r="AH2323" s="296">
        <v>2</v>
      </c>
      <c r="AI2323" s="23">
        <v>0</v>
      </c>
      <c r="AJ2323" s="23">
        <v>2</v>
      </c>
      <c r="AK2323" s="23">
        <v>0</v>
      </c>
      <c r="AL2323" s="23">
        <v>2</v>
      </c>
      <c r="AM2323" s="296">
        <v>0</v>
      </c>
      <c r="AN2323" s="296">
        <v>0</v>
      </c>
      <c r="AO2323" s="296">
        <v>0</v>
      </c>
      <c r="AP2323" s="296">
        <v>0</v>
      </c>
      <c r="AQ2323" s="296">
        <v>12000</v>
      </c>
      <c r="AR2323" s="296">
        <v>1</v>
      </c>
      <c r="AS2323" s="296">
        <v>2</v>
      </c>
      <c r="AT2323" s="302">
        <v>0</v>
      </c>
      <c r="AU2323" s="359" t="s">
        <v>5538</v>
      </c>
      <c r="AV2323" s="301"/>
      <c r="AW2323" s="295" t="s">
        <v>205</v>
      </c>
      <c r="AX2323" s="296" t="s">
        <v>540</v>
      </c>
      <c r="AY2323" s="294">
        <v>10000007</v>
      </c>
      <c r="AZ2323" s="360" t="s">
        <v>5529</v>
      </c>
      <c r="BA2323" s="295" t="s">
        <v>592</v>
      </c>
      <c r="BB2323" s="296" t="s">
        <v>5539</v>
      </c>
      <c r="BC2323" s="297">
        <v>0</v>
      </c>
      <c r="BD2323" s="297">
        <v>0</v>
      </c>
      <c r="BE2323" s="299" t="s">
        <v>5540</v>
      </c>
      <c r="BF2323" s="299" t="s">
        <v>5541</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0</v>
      </c>
      <c r="BU2323" s="23">
        <v>0</v>
      </c>
      <c r="BV2323" s="23"/>
      <c r="BW2323" s="23"/>
      <c r="BX2323" s="23"/>
      <c r="BY2323" s="23"/>
      <c r="BZ2323" s="23"/>
    </row>
    <row r="2324" spans="3:78" ht="19.5" customHeight="1">
      <c r="C2324" s="294">
        <v>77001806</v>
      </c>
      <c r="D2324" s="295" t="s">
        <v>5542</v>
      </c>
      <c r="E2324" s="295" t="s">
        <v>5543</v>
      </c>
      <c r="F2324" s="294">
        <v>1</v>
      </c>
      <c r="G2324" s="296">
        <v>0</v>
      </c>
      <c r="H2324" s="294">
        <v>0</v>
      </c>
      <c r="I2324" s="297">
        <v>0</v>
      </c>
      <c r="J2324" s="294">
        <v>1</v>
      </c>
      <c r="K2324" s="294">
        <v>0</v>
      </c>
      <c r="L2324" s="294">
        <v>0</v>
      </c>
      <c r="M2324" s="296">
        <v>0</v>
      </c>
      <c r="N2324" s="296">
        <v>0</v>
      </c>
      <c r="O2324" s="300">
        <v>2</v>
      </c>
      <c r="P2324" s="296">
        <v>2</v>
      </c>
      <c r="Q2324" s="296">
        <v>0.7</v>
      </c>
      <c r="R2324" s="296">
        <v>0</v>
      </c>
      <c r="S2324" s="23">
        <v>0</v>
      </c>
      <c r="T2324" s="296">
        <v>0</v>
      </c>
      <c r="U2324" s="296">
        <v>1</v>
      </c>
      <c r="V2324" s="296">
        <v>1</v>
      </c>
      <c r="W2324" s="296">
        <v>0</v>
      </c>
      <c r="X2324" s="296">
        <v>0</v>
      </c>
      <c r="Y2324" s="19">
        <v>0</v>
      </c>
      <c r="Z2324" s="296">
        <v>0</v>
      </c>
      <c r="AA2324" s="296">
        <v>0</v>
      </c>
      <c r="AB2324" s="296">
        <v>0</v>
      </c>
      <c r="AC2324" s="296">
        <v>0</v>
      </c>
      <c r="AD2324" s="300">
        <v>0</v>
      </c>
      <c r="AE2324" s="296">
        <v>1</v>
      </c>
      <c r="AF2324" s="296">
        <v>40</v>
      </c>
      <c r="AG2324" s="296">
        <v>1</v>
      </c>
      <c r="AH2324" s="296">
        <v>2</v>
      </c>
      <c r="AI2324" s="23">
        <v>0</v>
      </c>
      <c r="AJ2324" s="23">
        <v>1</v>
      </c>
      <c r="AK2324" s="23">
        <v>0</v>
      </c>
      <c r="AL2324" s="23">
        <v>0</v>
      </c>
      <c r="AM2324" s="296">
        <v>0</v>
      </c>
      <c r="AN2324" s="296">
        <v>0</v>
      </c>
      <c r="AO2324" s="296">
        <v>0</v>
      </c>
      <c r="AP2324" s="296">
        <v>0</v>
      </c>
      <c r="AQ2324" s="296">
        <v>1000</v>
      </c>
      <c r="AR2324" s="296">
        <v>0</v>
      </c>
      <c r="AS2324" s="296">
        <v>0</v>
      </c>
      <c r="AT2324" s="23">
        <v>0</v>
      </c>
      <c r="AU2324" s="296" t="s">
        <v>204</v>
      </c>
      <c r="AV2324" s="296"/>
      <c r="AW2324" s="298" t="s">
        <v>293</v>
      </c>
      <c r="AX2324" s="296" t="s">
        <v>551</v>
      </c>
      <c r="AY2324" s="294">
        <v>0</v>
      </c>
      <c r="AZ2324" s="294">
        <v>0</v>
      </c>
      <c r="BA2324" s="295" t="s">
        <v>534</v>
      </c>
      <c r="BB2324" s="296" t="s">
        <v>5544</v>
      </c>
      <c r="BC2324" s="297">
        <v>0</v>
      </c>
      <c r="BD2324" s="297">
        <v>0</v>
      </c>
      <c r="BE2324" s="299" t="s">
        <v>5545</v>
      </c>
      <c r="BF2324" s="299" t="s">
        <v>5546</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77001807</v>
      </c>
      <c r="D2325" s="295" t="s">
        <v>5547</v>
      </c>
      <c r="E2325" s="295" t="s">
        <v>5548</v>
      </c>
      <c r="F2325" s="296">
        <v>1</v>
      </c>
      <c r="G2325" s="296">
        <v>0</v>
      </c>
      <c r="H2325" s="296">
        <v>0</v>
      </c>
      <c r="I2325" s="297">
        <v>0</v>
      </c>
      <c r="J2325" s="294">
        <v>1</v>
      </c>
      <c r="K2325" s="294">
        <v>0</v>
      </c>
      <c r="L2325" s="294">
        <v>0</v>
      </c>
      <c r="M2325" s="296">
        <v>0</v>
      </c>
      <c r="N2325" s="296">
        <v>0</v>
      </c>
      <c r="O2325" s="296">
        <v>2</v>
      </c>
      <c r="P2325" s="296" t="s">
        <v>5549</v>
      </c>
      <c r="Q2325" s="296" t="s">
        <v>5550</v>
      </c>
      <c r="R2325" s="296">
        <v>0</v>
      </c>
      <c r="S2325" s="23">
        <v>0</v>
      </c>
      <c r="T2325" s="296">
        <v>0</v>
      </c>
      <c r="U2325" s="296">
        <v>1</v>
      </c>
      <c r="V2325" s="296">
        <v>1</v>
      </c>
      <c r="W2325" s="296">
        <v>0</v>
      </c>
      <c r="X2325" s="296">
        <v>0</v>
      </c>
      <c r="Y2325" s="19">
        <v>0</v>
      </c>
      <c r="Z2325" s="296">
        <v>0</v>
      </c>
      <c r="AA2325" s="296">
        <v>0</v>
      </c>
      <c r="AB2325" s="296">
        <v>0</v>
      </c>
      <c r="AC2325" s="296">
        <v>0</v>
      </c>
      <c r="AD2325" s="296">
        <v>0</v>
      </c>
      <c r="AE2325" s="296">
        <v>1</v>
      </c>
      <c r="AF2325" s="296">
        <v>0</v>
      </c>
      <c r="AG2325" s="296">
        <v>2</v>
      </c>
      <c r="AH2325" s="296" t="s">
        <v>219</v>
      </c>
      <c r="AI2325" s="23">
        <v>0</v>
      </c>
      <c r="AJ2325" s="23">
        <v>2</v>
      </c>
      <c r="AK2325" s="23">
        <v>0</v>
      </c>
      <c r="AL2325" s="23">
        <v>1.5</v>
      </c>
      <c r="AM2325" s="296">
        <v>0</v>
      </c>
      <c r="AN2325" s="296">
        <v>0</v>
      </c>
      <c r="AO2325" s="296">
        <v>0</v>
      </c>
      <c r="AP2325" s="296">
        <v>0.3</v>
      </c>
      <c r="AQ2325" s="296">
        <v>300</v>
      </c>
      <c r="AR2325" s="296">
        <v>0</v>
      </c>
      <c r="AS2325" s="296">
        <v>15</v>
      </c>
      <c r="AT2325" s="23">
        <v>0</v>
      </c>
      <c r="AU2325" s="301">
        <v>0</v>
      </c>
      <c r="AV2325" s="301"/>
      <c r="AW2325" s="295" t="s">
        <v>205</v>
      </c>
      <c r="AX2325" s="296" t="s">
        <v>221</v>
      </c>
      <c r="AY2325" s="294">
        <v>0</v>
      </c>
      <c r="AZ2325" s="294">
        <v>0</v>
      </c>
      <c r="BA2325" s="307" t="s">
        <v>222</v>
      </c>
      <c r="BB2325" s="296">
        <v>1</v>
      </c>
      <c r="BC2325" s="297">
        <v>0</v>
      </c>
      <c r="BD2325" s="297">
        <v>0</v>
      </c>
      <c r="BE2325" s="299" t="s">
        <v>5551</v>
      </c>
      <c r="BF2325" s="299" t="s">
        <v>5552</v>
      </c>
      <c r="BG2325" s="296">
        <v>0</v>
      </c>
      <c r="BH2325" s="296">
        <v>0</v>
      </c>
      <c r="BI2325" s="296">
        <v>0</v>
      </c>
      <c r="BJ2325" s="296">
        <v>0</v>
      </c>
      <c r="BK2325" s="296">
        <v>0</v>
      </c>
      <c r="BL2325" s="296">
        <v>0</v>
      </c>
      <c r="BM2325" s="300">
        <v>0</v>
      </c>
      <c r="BN2325" s="23">
        <v>0</v>
      </c>
      <c r="BO2325" s="23">
        <v>0</v>
      </c>
      <c r="BP2325" s="23">
        <v>0</v>
      </c>
      <c r="BQ2325" s="23">
        <v>0</v>
      </c>
      <c r="BR2325" s="23">
        <v>0</v>
      </c>
      <c r="BS2325" s="23">
        <v>1</v>
      </c>
      <c r="BT2325" s="23">
        <v>77001808</v>
      </c>
      <c r="BU2325" s="23">
        <v>0</v>
      </c>
      <c r="BV2325" s="23"/>
      <c r="BW2325" s="23"/>
      <c r="BX2325" s="23"/>
      <c r="BY2325" s="23"/>
      <c r="BZ2325" s="23"/>
    </row>
    <row r="2326" spans="3:78" ht="20.100000000000001" customHeight="1">
      <c r="C2326" s="294">
        <v>77001808</v>
      </c>
      <c r="D2326" s="295" t="s">
        <v>5547</v>
      </c>
      <c r="E2326" s="295" t="s">
        <v>5548</v>
      </c>
      <c r="F2326" s="296">
        <v>1</v>
      </c>
      <c r="G2326" s="296">
        <v>0</v>
      </c>
      <c r="H2326" s="296">
        <v>0</v>
      </c>
      <c r="I2326" s="297">
        <v>0</v>
      </c>
      <c r="J2326" s="294">
        <v>1</v>
      </c>
      <c r="K2326" s="294">
        <v>0</v>
      </c>
      <c r="L2326" s="294">
        <v>0</v>
      </c>
      <c r="M2326" s="296">
        <v>0</v>
      </c>
      <c r="N2326" s="296">
        <v>0</v>
      </c>
      <c r="O2326" s="296">
        <v>2</v>
      </c>
      <c r="P2326" s="296">
        <v>3</v>
      </c>
      <c r="Q2326" s="296">
        <v>0.2</v>
      </c>
      <c r="R2326" s="296">
        <v>0</v>
      </c>
      <c r="S2326" s="23">
        <v>0</v>
      </c>
      <c r="T2326" s="296">
        <v>0</v>
      </c>
      <c r="U2326" s="296">
        <v>1</v>
      </c>
      <c r="V2326" s="296">
        <v>2</v>
      </c>
      <c r="W2326" s="296">
        <v>0</v>
      </c>
      <c r="X2326" s="296">
        <v>1.5</v>
      </c>
      <c r="Y2326" s="19">
        <v>0</v>
      </c>
      <c r="Z2326" s="296">
        <v>0</v>
      </c>
      <c r="AA2326" s="296">
        <v>1</v>
      </c>
      <c r="AB2326" s="296">
        <v>0</v>
      </c>
      <c r="AC2326" s="296">
        <v>0</v>
      </c>
      <c r="AD2326" s="296">
        <v>0</v>
      </c>
      <c r="AE2326" s="296">
        <v>1</v>
      </c>
      <c r="AF2326" s="296">
        <v>0</v>
      </c>
      <c r="AG2326" s="296">
        <v>1</v>
      </c>
      <c r="AH2326" s="296">
        <v>3</v>
      </c>
      <c r="AI2326" s="23">
        <v>0</v>
      </c>
      <c r="AJ2326" s="23">
        <v>1</v>
      </c>
      <c r="AK2326" s="23">
        <v>0</v>
      </c>
      <c r="AL2326" s="23">
        <v>3</v>
      </c>
      <c r="AM2326" s="296">
        <v>0</v>
      </c>
      <c r="AN2326" s="296">
        <v>0</v>
      </c>
      <c r="AO2326" s="296">
        <v>0</v>
      </c>
      <c r="AP2326" s="296">
        <v>0.8</v>
      </c>
      <c r="AQ2326" s="296">
        <v>2000</v>
      </c>
      <c r="AR2326" s="296">
        <v>0.8</v>
      </c>
      <c r="AS2326" s="296">
        <v>0</v>
      </c>
      <c r="AT2326" s="23">
        <v>0</v>
      </c>
      <c r="AU2326" s="359" t="s">
        <v>5553</v>
      </c>
      <c r="AV2326" s="301"/>
      <c r="AW2326" s="295" t="s">
        <v>204</v>
      </c>
      <c r="AX2326" s="296" t="s">
        <v>221</v>
      </c>
      <c r="AY2326" s="294">
        <v>10000011</v>
      </c>
      <c r="AZ2326" s="294">
        <v>77001801</v>
      </c>
      <c r="BA2326" s="298" t="s">
        <v>206</v>
      </c>
      <c r="BB2326" s="296">
        <v>0</v>
      </c>
      <c r="BC2326" s="297">
        <v>0</v>
      </c>
      <c r="BD2326" s="297">
        <v>0</v>
      </c>
      <c r="BE2326" s="299" t="s">
        <v>5554</v>
      </c>
      <c r="BF2326" s="299" t="s">
        <v>5555</v>
      </c>
      <c r="BG2326" s="296">
        <v>0</v>
      </c>
      <c r="BH2326" s="296">
        <v>0</v>
      </c>
      <c r="BI2326" s="296">
        <v>0</v>
      </c>
      <c r="BJ2326" s="296">
        <v>0</v>
      </c>
      <c r="BK2326" s="296">
        <v>0</v>
      </c>
      <c r="BL2326" s="296">
        <v>0</v>
      </c>
      <c r="BM2326" s="300">
        <v>0</v>
      </c>
      <c r="BN2326" s="23">
        <v>0</v>
      </c>
      <c r="BO2326" s="23">
        <v>0</v>
      </c>
      <c r="BP2326" s="23">
        <v>0</v>
      </c>
      <c r="BQ2326" s="23">
        <v>0</v>
      </c>
      <c r="BR2326" s="23">
        <v>0</v>
      </c>
      <c r="BS2326" s="23">
        <v>0</v>
      </c>
      <c r="BT2326" s="23">
        <v>0</v>
      </c>
      <c r="BU2326" s="23">
        <v>0</v>
      </c>
      <c r="BV2326" s="23"/>
      <c r="BW2326" s="23"/>
      <c r="BX2326" s="23"/>
      <c r="BY2326" s="23"/>
      <c r="BZ2326" s="23"/>
    </row>
    <row r="2327" spans="3:78" ht="19.5" customHeight="1">
      <c r="C2327" s="294">
        <v>77001809</v>
      </c>
      <c r="D2327" s="295" t="s">
        <v>5556</v>
      </c>
      <c r="E2327" s="295" t="s">
        <v>5557</v>
      </c>
      <c r="F2327" s="294">
        <v>1</v>
      </c>
      <c r="G2327" s="294">
        <v>80004009</v>
      </c>
      <c r="H2327" s="294">
        <v>0</v>
      </c>
      <c r="I2327" s="297">
        <v>0</v>
      </c>
      <c r="J2327" s="294">
        <v>1</v>
      </c>
      <c r="K2327" s="294">
        <v>0</v>
      </c>
      <c r="L2327" s="294">
        <v>0</v>
      </c>
      <c r="M2327" s="296">
        <v>0</v>
      </c>
      <c r="N2327" s="296">
        <v>0</v>
      </c>
      <c r="O2327" s="296">
        <v>2</v>
      </c>
      <c r="P2327" s="296">
        <v>16</v>
      </c>
      <c r="Q2327" s="296">
        <v>5</v>
      </c>
      <c r="R2327" s="296">
        <v>0</v>
      </c>
      <c r="S2327" s="23">
        <v>0</v>
      </c>
      <c r="T2327" s="296">
        <v>0</v>
      </c>
      <c r="U2327" s="296">
        <v>1</v>
      </c>
      <c r="V2327" s="296">
        <v>2</v>
      </c>
      <c r="W2327" s="296">
        <v>0</v>
      </c>
      <c r="X2327" s="296">
        <v>1</v>
      </c>
      <c r="Y2327" s="19">
        <v>0</v>
      </c>
      <c r="Z2327" s="296">
        <v>0</v>
      </c>
      <c r="AA2327" s="296">
        <v>0</v>
      </c>
      <c r="AB2327" s="296">
        <v>0</v>
      </c>
      <c r="AC2327" s="296">
        <v>0</v>
      </c>
      <c r="AD2327" s="296">
        <v>0</v>
      </c>
      <c r="AE2327" s="296">
        <v>1</v>
      </c>
      <c r="AF2327" s="296">
        <v>0</v>
      </c>
      <c r="AG2327" s="296">
        <v>1</v>
      </c>
      <c r="AH2327" s="296">
        <v>2</v>
      </c>
      <c r="AI2327" s="23">
        <v>0</v>
      </c>
      <c r="AJ2327" s="23">
        <v>2</v>
      </c>
      <c r="AK2327" s="23">
        <v>0</v>
      </c>
      <c r="AL2327" s="23">
        <v>2</v>
      </c>
      <c r="AM2327" s="296">
        <v>0</v>
      </c>
      <c r="AN2327" s="296">
        <v>0</v>
      </c>
      <c r="AO2327" s="296">
        <v>0</v>
      </c>
      <c r="AP2327" s="296">
        <v>3</v>
      </c>
      <c r="AQ2327" s="296">
        <v>5000</v>
      </c>
      <c r="AR2327" s="296">
        <v>1</v>
      </c>
      <c r="AS2327" s="296">
        <v>10</v>
      </c>
      <c r="AT2327" s="302">
        <v>0</v>
      </c>
      <c r="AU2327" s="359" t="s">
        <v>5558</v>
      </c>
      <c r="AV2327" s="301"/>
      <c r="AW2327" s="295" t="s">
        <v>205</v>
      </c>
      <c r="AX2327" s="296" t="s">
        <v>540</v>
      </c>
      <c r="AY2327" s="294">
        <v>10000007</v>
      </c>
      <c r="AZ2327" s="360" t="s">
        <v>5529</v>
      </c>
      <c r="BA2327" s="295" t="s">
        <v>592</v>
      </c>
      <c r="BB2327" s="296" t="s">
        <v>5559</v>
      </c>
      <c r="BC2327" s="297">
        <v>0</v>
      </c>
      <c r="BD2327" s="297">
        <v>1</v>
      </c>
      <c r="BE2327" s="299" t="s">
        <v>5560</v>
      </c>
      <c r="BF2327" s="299" t="s">
        <v>5561</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74">
        <v>77001901</v>
      </c>
      <c r="D2328" s="71" t="s">
        <v>5562</v>
      </c>
      <c r="E2328" s="71" t="s">
        <v>5563</v>
      </c>
      <c r="F2328" s="72">
        <v>1</v>
      </c>
      <c r="G2328" s="72">
        <v>0</v>
      </c>
      <c r="H2328" s="72">
        <v>0</v>
      </c>
      <c r="I2328" s="75">
        <v>0</v>
      </c>
      <c r="J2328" s="74">
        <v>1</v>
      </c>
      <c r="K2328" s="72">
        <v>0</v>
      </c>
      <c r="L2328" s="72">
        <v>0</v>
      </c>
      <c r="M2328" s="72">
        <v>0</v>
      </c>
      <c r="N2328" s="72">
        <v>0</v>
      </c>
      <c r="O2328" s="72">
        <v>2</v>
      </c>
      <c r="P2328" s="72">
        <v>3</v>
      </c>
      <c r="Q2328" s="72">
        <v>0.4</v>
      </c>
      <c r="R2328" s="72">
        <v>0</v>
      </c>
      <c r="S2328" s="73">
        <v>0</v>
      </c>
      <c r="T2328" s="72">
        <v>0</v>
      </c>
      <c r="U2328" s="72">
        <v>1</v>
      </c>
      <c r="V2328" s="72">
        <v>1</v>
      </c>
      <c r="W2328" s="72">
        <v>0</v>
      </c>
      <c r="X2328" s="72">
        <v>0</v>
      </c>
      <c r="Y2328" s="19">
        <v>0</v>
      </c>
      <c r="Z2328" s="72">
        <v>0</v>
      </c>
      <c r="AA2328" s="72">
        <v>1</v>
      </c>
      <c r="AB2328" s="72">
        <v>0</v>
      </c>
      <c r="AC2328" s="72">
        <v>0</v>
      </c>
      <c r="AD2328" s="72">
        <v>0</v>
      </c>
      <c r="AE2328" s="72">
        <v>0</v>
      </c>
      <c r="AF2328" s="72">
        <v>14</v>
      </c>
      <c r="AG2328" s="72">
        <v>1</v>
      </c>
      <c r="AH2328" s="72">
        <v>3</v>
      </c>
      <c r="AI2328" s="73">
        <v>0</v>
      </c>
      <c r="AJ2328" s="73">
        <v>1</v>
      </c>
      <c r="AK2328" s="73">
        <v>0</v>
      </c>
      <c r="AL2328" s="73">
        <v>1.5</v>
      </c>
      <c r="AM2328" s="72">
        <v>0</v>
      </c>
      <c r="AN2328" s="72">
        <v>0</v>
      </c>
      <c r="AO2328" s="72">
        <v>0</v>
      </c>
      <c r="AP2328" s="72">
        <v>0.2</v>
      </c>
      <c r="AQ2328" s="72">
        <v>300</v>
      </c>
      <c r="AR2328" s="72">
        <v>0</v>
      </c>
      <c r="AS2328" s="72">
        <v>0</v>
      </c>
      <c r="AT2328" s="330" t="s">
        <v>5564</v>
      </c>
      <c r="AU2328" s="72">
        <v>0</v>
      </c>
      <c r="AV2328" s="72"/>
      <c r="AW2328" s="71" t="s">
        <v>204</v>
      </c>
      <c r="AX2328" s="72" t="s">
        <v>540</v>
      </c>
      <c r="AY2328" s="74">
        <v>0</v>
      </c>
      <c r="AZ2328" s="74">
        <v>77001901</v>
      </c>
      <c r="BA2328" s="71" t="s">
        <v>777</v>
      </c>
      <c r="BB2328" s="72">
        <v>0</v>
      </c>
      <c r="BC2328" s="75">
        <v>0</v>
      </c>
      <c r="BD2328" s="75">
        <v>0</v>
      </c>
      <c r="BE2328" s="114" t="s">
        <v>5565</v>
      </c>
      <c r="BF2328" s="114" t="s">
        <v>5566</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77001902</v>
      </c>
      <c r="BU2328" s="23">
        <v>0</v>
      </c>
      <c r="BV2328" s="23"/>
      <c r="BW2328" s="23"/>
      <c r="BX2328" s="23"/>
      <c r="BY2328" s="23"/>
      <c r="BZ2328" s="23"/>
    </row>
    <row r="2329" spans="3:78" ht="19.5" customHeight="1">
      <c r="C2329" s="74">
        <v>77001902</v>
      </c>
      <c r="D2329" s="71" t="s">
        <v>606</v>
      </c>
      <c r="E2329" s="71" t="s">
        <v>607</v>
      </c>
      <c r="F2329" s="74">
        <v>1</v>
      </c>
      <c r="G2329" s="72">
        <v>0</v>
      </c>
      <c r="H2329" s="74">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0</v>
      </c>
      <c r="Y2329" s="19">
        <v>0</v>
      </c>
      <c r="Z2329" s="72">
        <v>0</v>
      </c>
      <c r="AA2329" s="72">
        <v>0</v>
      </c>
      <c r="AB2329" s="72">
        <v>0</v>
      </c>
      <c r="AC2329" s="72">
        <v>0</v>
      </c>
      <c r="AD2329" s="72">
        <v>0</v>
      </c>
      <c r="AE2329" s="72">
        <v>1</v>
      </c>
      <c r="AF2329" s="72">
        <v>0</v>
      </c>
      <c r="AG2329" s="72">
        <v>1</v>
      </c>
      <c r="AH2329" s="72">
        <v>2</v>
      </c>
      <c r="AI2329" s="73">
        <v>0</v>
      </c>
      <c r="AJ2329" s="73">
        <v>1</v>
      </c>
      <c r="AK2329" s="73">
        <v>0</v>
      </c>
      <c r="AL2329" s="73">
        <v>3</v>
      </c>
      <c r="AM2329" s="72">
        <v>0</v>
      </c>
      <c r="AN2329" s="72">
        <v>0</v>
      </c>
      <c r="AO2329" s="72">
        <v>0</v>
      </c>
      <c r="AP2329" s="72">
        <v>0.3</v>
      </c>
      <c r="AQ2329" s="72">
        <v>300</v>
      </c>
      <c r="AR2329" s="72">
        <v>0</v>
      </c>
      <c r="AS2329" s="72">
        <v>0</v>
      </c>
      <c r="AT2329" s="73">
        <v>0</v>
      </c>
      <c r="AU2329" s="93">
        <v>0</v>
      </c>
      <c r="AV2329" s="93"/>
      <c r="AW2329" s="71" t="s">
        <v>204</v>
      </c>
      <c r="AX2329" s="72">
        <v>0</v>
      </c>
      <c r="AY2329" s="74">
        <v>0</v>
      </c>
      <c r="AZ2329" s="74">
        <v>0</v>
      </c>
      <c r="BA2329" s="71" t="s">
        <v>534</v>
      </c>
      <c r="BB2329" s="344" t="s">
        <v>5567</v>
      </c>
      <c r="BC2329" s="75">
        <v>0</v>
      </c>
      <c r="BD2329" s="75">
        <v>0</v>
      </c>
      <c r="BE2329" s="76" t="s">
        <v>5568</v>
      </c>
      <c r="BF2329" s="76" t="s">
        <v>5569</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77001904</v>
      </c>
      <c r="BU2329" s="23">
        <v>0</v>
      </c>
      <c r="BV2329" s="23"/>
      <c r="BW2329" s="23"/>
      <c r="BX2329" s="23"/>
      <c r="BY2329" s="23"/>
      <c r="BZ2329" s="23"/>
    </row>
    <row r="2330" spans="3:78" ht="19.5" customHeight="1">
      <c r="C2330" s="74">
        <v>77001903</v>
      </c>
      <c r="D2330" s="71" t="s">
        <v>766</v>
      </c>
      <c r="E2330" s="71" t="s">
        <v>767</v>
      </c>
      <c r="F2330" s="72">
        <v>1</v>
      </c>
      <c r="G2330" s="72">
        <v>0</v>
      </c>
      <c r="H2330" s="72">
        <v>0</v>
      </c>
      <c r="I2330" s="75">
        <v>0</v>
      </c>
      <c r="J2330" s="74">
        <v>1</v>
      </c>
      <c r="K2330" s="74">
        <v>0</v>
      </c>
      <c r="L2330" s="74">
        <v>0</v>
      </c>
      <c r="M2330" s="72">
        <v>0</v>
      </c>
      <c r="N2330" s="72">
        <v>0</v>
      </c>
      <c r="O2330" s="72">
        <v>2</v>
      </c>
      <c r="P2330" s="72">
        <v>1</v>
      </c>
      <c r="Q2330" s="72">
        <v>1</v>
      </c>
      <c r="R2330" s="72">
        <v>1</v>
      </c>
      <c r="S2330" s="73">
        <v>1</v>
      </c>
      <c r="T2330" s="72">
        <v>0</v>
      </c>
      <c r="U2330" s="72">
        <v>1</v>
      </c>
      <c r="V2330" s="72">
        <v>1</v>
      </c>
      <c r="W2330" s="72">
        <v>0</v>
      </c>
      <c r="X2330" s="72">
        <v>0.8</v>
      </c>
      <c r="Y2330" s="19">
        <v>0</v>
      </c>
      <c r="Z2330" s="72">
        <v>0</v>
      </c>
      <c r="AA2330" s="72">
        <v>0</v>
      </c>
      <c r="AB2330" s="72">
        <v>0</v>
      </c>
      <c r="AC2330" s="72">
        <v>0</v>
      </c>
      <c r="AD2330" s="72">
        <v>0</v>
      </c>
      <c r="AE2330" s="72">
        <v>1</v>
      </c>
      <c r="AF2330" s="72">
        <v>10</v>
      </c>
      <c r="AG2330" s="72">
        <v>2</v>
      </c>
      <c r="AH2330" s="72" t="s">
        <v>1042</v>
      </c>
      <c r="AI2330" s="73">
        <v>0</v>
      </c>
      <c r="AJ2330" s="73">
        <v>2</v>
      </c>
      <c r="AK2330" s="73">
        <v>0</v>
      </c>
      <c r="AL2330" s="73">
        <v>1.5</v>
      </c>
      <c r="AM2330" s="72">
        <v>0</v>
      </c>
      <c r="AN2330" s="72">
        <v>0.5</v>
      </c>
      <c r="AO2330" s="72">
        <v>0</v>
      </c>
      <c r="AP2330" s="72">
        <v>0.5</v>
      </c>
      <c r="AQ2330" s="72">
        <v>500</v>
      </c>
      <c r="AR2330" s="72">
        <v>0</v>
      </c>
      <c r="AS2330" s="72">
        <v>15</v>
      </c>
      <c r="AT2330" s="73">
        <v>0</v>
      </c>
      <c r="AU2330" s="322" t="s">
        <v>5570</v>
      </c>
      <c r="AV2330" s="93"/>
      <c r="AW2330" s="71" t="s">
        <v>205</v>
      </c>
      <c r="AX2330" s="72" t="s">
        <v>221</v>
      </c>
      <c r="AY2330" s="74">
        <v>0</v>
      </c>
      <c r="AZ2330" s="74">
        <v>0</v>
      </c>
      <c r="BA2330" s="306" t="s">
        <v>222</v>
      </c>
      <c r="BB2330" s="72">
        <v>0</v>
      </c>
      <c r="BC2330" s="75">
        <v>0</v>
      </c>
      <c r="BD2330" s="75">
        <v>0</v>
      </c>
      <c r="BE2330" s="76" t="s">
        <v>2450</v>
      </c>
      <c r="BF2330" s="76" t="s">
        <v>2451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77001904</v>
      </c>
      <c r="D2331" s="71" t="s">
        <v>3010</v>
      </c>
      <c r="E2331" s="71" t="s">
        <v>5392</v>
      </c>
      <c r="F2331" s="72">
        <v>1</v>
      </c>
      <c r="G2331" s="72">
        <v>0</v>
      </c>
      <c r="H2331" s="72">
        <v>0</v>
      </c>
      <c r="I2331" s="75">
        <v>0</v>
      </c>
      <c r="J2331" s="74">
        <v>1</v>
      </c>
      <c r="K2331" s="74">
        <v>0</v>
      </c>
      <c r="L2331" s="74">
        <v>0</v>
      </c>
      <c r="M2331" s="72">
        <v>0</v>
      </c>
      <c r="N2331" s="72">
        <v>0</v>
      </c>
      <c r="O2331" s="72">
        <v>2</v>
      </c>
      <c r="P2331" s="72">
        <v>3</v>
      </c>
      <c r="Q2331" s="72">
        <v>0.2</v>
      </c>
      <c r="R2331" s="72">
        <v>0</v>
      </c>
      <c r="S2331" s="73">
        <v>0</v>
      </c>
      <c r="T2331" s="72">
        <v>0</v>
      </c>
      <c r="U2331" s="72">
        <v>1</v>
      </c>
      <c r="V2331" s="72">
        <v>1</v>
      </c>
      <c r="W2331" s="72">
        <v>0</v>
      </c>
      <c r="X2331" s="72">
        <v>2</v>
      </c>
      <c r="Y2331" s="19">
        <v>0</v>
      </c>
      <c r="Z2331" s="72">
        <v>0</v>
      </c>
      <c r="AA2331" s="72">
        <v>1</v>
      </c>
      <c r="AB2331" s="72">
        <v>0</v>
      </c>
      <c r="AC2331" s="72">
        <v>0</v>
      </c>
      <c r="AD2331" s="72">
        <v>0</v>
      </c>
      <c r="AE2331" s="72">
        <v>1</v>
      </c>
      <c r="AF2331" s="72">
        <v>0</v>
      </c>
      <c r="AG2331" s="72">
        <v>1</v>
      </c>
      <c r="AH2331" s="72">
        <v>5</v>
      </c>
      <c r="AI2331" s="73">
        <v>0</v>
      </c>
      <c r="AJ2331" s="73">
        <v>1</v>
      </c>
      <c r="AK2331" s="73">
        <v>0</v>
      </c>
      <c r="AL2331" s="73">
        <v>3</v>
      </c>
      <c r="AM2331" s="72">
        <v>0</v>
      </c>
      <c r="AN2331" s="72">
        <v>2.1</v>
      </c>
      <c r="AO2331" s="72">
        <v>0</v>
      </c>
      <c r="AP2331" s="72">
        <v>0.9</v>
      </c>
      <c r="AQ2331" s="72">
        <v>3000</v>
      </c>
      <c r="AR2331" s="72">
        <v>1</v>
      </c>
      <c r="AS2331" s="72">
        <v>0</v>
      </c>
      <c r="AT2331" s="73">
        <v>0</v>
      </c>
      <c r="AU2331" s="322" t="s">
        <v>5571</v>
      </c>
      <c r="AV2331" s="93"/>
      <c r="AW2331" s="71" t="s">
        <v>293</v>
      </c>
      <c r="AX2331" s="72" t="s">
        <v>221</v>
      </c>
      <c r="AY2331" s="74">
        <v>0</v>
      </c>
      <c r="AZ2331" s="74">
        <v>77001902</v>
      </c>
      <c r="BA2331" s="88" t="s">
        <v>206</v>
      </c>
      <c r="BB2331" s="72">
        <v>0</v>
      </c>
      <c r="BC2331" s="75">
        <v>0</v>
      </c>
      <c r="BD2331" s="75">
        <v>0</v>
      </c>
      <c r="BE2331" s="76" t="s">
        <v>5572</v>
      </c>
      <c r="BF2331" s="76" t="s">
        <v>5573</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77001905</v>
      </c>
      <c r="D2332" s="71" t="s">
        <v>5574</v>
      </c>
      <c r="E2332" s="71" t="s">
        <v>5575</v>
      </c>
      <c r="F2332" s="74">
        <v>1</v>
      </c>
      <c r="G2332" s="72">
        <v>0</v>
      </c>
      <c r="H2332" s="74">
        <v>0</v>
      </c>
      <c r="I2332" s="75">
        <v>0</v>
      </c>
      <c r="J2332" s="74">
        <v>1</v>
      </c>
      <c r="K2332" s="74">
        <v>0</v>
      </c>
      <c r="L2332" s="74">
        <v>0</v>
      </c>
      <c r="M2332" s="72">
        <v>0</v>
      </c>
      <c r="N2332" s="72">
        <v>0</v>
      </c>
      <c r="O2332" s="90">
        <v>2</v>
      </c>
      <c r="P2332" s="72">
        <v>2</v>
      </c>
      <c r="Q2332" s="72">
        <v>0.6</v>
      </c>
      <c r="R2332" s="72">
        <v>0</v>
      </c>
      <c r="S2332" s="73">
        <v>0</v>
      </c>
      <c r="T2332" s="72">
        <v>0</v>
      </c>
      <c r="U2332" s="72">
        <v>1</v>
      </c>
      <c r="V2332" s="72">
        <v>1</v>
      </c>
      <c r="W2332" s="72">
        <v>0</v>
      </c>
      <c r="X2332" s="72">
        <v>0</v>
      </c>
      <c r="Y2332" s="19">
        <v>0</v>
      </c>
      <c r="Z2332" s="72">
        <v>0</v>
      </c>
      <c r="AA2332" s="72">
        <v>0</v>
      </c>
      <c r="AB2332" s="72">
        <v>0</v>
      </c>
      <c r="AC2332" s="72">
        <v>0</v>
      </c>
      <c r="AD2332" s="90">
        <v>0</v>
      </c>
      <c r="AE2332" s="72">
        <v>1</v>
      </c>
      <c r="AF2332" s="72">
        <v>60</v>
      </c>
      <c r="AG2332" s="72">
        <v>1</v>
      </c>
      <c r="AH2332" s="72">
        <v>2</v>
      </c>
      <c r="AI2332" s="73">
        <v>1</v>
      </c>
      <c r="AJ2332" s="73">
        <v>1</v>
      </c>
      <c r="AK2332" s="73">
        <v>0</v>
      </c>
      <c r="AL2332" s="73">
        <v>0</v>
      </c>
      <c r="AM2332" s="72">
        <v>0</v>
      </c>
      <c r="AN2332" s="72">
        <v>0</v>
      </c>
      <c r="AO2332" s="72">
        <v>0</v>
      </c>
      <c r="AP2332" s="72">
        <v>0</v>
      </c>
      <c r="AQ2332" s="72">
        <v>1000</v>
      </c>
      <c r="AR2332" s="72">
        <v>0</v>
      </c>
      <c r="AS2332" s="72">
        <v>0</v>
      </c>
      <c r="AT2332" s="73">
        <v>0</v>
      </c>
      <c r="AU2332" s="322" t="s">
        <v>5576</v>
      </c>
      <c r="AV2332" s="93"/>
      <c r="AW2332" s="88" t="s">
        <v>293</v>
      </c>
      <c r="AX2332" s="72" t="s">
        <v>551</v>
      </c>
      <c r="AY2332" s="74">
        <v>0</v>
      </c>
      <c r="AZ2332" s="74">
        <v>0</v>
      </c>
      <c r="BA2332" s="71" t="s">
        <v>534</v>
      </c>
      <c r="BB2332" s="72" t="s">
        <v>5577</v>
      </c>
      <c r="BC2332" s="75">
        <v>0</v>
      </c>
      <c r="BD2332" s="75">
        <v>0</v>
      </c>
      <c r="BE2332" s="76" t="s">
        <v>5578</v>
      </c>
      <c r="BF2332" s="76" t="s">
        <v>5579</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20.100000000000001" customHeight="1">
      <c r="C2333" s="74">
        <v>77001906</v>
      </c>
      <c r="D2333" s="71" t="s">
        <v>5580</v>
      </c>
      <c r="E2333" s="71" t="s">
        <v>5581</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v>
      </c>
      <c r="Y2333" s="19">
        <v>0</v>
      </c>
      <c r="Z2333" s="72">
        <v>0</v>
      </c>
      <c r="AA2333" s="72">
        <v>1</v>
      </c>
      <c r="AB2333" s="72">
        <v>0</v>
      </c>
      <c r="AC2333" s="72">
        <v>0</v>
      </c>
      <c r="AD2333" s="72">
        <v>0</v>
      </c>
      <c r="AE2333" s="72">
        <v>1</v>
      </c>
      <c r="AF2333" s="72">
        <v>24</v>
      </c>
      <c r="AG2333" s="72">
        <v>1</v>
      </c>
      <c r="AH2333" s="72">
        <v>3</v>
      </c>
      <c r="AI2333" s="73">
        <v>0</v>
      </c>
      <c r="AJ2333" s="73">
        <v>1</v>
      </c>
      <c r="AK2333" s="73">
        <v>0</v>
      </c>
      <c r="AL2333" s="73">
        <v>3</v>
      </c>
      <c r="AM2333" s="72">
        <v>0</v>
      </c>
      <c r="AN2333" s="72">
        <v>0</v>
      </c>
      <c r="AO2333" s="72">
        <v>0</v>
      </c>
      <c r="AP2333" s="72">
        <v>0</v>
      </c>
      <c r="AQ2333" s="72">
        <v>0</v>
      </c>
      <c r="AR2333" s="72">
        <v>0</v>
      </c>
      <c r="AS2333" s="72">
        <v>0</v>
      </c>
      <c r="AT2333" s="321" t="s">
        <v>5582</v>
      </c>
      <c r="AU2333" s="93">
        <v>0</v>
      </c>
      <c r="AV2333" s="93"/>
      <c r="AW2333" s="71" t="s">
        <v>204</v>
      </c>
      <c r="AX2333" s="72" t="s">
        <v>221</v>
      </c>
      <c r="AY2333" s="74">
        <v>0</v>
      </c>
      <c r="AZ2333" s="74">
        <v>77001901</v>
      </c>
      <c r="BA2333" s="88" t="s">
        <v>206</v>
      </c>
      <c r="BB2333" s="72">
        <v>0</v>
      </c>
      <c r="BC2333" s="75">
        <v>0</v>
      </c>
      <c r="BD2333" s="75">
        <v>0</v>
      </c>
      <c r="BE2333" s="76" t="s">
        <v>5583</v>
      </c>
      <c r="BF2333" s="76" t="s">
        <v>5584</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77001907</v>
      </c>
      <c r="D2334" s="71" t="s">
        <v>5585</v>
      </c>
      <c r="E2334" s="71" t="s">
        <v>5586</v>
      </c>
      <c r="F2334" s="72">
        <v>1</v>
      </c>
      <c r="G2334" s="72">
        <v>0</v>
      </c>
      <c r="H2334" s="72">
        <v>0</v>
      </c>
      <c r="I2334" s="75">
        <v>0</v>
      </c>
      <c r="J2334" s="74">
        <v>1</v>
      </c>
      <c r="K2334" s="74">
        <v>0</v>
      </c>
      <c r="L2334" s="74">
        <v>0</v>
      </c>
      <c r="M2334" s="72">
        <v>0</v>
      </c>
      <c r="N2334" s="72">
        <v>0</v>
      </c>
      <c r="O2334" s="72">
        <v>2</v>
      </c>
      <c r="P2334" s="72">
        <v>16</v>
      </c>
      <c r="Q2334" s="72">
        <v>6</v>
      </c>
      <c r="R2334" s="72">
        <v>0</v>
      </c>
      <c r="S2334" s="73">
        <v>0</v>
      </c>
      <c r="T2334" s="72">
        <v>0</v>
      </c>
      <c r="U2334" s="72">
        <v>1</v>
      </c>
      <c r="V2334" s="72">
        <v>1</v>
      </c>
      <c r="W2334" s="72">
        <v>0</v>
      </c>
      <c r="X2334" s="72">
        <v>0</v>
      </c>
      <c r="Y2334" s="19">
        <v>0</v>
      </c>
      <c r="Z2334" s="72">
        <v>0</v>
      </c>
      <c r="AA2334" s="72">
        <v>0</v>
      </c>
      <c r="AB2334" s="72">
        <v>0</v>
      </c>
      <c r="AC2334" s="72">
        <v>0</v>
      </c>
      <c r="AD2334" s="72">
        <v>0</v>
      </c>
      <c r="AE2334" s="72">
        <v>1</v>
      </c>
      <c r="AF2334" s="72">
        <v>0</v>
      </c>
      <c r="AG2334" s="72">
        <v>2</v>
      </c>
      <c r="AH2334" s="72" t="s">
        <v>1042</v>
      </c>
      <c r="AI2334" s="73">
        <v>0</v>
      </c>
      <c r="AJ2334" s="73">
        <v>2</v>
      </c>
      <c r="AK2334" s="73">
        <v>0</v>
      </c>
      <c r="AL2334" s="73">
        <v>1.5</v>
      </c>
      <c r="AM2334" s="72">
        <v>0</v>
      </c>
      <c r="AN2334" s="72">
        <v>0</v>
      </c>
      <c r="AO2334" s="72">
        <v>0</v>
      </c>
      <c r="AP2334" s="72">
        <v>0.3</v>
      </c>
      <c r="AQ2334" s="72">
        <v>300</v>
      </c>
      <c r="AR2334" s="72">
        <v>0</v>
      </c>
      <c r="AS2334" s="72">
        <v>15</v>
      </c>
      <c r="AT2334" s="73">
        <v>97009010</v>
      </c>
      <c r="AU2334" s="93">
        <v>0</v>
      </c>
      <c r="AV2334" s="93"/>
      <c r="AW2334" s="71" t="s">
        <v>205</v>
      </c>
      <c r="AX2334" s="72" t="s">
        <v>221</v>
      </c>
      <c r="AY2334" s="74">
        <v>0</v>
      </c>
      <c r="AZ2334" s="74">
        <v>0</v>
      </c>
      <c r="BA2334" s="306" t="s">
        <v>222</v>
      </c>
      <c r="BB2334" s="72">
        <v>1</v>
      </c>
      <c r="BC2334" s="75">
        <v>0</v>
      </c>
      <c r="BD2334" s="75">
        <v>0</v>
      </c>
      <c r="BE2334" s="76" t="s">
        <v>5587</v>
      </c>
      <c r="BF2334" s="76" t="s">
        <v>5588</v>
      </c>
      <c r="BG2334" s="72">
        <v>0</v>
      </c>
      <c r="BH2334" s="72">
        <v>0</v>
      </c>
      <c r="BI2334" s="72">
        <v>0</v>
      </c>
      <c r="BJ2334" s="72">
        <v>0</v>
      </c>
      <c r="BK2334" s="72">
        <v>0</v>
      </c>
      <c r="BL2334" s="72">
        <v>0</v>
      </c>
      <c r="BM2334" s="90">
        <v>0</v>
      </c>
      <c r="BN2334" s="73">
        <v>0</v>
      </c>
      <c r="BO2334" s="73">
        <v>0</v>
      </c>
      <c r="BP2334" s="73">
        <v>0</v>
      </c>
      <c r="BQ2334" s="73">
        <v>0</v>
      </c>
      <c r="BR2334" s="73">
        <v>0</v>
      </c>
      <c r="BS2334" s="73">
        <v>1</v>
      </c>
      <c r="BT2334" s="73">
        <v>77001908</v>
      </c>
      <c r="BU2334" s="23">
        <v>0</v>
      </c>
      <c r="BV2334" s="23"/>
      <c r="BW2334" s="23"/>
      <c r="BX2334" s="23"/>
      <c r="BY2334" s="23"/>
      <c r="BZ2334" s="23"/>
    </row>
    <row r="2335" spans="3:78" ht="20.100000000000001" customHeight="1">
      <c r="C2335" s="74">
        <v>77001908</v>
      </c>
      <c r="D2335" s="71" t="s">
        <v>5589</v>
      </c>
      <c r="E2335" s="71" t="s">
        <v>5590</v>
      </c>
      <c r="F2335" s="72">
        <v>1</v>
      </c>
      <c r="G2335" s="72">
        <v>0</v>
      </c>
      <c r="H2335" s="72">
        <v>0</v>
      </c>
      <c r="I2335" s="75">
        <v>0</v>
      </c>
      <c r="J2335" s="74">
        <v>1</v>
      </c>
      <c r="K2335" s="74">
        <v>0</v>
      </c>
      <c r="L2335" s="74">
        <v>0</v>
      </c>
      <c r="M2335" s="72">
        <v>0</v>
      </c>
      <c r="N2335" s="72">
        <v>0</v>
      </c>
      <c r="O2335" s="72">
        <v>2</v>
      </c>
      <c r="P2335" s="72">
        <v>1</v>
      </c>
      <c r="Q2335" s="72">
        <v>0.2</v>
      </c>
      <c r="R2335" s="72">
        <v>0</v>
      </c>
      <c r="S2335" s="73">
        <v>0</v>
      </c>
      <c r="T2335" s="72">
        <v>0</v>
      </c>
      <c r="U2335" s="72">
        <v>1</v>
      </c>
      <c r="V2335" s="72">
        <v>1</v>
      </c>
      <c r="W2335" s="72">
        <v>0</v>
      </c>
      <c r="X2335" s="72">
        <v>0.5</v>
      </c>
      <c r="Y2335" s="19">
        <v>0</v>
      </c>
      <c r="Z2335" s="72">
        <v>0</v>
      </c>
      <c r="AA2335" s="72">
        <v>1</v>
      </c>
      <c r="AB2335" s="72">
        <v>0</v>
      </c>
      <c r="AC2335" s="72">
        <v>0</v>
      </c>
      <c r="AD2335" s="72">
        <v>0</v>
      </c>
      <c r="AE2335" s="72">
        <v>1</v>
      </c>
      <c r="AF2335" s="72">
        <v>0</v>
      </c>
      <c r="AG2335" s="72">
        <v>1</v>
      </c>
      <c r="AH2335" s="72">
        <v>3</v>
      </c>
      <c r="AI2335" s="73">
        <v>0</v>
      </c>
      <c r="AJ2335" s="73">
        <v>1</v>
      </c>
      <c r="AK2335" s="73">
        <v>0</v>
      </c>
      <c r="AL2335" s="73">
        <v>3</v>
      </c>
      <c r="AM2335" s="72">
        <v>0</v>
      </c>
      <c r="AN2335" s="72">
        <v>0</v>
      </c>
      <c r="AO2335" s="72">
        <v>0</v>
      </c>
      <c r="AP2335" s="72">
        <v>0.5</v>
      </c>
      <c r="AQ2335" s="72">
        <v>3000</v>
      </c>
      <c r="AR2335" s="72">
        <v>0.5</v>
      </c>
      <c r="AS2335" s="72">
        <v>0</v>
      </c>
      <c r="AT2335" s="73">
        <v>0</v>
      </c>
      <c r="AU2335" s="322" t="s">
        <v>5570</v>
      </c>
      <c r="AV2335" s="93"/>
      <c r="AW2335" s="71" t="s">
        <v>204</v>
      </c>
      <c r="AX2335" s="72" t="s">
        <v>221</v>
      </c>
      <c r="AY2335" s="74">
        <v>0</v>
      </c>
      <c r="AZ2335" s="74">
        <v>77001907</v>
      </c>
      <c r="BA2335" s="88" t="s">
        <v>206</v>
      </c>
      <c r="BB2335" s="72">
        <v>0</v>
      </c>
      <c r="BC2335" s="75">
        <v>0</v>
      </c>
      <c r="BD2335" s="75">
        <v>0</v>
      </c>
      <c r="BE2335" s="76" t="s">
        <v>3010</v>
      </c>
      <c r="BF2335" s="76" t="s">
        <v>5392</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77001909</v>
      </c>
      <c r="D2336" s="71" t="s">
        <v>5591</v>
      </c>
      <c r="E2336" s="71" t="s">
        <v>5592</v>
      </c>
      <c r="F2336" s="74">
        <v>1</v>
      </c>
      <c r="G2336" s="74">
        <v>0</v>
      </c>
      <c r="H2336" s="74">
        <v>0</v>
      </c>
      <c r="I2336" s="75">
        <v>0</v>
      </c>
      <c r="J2336" s="74">
        <v>1</v>
      </c>
      <c r="K2336" s="74">
        <v>0</v>
      </c>
      <c r="L2336" s="74">
        <v>0</v>
      </c>
      <c r="M2336" s="72">
        <v>0</v>
      </c>
      <c r="N2336" s="72">
        <v>0</v>
      </c>
      <c r="O2336" s="72">
        <v>2</v>
      </c>
      <c r="P2336" s="72">
        <v>16</v>
      </c>
      <c r="Q2336" s="72">
        <v>5</v>
      </c>
      <c r="R2336" s="72">
        <v>0</v>
      </c>
      <c r="S2336" s="73">
        <v>0</v>
      </c>
      <c r="T2336" s="72">
        <v>0</v>
      </c>
      <c r="U2336" s="72">
        <v>1</v>
      </c>
      <c r="V2336" s="72">
        <v>2</v>
      </c>
      <c r="W2336" s="72">
        <v>0</v>
      </c>
      <c r="X2336" s="72">
        <v>1</v>
      </c>
      <c r="Y2336" s="19">
        <v>0</v>
      </c>
      <c r="Z2336" s="72">
        <v>0</v>
      </c>
      <c r="AA2336" s="72">
        <v>1</v>
      </c>
      <c r="AB2336" s="72">
        <v>0</v>
      </c>
      <c r="AC2336" s="72">
        <v>0</v>
      </c>
      <c r="AD2336" s="72">
        <v>0</v>
      </c>
      <c r="AE2336" s="72">
        <v>1</v>
      </c>
      <c r="AF2336" s="72">
        <v>0</v>
      </c>
      <c r="AG2336" s="72">
        <v>2</v>
      </c>
      <c r="AH2336" s="72" t="s">
        <v>5593</v>
      </c>
      <c r="AI2336" s="73">
        <v>0</v>
      </c>
      <c r="AJ2336" s="73">
        <v>2</v>
      </c>
      <c r="AK2336" s="73">
        <v>0</v>
      </c>
      <c r="AL2336" s="73">
        <v>4</v>
      </c>
      <c r="AM2336" s="72">
        <v>0</v>
      </c>
      <c r="AN2336" s="72">
        <v>1</v>
      </c>
      <c r="AO2336" s="72">
        <v>0</v>
      </c>
      <c r="AP2336" s="72">
        <v>1</v>
      </c>
      <c r="AQ2336" s="72">
        <v>9000</v>
      </c>
      <c r="AR2336" s="72">
        <v>0</v>
      </c>
      <c r="AS2336" s="72">
        <v>10</v>
      </c>
      <c r="AT2336" s="92">
        <v>0</v>
      </c>
      <c r="AU2336" s="322" t="s">
        <v>5570</v>
      </c>
      <c r="AV2336" s="93"/>
      <c r="AW2336" s="71" t="s">
        <v>262</v>
      </c>
      <c r="AX2336" s="72" t="s">
        <v>540</v>
      </c>
      <c r="AY2336" s="74">
        <v>10000007</v>
      </c>
      <c r="AZ2336" s="74">
        <v>77001908</v>
      </c>
      <c r="BA2336" s="71" t="s">
        <v>592</v>
      </c>
      <c r="BB2336" s="72" t="s">
        <v>5594</v>
      </c>
      <c r="BC2336" s="75">
        <v>0</v>
      </c>
      <c r="BD2336" s="75">
        <v>1</v>
      </c>
      <c r="BE2336" s="76" t="s">
        <v>5595</v>
      </c>
      <c r="BF2336" s="76" t="s">
        <v>5596</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77001910</v>
      </c>
      <c r="D2337" s="71" t="s">
        <v>5597</v>
      </c>
      <c r="E2337" s="71" t="s">
        <v>5598</v>
      </c>
      <c r="F2337" s="72">
        <v>1</v>
      </c>
      <c r="G2337" s="72">
        <v>0</v>
      </c>
      <c r="H2337" s="72">
        <v>0</v>
      </c>
      <c r="I2337" s="75">
        <v>0</v>
      </c>
      <c r="J2337" s="74">
        <v>1</v>
      </c>
      <c r="K2337" s="74">
        <v>0</v>
      </c>
      <c r="L2337" s="74">
        <v>0</v>
      </c>
      <c r="M2337" s="72">
        <v>0</v>
      </c>
      <c r="N2337" s="72">
        <v>0</v>
      </c>
      <c r="O2337" s="72">
        <v>2</v>
      </c>
      <c r="P2337" s="72">
        <v>2</v>
      </c>
      <c r="Q2337" s="72">
        <v>0.8</v>
      </c>
      <c r="R2337" s="72">
        <v>0</v>
      </c>
      <c r="S2337" s="73">
        <v>3</v>
      </c>
      <c r="T2337" s="72">
        <v>0</v>
      </c>
      <c r="U2337" s="72">
        <v>1</v>
      </c>
      <c r="V2337" s="72">
        <v>1</v>
      </c>
      <c r="W2337" s="72">
        <v>0</v>
      </c>
      <c r="X2337" s="72">
        <v>0</v>
      </c>
      <c r="Y2337" s="19">
        <v>0</v>
      </c>
      <c r="Z2337" s="72">
        <v>0</v>
      </c>
      <c r="AA2337" s="72">
        <v>0</v>
      </c>
      <c r="AB2337" s="72">
        <v>0</v>
      </c>
      <c r="AC2337" s="72">
        <v>0</v>
      </c>
      <c r="AD2337" s="72">
        <v>0</v>
      </c>
      <c r="AE2337" s="72">
        <v>1</v>
      </c>
      <c r="AF2337" s="72">
        <v>12</v>
      </c>
      <c r="AG2337" s="72">
        <v>2</v>
      </c>
      <c r="AH2337" s="72" t="s">
        <v>219</v>
      </c>
      <c r="AI2337" s="73">
        <v>0</v>
      </c>
      <c r="AJ2337" s="73">
        <v>2</v>
      </c>
      <c r="AK2337" s="73">
        <v>0</v>
      </c>
      <c r="AL2337" s="73">
        <v>1.5</v>
      </c>
      <c r="AM2337" s="72">
        <v>0</v>
      </c>
      <c r="AN2337" s="72">
        <v>0</v>
      </c>
      <c r="AO2337" s="72">
        <v>0</v>
      </c>
      <c r="AP2337" s="72">
        <v>0.3</v>
      </c>
      <c r="AQ2337" s="72">
        <v>300</v>
      </c>
      <c r="AR2337" s="72">
        <v>0</v>
      </c>
      <c r="AS2337" s="72">
        <v>20</v>
      </c>
      <c r="AT2337" s="73">
        <v>0</v>
      </c>
      <c r="AU2337" s="322" t="s">
        <v>5570</v>
      </c>
      <c r="AV2337" s="93"/>
      <c r="AW2337" s="71" t="s">
        <v>205</v>
      </c>
      <c r="AX2337" s="72" t="s">
        <v>221</v>
      </c>
      <c r="AY2337" s="74">
        <v>0</v>
      </c>
      <c r="AZ2337" s="74">
        <v>0</v>
      </c>
      <c r="BA2337" s="306" t="s">
        <v>222</v>
      </c>
      <c r="BB2337" s="72">
        <v>0</v>
      </c>
      <c r="BC2337" s="75">
        <v>0</v>
      </c>
      <c r="BD2337" s="75">
        <v>0</v>
      </c>
      <c r="BE2337" s="76" t="s">
        <v>5599</v>
      </c>
      <c r="BF2337" s="76" t="s">
        <v>5600</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77001911</v>
      </c>
      <c r="BU2337" s="23">
        <v>0</v>
      </c>
      <c r="BV2337" s="23"/>
      <c r="BW2337" s="23"/>
      <c r="BX2337" s="23"/>
      <c r="BY2337" s="23"/>
      <c r="BZ2337" s="23"/>
    </row>
    <row r="2338" spans="3:78" ht="20.100000000000001" customHeight="1">
      <c r="C2338" s="74">
        <v>77001911</v>
      </c>
      <c r="D2338" s="71" t="s">
        <v>3010</v>
      </c>
      <c r="E2338" s="71" t="s">
        <v>5392</v>
      </c>
      <c r="F2338" s="72">
        <v>1</v>
      </c>
      <c r="G2338" s="72">
        <v>0</v>
      </c>
      <c r="H2338" s="72">
        <v>0</v>
      </c>
      <c r="I2338" s="75">
        <v>0</v>
      </c>
      <c r="J2338" s="74">
        <v>1</v>
      </c>
      <c r="K2338" s="74">
        <v>0</v>
      </c>
      <c r="L2338" s="74">
        <v>0</v>
      </c>
      <c r="M2338" s="72">
        <v>0</v>
      </c>
      <c r="N2338" s="72">
        <v>0</v>
      </c>
      <c r="O2338" s="72">
        <v>2</v>
      </c>
      <c r="P2338" s="72">
        <v>3</v>
      </c>
      <c r="Q2338" s="72">
        <v>0.2</v>
      </c>
      <c r="R2338" s="72">
        <v>0</v>
      </c>
      <c r="S2338" s="73">
        <v>0</v>
      </c>
      <c r="T2338" s="72">
        <v>0</v>
      </c>
      <c r="U2338" s="72">
        <v>1</v>
      </c>
      <c r="V2338" s="72">
        <v>1</v>
      </c>
      <c r="W2338" s="72">
        <v>0</v>
      </c>
      <c r="X2338" s="72">
        <v>1.5</v>
      </c>
      <c r="Y2338" s="19">
        <v>0</v>
      </c>
      <c r="Z2338" s="72">
        <v>0</v>
      </c>
      <c r="AA2338" s="72">
        <v>1</v>
      </c>
      <c r="AB2338" s="72">
        <v>0</v>
      </c>
      <c r="AC2338" s="72">
        <v>0</v>
      </c>
      <c r="AD2338" s="72">
        <v>0</v>
      </c>
      <c r="AE2338" s="72">
        <v>1</v>
      </c>
      <c r="AF2338" s="72">
        <v>0</v>
      </c>
      <c r="AG2338" s="72">
        <v>1</v>
      </c>
      <c r="AH2338" s="72">
        <v>6</v>
      </c>
      <c r="AI2338" s="73">
        <v>0</v>
      </c>
      <c r="AJ2338" s="73">
        <v>1</v>
      </c>
      <c r="AK2338" s="73">
        <v>0</v>
      </c>
      <c r="AL2338" s="73">
        <v>3</v>
      </c>
      <c r="AM2338" s="72">
        <v>0</v>
      </c>
      <c r="AN2338" s="72">
        <v>0</v>
      </c>
      <c r="AO2338" s="72">
        <v>0</v>
      </c>
      <c r="AP2338" s="72">
        <v>1</v>
      </c>
      <c r="AQ2338" s="72">
        <v>3000</v>
      </c>
      <c r="AR2338" s="72">
        <v>1</v>
      </c>
      <c r="AS2338" s="72">
        <v>0</v>
      </c>
      <c r="AT2338" s="73">
        <v>0</v>
      </c>
      <c r="AU2338" s="322" t="s">
        <v>5601</v>
      </c>
      <c r="AV2338" s="93"/>
      <c r="AW2338" s="71" t="s">
        <v>204</v>
      </c>
      <c r="AX2338" s="72" t="s">
        <v>221</v>
      </c>
      <c r="AY2338" s="74">
        <v>0</v>
      </c>
      <c r="AZ2338" s="74">
        <v>77001903</v>
      </c>
      <c r="BA2338" s="88" t="s">
        <v>206</v>
      </c>
      <c r="BB2338" s="72">
        <v>0</v>
      </c>
      <c r="BC2338" s="75">
        <v>0</v>
      </c>
      <c r="BD2338" s="75">
        <v>0</v>
      </c>
      <c r="BE2338" s="76" t="s">
        <v>3010</v>
      </c>
      <c r="BF2338" s="76" t="s">
        <v>5392</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20.100000000000001" customHeight="1">
      <c r="C2339" s="74">
        <v>77001912</v>
      </c>
      <c r="D2339" s="71" t="s">
        <v>5602</v>
      </c>
      <c r="E2339" s="71" t="s">
        <v>5603</v>
      </c>
      <c r="F2339" s="72">
        <v>1</v>
      </c>
      <c r="G2339" s="72">
        <v>0</v>
      </c>
      <c r="H2339" s="72">
        <v>0</v>
      </c>
      <c r="I2339" s="75">
        <v>0</v>
      </c>
      <c r="J2339" s="74">
        <v>1</v>
      </c>
      <c r="K2339" s="72">
        <v>0</v>
      </c>
      <c r="L2339" s="72">
        <v>0</v>
      </c>
      <c r="M2339" s="72">
        <v>0</v>
      </c>
      <c r="N2339" s="72">
        <v>0</v>
      </c>
      <c r="O2339" s="72">
        <v>2</v>
      </c>
      <c r="P2339" s="72">
        <v>1</v>
      </c>
      <c r="Q2339" s="72">
        <v>0.1</v>
      </c>
      <c r="R2339" s="72">
        <v>0</v>
      </c>
      <c r="S2339" s="73">
        <v>0</v>
      </c>
      <c r="T2339" s="72">
        <v>0</v>
      </c>
      <c r="U2339" s="72">
        <v>1</v>
      </c>
      <c r="V2339" s="72">
        <v>1</v>
      </c>
      <c r="W2339" s="72">
        <v>0</v>
      </c>
      <c r="X2339" s="72">
        <v>1</v>
      </c>
      <c r="Y2339" s="19">
        <v>0</v>
      </c>
      <c r="Z2339" s="72">
        <v>0</v>
      </c>
      <c r="AA2339" s="72">
        <v>1</v>
      </c>
      <c r="AB2339" s="72">
        <v>0</v>
      </c>
      <c r="AC2339" s="72">
        <v>0</v>
      </c>
      <c r="AD2339" s="72">
        <v>0</v>
      </c>
      <c r="AE2339" s="72">
        <v>1</v>
      </c>
      <c r="AF2339" s="72">
        <v>0</v>
      </c>
      <c r="AG2339" s="72">
        <v>1</v>
      </c>
      <c r="AH2339" s="72">
        <v>3</v>
      </c>
      <c r="AI2339" s="73">
        <v>0</v>
      </c>
      <c r="AJ2339" s="73">
        <v>1</v>
      </c>
      <c r="AK2339" s="73">
        <v>0</v>
      </c>
      <c r="AL2339" s="73">
        <v>2</v>
      </c>
      <c r="AM2339" s="72">
        <v>0</v>
      </c>
      <c r="AN2339" s="72">
        <v>0</v>
      </c>
      <c r="AO2339" s="72">
        <v>0</v>
      </c>
      <c r="AP2339" s="72">
        <v>0.5</v>
      </c>
      <c r="AQ2339" s="72">
        <v>600</v>
      </c>
      <c r="AR2339" s="72">
        <v>0.5</v>
      </c>
      <c r="AS2339" s="72">
        <v>0</v>
      </c>
      <c r="AT2339" s="73">
        <v>0</v>
      </c>
      <c r="AU2339" s="72">
        <v>0</v>
      </c>
      <c r="AV2339" s="72"/>
      <c r="AW2339" s="71" t="s">
        <v>204</v>
      </c>
      <c r="AX2339" s="72" t="s">
        <v>540</v>
      </c>
      <c r="AY2339" s="74">
        <v>10000001</v>
      </c>
      <c r="AZ2339" s="74">
        <v>77001904</v>
      </c>
      <c r="BA2339" s="71" t="s">
        <v>777</v>
      </c>
      <c r="BB2339" s="72">
        <v>0</v>
      </c>
      <c r="BC2339" s="75">
        <v>0</v>
      </c>
      <c r="BD2339" s="75">
        <v>0</v>
      </c>
      <c r="BE2339" s="114" t="s">
        <v>5604</v>
      </c>
      <c r="BF2339" s="114" t="s">
        <v>5605</v>
      </c>
      <c r="BG2339" s="72">
        <v>0</v>
      </c>
      <c r="BH2339" s="72">
        <v>0</v>
      </c>
      <c r="BI2339" s="72">
        <v>0</v>
      </c>
      <c r="BJ2339" s="72">
        <v>0</v>
      </c>
      <c r="BK2339" s="72">
        <v>0</v>
      </c>
      <c r="BL2339" s="72">
        <v>0</v>
      </c>
      <c r="BM2339" s="90">
        <v>0</v>
      </c>
      <c r="BN2339" s="73">
        <v>0</v>
      </c>
      <c r="BO2339" s="73">
        <v>0</v>
      </c>
      <c r="BP2339" s="73">
        <v>0</v>
      </c>
      <c r="BQ2339" s="73">
        <v>0</v>
      </c>
      <c r="BR2339" s="73">
        <v>0</v>
      </c>
      <c r="BS2339" s="73">
        <v>0</v>
      </c>
      <c r="BT2339" s="73">
        <v>77001913</v>
      </c>
      <c r="BU2339" s="23">
        <v>0</v>
      </c>
      <c r="BV2339" s="23"/>
      <c r="BW2339" s="23"/>
      <c r="BX2339" s="23"/>
      <c r="BY2339" s="23"/>
      <c r="BZ2339" s="23"/>
    </row>
    <row r="2340" spans="3:78" ht="20.100000000000001" customHeight="1">
      <c r="C2340" s="74">
        <v>77001913</v>
      </c>
      <c r="D2340" s="71" t="s">
        <v>604</v>
      </c>
      <c r="E2340" s="71" t="s">
        <v>1168</v>
      </c>
      <c r="F2340" s="74">
        <v>1</v>
      </c>
      <c r="G2340" s="72">
        <v>0</v>
      </c>
      <c r="H2340" s="74">
        <v>0</v>
      </c>
      <c r="I2340" s="75">
        <v>0</v>
      </c>
      <c r="J2340" s="74">
        <v>1</v>
      </c>
      <c r="K2340" s="74">
        <v>0</v>
      </c>
      <c r="L2340" s="74">
        <v>0</v>
      </c>
      <c r="M2340" s="72">
        <v>0</v>
      </c>
      <c r="N2340" s="72">
        <v>0</v>
      </c>
      <c r="O2340" s="72">
        <v>2</v>
      </c>
      <c r="P2340" s="72">
        <v>1</v>
      </c>
      <c r="Q2340" s="72">
        <v>0.5</v>
      </c>
      <c r="R2340" s="72">
        <v>0</v>
      </c>
      <c r="S2340" s="73">
        <v>0</v>
      </c>
      <c r="T2340" s="72">
        <v>0</v>
      </c>
      <c r="U2340" s="72">
        <v>1</v>
      </c>
      <c r="V2340" s="72">
        <v>2</v>
      </c>
      <c r="W2340" s="72">
        <v>0</v>
      </c>
      <c r="X2340" s="72">
        <v>0.5</v>
      </c>
      <c r="Y2340" s="19">
        <v>0</v>
      </c>
      <c r="Z2340" s="72">
        <v>0</v>
      </c>
      <c r="AA2340" s="72">
        <v>0</v>
      </c>
      <c r="AB2340" s="72">
        <v>0</v>
      </c>
      <c r="AC2340" s="72">
        <v>0</v>
      </c>
      <c r="AD2340" s="72">
        <v>0</v>
      </c>
      <c r="AE2340" s="72">
        <v>0</v>
      </c>
      <c r="AF2340" s="72">
        <v>8</v>
      </c>
      <c r="AG2340" s="72">
        <v>2</v>
      </c>
      <c r="AH2340" s="72" t="s">
        <v>1042</v>
      </c>
      <c r="AI2340" s="73">
        <v>0</v>
      </c>
      <c r="AJ2340" s="73">
        <v>2</v>
      </c>
      <c r="AK2340" s="73">
        <v>0</v>
      </c>
      <c r="AL2340" s="73">
        <v>1.5</v>
      </c>
      <c r="AM2340" s="72">
        <v>0</v>
      </c>
      <c r="AN2340" s="72">
        <v>0</v>
      </c>
      <c r="AO2340" s="72">
        <v>0</v>
      </c>
      <c r="AP2340" s="72">
        <v>0.3</v>
      </c>
      <c r="AQ2340" s="72">
        <v>400</v>
      </c>
      <c r="AR2340" s="72">
        <v>0.3</v>
      </c>
      <c r="AS2340" s="72">
        <v>0</v>
      </c>
      <c r="AT2340" s="73">
        <v>0</v>
      </c>
      <c r="AU2340" s="72">
        <v>97009003</v>
      </c>
      <c r="AV2340" s="72"/>
      <c r="AW2340" s="88" t="s">
        <v>204</v>
      </c>
      <c r="AX2340" s="72" t="s">
        <v>551</v>
      </c>
      <c r="AY2340" s="74">
        <v>10001007</v>
      </c>
      <c r="AZ2340" s="74">
        <v>77001905</v>
      </c>
      <c r="BA2340" s="71" t="s">
        <v>206</v>
      </c>
      <c r="BB2340" s="72">
        <v>0</v>
      </c>
      <c r="BC2340" s="75">
        <v>0</v>
      </c>
      <c r="BD2340" s="75">
        <v>0</v>
      </c>
      <c r="BE2340" s="76" t="s">
        <v>5606</v>
      </c>
      <c r="BF2340" s="76" t="s">
        <v>5607</v>
      </c>
      <c r="BG2340" s="72">
        <v>0</v>
      </c>
      <c r="BH2340" s="72">
        <v>0</v>
      </c>
      <c r="BI2340" s="72">
        <v>0</v>
      </c>
      <c r="BJ2340" s="72">
        <v>0</v>
      </c>
      <c r="BK2340" s="72">
        <v>0</v>
      </c>
      <c r="BL2340" s="72">
        <v>0</v>
      </c>
      <c r="BM2340" s="90">
        <v>0</v>
      </c>
      <c r="BN2340" s="73">
        <v>0</v>
      </c>
      <c r="BO2340" s="73">
        <v>0</v>
      </c>
      <c r="BP2340" s="73">
        <v>0</v>
      </c>
      <c r="BQ2340" s="73">
        <v>0</v>
      </c>
      <c r="BR2340" s="73">
        <v>0</v>
      </c>
      <c r="BS2340" s="73">
        <v>0</v>
      </c>
      <c r="BT2340" s="73">
        <v>0</v>
      </c>
      <c r="BU2340" s="23">
        <v>0</v>
      </c>
      <c r="BV2340" s="23"/>
      <c r="BW2340" s="23"/>
      <c r="BX2340" s="23"/>
      <c r="BY2340" s="23"/>
      <c r="BZ2340" s="23"/>
    </row>
    <row r="2341" spans="3:78" ht="19.5" customHeight="1">
      <c r="C2341" s="74">
        <v>77001914</v>
      </c>
      <c r="D2341" s="71" t="s">
        <v>2500</v>
      </c>
      <c r="E2341" s="71" t="s">
        <v>2501</v>
      </c>
      <c r="F2341" s="74">
        <v>1</v>
      </c>
      <c r="G2341" s="72">
        <v>0</v>
      </c>
      <c r="H2341" s="74">
        <v>0</v>
      </c>
      <c r="I2341" s="75">
        <v>0</v>
      </c>
      <c r="J2341" s="74">
        <v>1</v>
      </c>
      <c r="K2341" s="74">
        <v>0</v>
      </c>
      <c r="L2341" s="74">
        <v>0</v>
      </c>
      <c r="M2341" s="72">
        <v>0</v>
      </c>
      <c r="N2341" s="72">
        <v>0</v>
      </c>
      <c r="O2341" s="72">
        <v>2</v>
      </c>
      <c r="P2341" s="72">
        <v>16</v>
      </c>
      <c r="Q2341" s="72">
        <v>5</v>
      </c>
      <c r="R2341" s="72">
        <v>0</v>
      </c>
      <c r="S2341" s="73">
        <v>0</v>
      </c>
      <c r="T2341" s="72">
        <v>0</v>
      </c>
      <c r="U2341" s="72">
        <v>1</v>
      </c>
      <c r="V2341" s="72">
        <v>2</v>
      </c>
      <c r="W2341" s="72">
        <v>0</v>
      </c>
      <c r="X2341" s="72">
        <v>1.5</v>
      </c>
      <c r="Y2341" s="19">
        <v>0</v>
      </c>
      <c r="Z2341" s="72">
        <v>0</v>
      </c>
      <c r="AA2341" s="72">
        <v>0</v>
      </c>
      <c r="AB2341" s="72">
        <v>0</v>
      </c>
      <c r="AC2341" s="72">
        <v>0</v>
      </c>
      <c r="AD2341" s="72">
        <v>0</v>
      </c>
      <c r="AE2341" s="72">
        <v>1</v>
      </c>
      <c r="AF2341" s="72">
        <v>0</v>
      </c>
      <c r="AG2341" s="72">
        <v>1</v>
      </c>
      <c r="AH2341" s="72">
        <v>2</v>
      </c>
      <c r="AI2341" s="73">
        <v>0</v>
      </c>
      <c r="AJ2341" s="73">
        <v>2</v>
      </c>
      <c r="AK2341" s="73">
        <v>0</v>
      </c>
      <c r="AL2341" s="73">
        <v>2</v>
      </c>
      <c r="AM2341" s="72">
        <v>0</v>
      </c>
      <c r="AN2341" s="72">
        <v>0</v>
      </c>
      <c r="AO2341" s="72">
        <v>0</v>
      </c>
      <c r="AP2341" s="72">
        <v>2</v>
      </c>
      <c r="AQ2341" s="72">
        <v>5000</v>
      </c>
      <c r="AR2341" s="72">
        <v>0</v>
      </c>
      <c r="AS2341" s="72">
        <v>15</v>
      </c>
      <c r="AT2341" s="92">
        <v>0</v>
      </c>
      <c r="AU2341" s="322" t="s">
        <v>204</v>
      </c>
      <c r="AV2341" s="93"/>
      <c r="AW2341" s="71" t="s">
        <v>262</v>
      </c>
      <c r="AX2341" s="72" t="s">
        <v>540</v>
      </c>
      <c r="AY2341" s="74">
        <v>10000007</v>
      </c>
      <c r="AZ2341" s="320" t="s">
        <v>5608</v>
      </c>
      <c r="BA2341" s="71" t="s">
        <v>592</v>
      </c>
      <c r="BB2341" s="72" t="s">
        <v>1311</v>
      </c>
      <c r="BC2341" s="75">
        <v>0</v>
      </c>
      <c r="BD2341" s="75">
        <v>1</v>
      </c>
      <c r="BE2341" s="76" t="s">
        <v>1312</v>
      </c>
      <c r="BF2341" s="76" t="s">
        <v>1313</v>
      </c>
      <c r="BG2341" s="72">
        <v>0</v>
      </c>
      <c r="BH2341" s="72">
        <v>0</v>
      </c>
      <c r="BI2341" s="72">
        <v>0</v>
      </c>
      <c r="BJ2341" s="72">
        <v>0</v>
      </c>
      <c r="BK2341" s="72">
        <v>0</v>
      </c>
      <c r="BL2341" s="72">
        <v>0</v>
      </c>
      <c r="BM2341" s="90">
        <v>0</v>
      </c>
      <c r="BN2341" s="73">
        <v>0</v>
      </c>
      <c r="BO2341" s="73">
        <v>0</v>
      </c>
      <c r="BP2341" s="73">
        <v>0</v>
      </c>
      <c r="BQ2341" s="73">
        <v>0</v>
      </c>
      <c r="BR2341" s="73">
        <v>0</v>
      </c>
      <c r="BS2341" s="73">
        <v>1</v>
      </c>
      <c r="BT2341" s="73">
        <v>0</v>
      </c>
      <c r="BU2341" s="23">
        <v>0</v>
      </c>
      <c r="BV2341" s="23"/>
      <c r="BW2341" s="23"/>
      <c r="BX2341" s="23"/>
      <c r="BY2341" s="23"/>
      <c r="BZ2341" s="23"/>
    </row>
    <row r="2342" spans="3:78" ht="20.100000000000001" customHeight="1">
      <c r="C2342" s="107">
        <v>77002001</v>
      </c>
      <c r="D2342" s="308" t="s">
        <v>5609</v>
      </c>
      <c r="E2342" s="308" t="s">
        <v>5610</v>
      </c>
      <c r="F2342" s="107">
        <v>1</v>
      </c>
      <c r="G2342" s="100">
        <v>0</v>
      </c>
      <c r="H2342" s="107">
        <v>0</v>
      </c>
      <c r="I2342" s="99">
        <v>0</v>
      </c>
      <c r="J2342" s="107">
        <v>1</v>
      </c>
      <c r="K2342" s="107">
        <v>0</v>
      </c>
      <c r="L2342" s="99">
        <v>0</v>
      </c>
      <c r="M2342" s="99">
        <v>0</v>
      </c>
      <c r="N2342" s="99">
        <v>0</v>
      </c>
      <c r="O2342" s="99">
        <v>2</v>
      </c>
      <c r="P2342" s="99">
        <v>1</v>
      </c>
      <c r="Q2342" s="99">
        <v>0.15</v>
      </c>
      <c r="R2342" s="99">
        <v>0</v>
      </c>
      <c r="S2342" s="99">
        <v>0</v>
      </c>
      <c r="T2342" s="99">
        <v>0</v>
      </c>
      <c r="U2342" s="99">
        <v>1</v>
      </c>
      <c r="V2342" s="99">
        <v>2</v>
      </c>
      <c r="W2342" s="99">
        <v>0</v>
      </c>
      <c r="X2342" s="99">
        <v>0.8</v>
      </c>
      <c r="Y2342" s="19">
        <v>0</v>
      </c>
      <c r="Z2342" s="99">
        <v>1000</v>
      </c>
      <c r="AA2342" s="99">
        <v>1</v>
      </c>
      <c r="AB2342" s="99">
        <v>0</v>
      </c>
      <c r="AC2342" s="99">
        <v>0</v>
      </c>
      <c r="AD2342" s="99">
        <v>0</v>
      </c>
      <c r="AE2342" s="99">
        <v>0</v>
      </c>
      <c r="AF2342" s="99">
        <v>16</v>
      </c>
      <c r="AG2342" s="99">
        <v>1</v>
      </c>
      <c r="AH2342" s="99">
        <v>6</v>
      </c>
      <c r="AI2342" s="99">
        <v>0</v>
      </c>
      <c r="AJ2342" s="99">
        <v>1</v>
      </c>
      <c r="AK2342" s="99">
        <v>0</v>
      </c>
      <c r="AL2342" s="99">
        <v>7</v>
      </c>
      <c r="AM2342" s="99">
        <v>0</v>
      </c>
      <c r="AN2342" s="99">
        <v>0</v>
      </c>
      <c r="AO2342" s="99">
        <v>0</v>
      </c>
      <c r="AP2342" s="99">
        <v>1</v>
      </c>
      <c r="AQ2342" s="99">
        <v>2000</v>
      </c>
      <c r="AR2342" s="99">
        <v>1</v>
      </c>
      <c r="AS2342" s="99">
        <v>0</v>
      </c>
      <c r="AT2342" s="99">
        <v>0</v>
      </c>
      <c r="AU2342" s="99">
        <v>0</v>
      </c>
      <c r="AV2342" s="99"/>
      <c r="AW2342" s="308" t="s">
        <v>205</v>
      </c>
      <c r="AX2342" s="99" t="s">
        <v>1047</v>
      </c>
      <c r="AY2342" s="99">
        <v>10000007</v>
      </c>
      <c r="AZ2342" s="99">
        <v>77002001</v>
      </c>
      <c r="BA2342" s="308" t="s">
        <v>1733</v>
      </c>
      <c r="BB2342" s="99">
        <v>1</v>
      </c>
      <c r="BC2342" s="99">
        <v>0</v>
      </c>
      <c r="BD2342" s="99">
        <v>0</v>
      </c>
      <c r="BE2342" s="309" t="s">
        <v>5611</v>
      </c>
      <c r="BF2342" s="309" t="s">
        <v>5612</v>
      </c>
      <c r="BG2342" s="99">
        <v>0</v>
      </c>
      <c r="BH2342" s="99">
        <v>0</v>
      </c>
      <c r="BI2342" s="99">
        <v>0</v>
      </c>
      <c r="BJ2342" s="99">
        <v>0</v>
      </c>
      <c r="BK2342" s="99">
        <v>0</v>
      </c>
      <c r="BL2342" s="99">
        <v>0</v>
      </c>
      <c r="BM2342" s="310">
        <v>0</v>
      </c>
      <c r="BN2342" s="99">
        <v>0</v>
      </c>
      <c r="BO2342" s="99">
        <v>0</v>
      </c>
      <c r="BP2342" s="99">
        <v>1000</v>
      </c>
      <c r="BQ2342" s="99">
        <v>1</v>
      </c>
      <c r="BR2342" s="99">
        <v>200</v>
      </c>
      <c r="BS2342" s="99">
        <v>0</v>
      </c>
      <c r="BT2342" s="99">
        <v>0</v>
      </c>
      <c r="BU2342" s="23">
        <v>0</v>
      </c>
      <c r="BV2342" s="23"/>
      <c r="BW2342" s="23"/>
      <c r="BX2342" s="23"/>
      <c r="BY2342" s="23"/>
      <c r="BZ2342" s="23"/>
    </row>
    <row r="2343" spans="3:78" ht="19.5" customHeight="1">
      <c r="C2343" s="107">
        <v>77002002</v>
      </c>
      <c r="D2343" s="110" t="s">
        <v>5613</v>
      </c>
      <c r="E2343" s="110" t="s">
        <v>5614</v>
      </c>
      <c r="F2343" s="107">
        <v>1</v>
      </c>
      <c r="G2343" s="100">
        <v>0</v>
      </c>
      <c r="H2343" s="107">
        <v>0</v>
      </c>
      <c r="I2343" s="105">
        <v>0</v>
      </c>
      <c r="J2343" s="107">
        <v>1</v>
      </c>
      <c r="K2343" s="107">
        <v>0</v>
      </c>
      <c r="L2343" s="107">
        <v>0</v>
      </c>
      <c r="M2343" s="100">
        <v>0</v>
      </c>
      <c r="N2343" s="100">
        <v>0</v>
      </c>
      <c r="O2343" s="100">
        <v>2</v>
      </c>
      <c r="P2343" s="100">
        <v>2</v>
      </c>
      <c r="Q2343" s="100">
        <v>0.5</v>
      </c>
      <c r="R2343" s="100">
        <v>1</v>
      </c>
      <c r="S2343" s="99">
        <v>0</v>
      </c>
      <c r="T2343" s="100">
        <v>0</v>
      </c>
      <c r="U2343" s="100">
        <v>1</v>
      </c>
      <c r="V2343" s="100">
        <v>1</v>
      </c>
      <c r="W2343" s="100">
        <v>0</v>
      </c>
      <c r="X2343" s="100">
        <v>0</v>
      </c>
      <c r="Y2343" s="19">
        <v>0</v>
      </c>
      <c r="Z2343" s="100">
        <v>0</v>
      </c>
      <c r="AA2343" s="100">
        <v>0</v>
      </c>
      <c r="AB2343" s="100">
        <v>0</v>
      </c>
      <c r="AC2343" s="100">
        <v>0</v>
      </c>
      <c r="AD2343" s="100">
        <v>0</v>
      </c>
      <c r="AE2343" s="100">
        <v>1</v>
      </c>
      <c r="AF2343" s="100">
        <v>0</v>
      </c>
      <c r="AG2343" s="100">
        <v>1</v>
      </c>
      <c r="AH2343" s="100">
        <v>2</v>
      </c>
      <c r="AI2343" s="99">
        <v>0</v>
      </c>
      <c r="AJ2343" s="99">
        <v>1</v>
      </c>
      <c r="AK2343" s="99">
        <v>0</v>
      </c>
      <c r="AL2343" s="99">
        <v>3</v>
      </c>
      <c r="AM2343" s="100">
        <v>0</v>
      </c>
      <c r="AN2343" s="100">
        <v>0</v>
      </c>
      <c r="AO2343" s="100">
        <v>0</v>
      </c>
      <c r="AP2343" s="100">
        <v>0.3</v>
      </c>
      <c r="AQ2343" s="100">
        <v>300</v>
      </c>
      <c r="AR2343" s="100">
        <v>0</v>
      </c>
      <c r="AS2343" s="100">
        <v>0</v>
      </c>
      <c r="AT2343" s="99">
        <v>0</v>
      </c>
      <c r="AU2343" s="118">
        <v>0</v>
      </c>
      <c r="AV2343" s="118"/>
      <c r="AW2343" s="110" t="s">
        <v>204</v>
      </c>
      <c r="AX2343" s="100">
        <v>0</v>
      </c>
      <c r="AY2343" s="107">
        <v>0</v>
      </c>
      <c r="AZ2343" s="107">
        <v>0</v>
      </c>
      <c r="BA2343" s="110" t="s">
        <v>534</v>
      </c>
      <c r="BB2343" s="328" t="s">
        <v>5615</v>
      </c>
      <c r="BC2343" s="105">
        <v>0</v>
      </c>
      <c r="BD2343" s="105">
        <v>0</v>
      </c>
      <c r="BE2343" s="111" t="s">
        <v>5616</v>
      </c>
      <c r="BF2343" s="111" t="s">
        <v>5617</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77002003</v>
      </c>
      <c r="D2344" s="110" t="s">
        <v>5618</v>
      </c>
      <c r="E2344" s="110" t="s">
        <v>5619</v>
      </c>
      <c r="F2344" s="107">
        <v>1</v>
      </c>
      <c r="G2344" s="100">
        <v>0</v>
      </c>
      <c r="H2344" s="107">
        <v>0</v>
      </c>
      <c r="I2344" s="105">
        <v>0</v>
      </c>
      <c r="J2344" s="107">
        <v>1</v>
      </c>
      <c r="K2344" s="107">
        <v>0</v>
      </c>
      <c r="L2344" s="107">
        <v>0</v>
      </c>
      <c r="M2344" s="100">
        <v>0</v>
      </c>
      <c r="N2344" s="100">
        <v>0</v>
      </c>
      <c r="O2344" s="100">
        <v>2</v>
      </c>
      <c r="P2344" s="100">
        <v>3</v>
      </c>
      <c r="Q2344" s="100">
        <v>0.2</v>
      </c>
      <c r="R2344" s="100">
        <v>0</v>
      </c>
      <c r="S2344" s="99">
        <v>0</v>
      </c>
      <c r="T2344" s="100">
        <v>0</v>
      </c>
      <c r="U2344" s="100">
        <v>1</v>
      </c>
      <c r="V2344" s="100">
        <v>1</v>
      </c>
      <c r="W2344" s="100">
        <v>0</v>
      </c>
      <c r="X2344" s="100">
        <v>0</v>
      </c>
      <c r="Y2344" s="19">
        <v>0</v>
      </c>
      <c r="Z2344" s="100">
        <v>0</v>
      </c>
      <c r="AA2344" s="100">
        <v>1</v>
      </c>
      <c r="AB2344" s="100">
        <v>0</v>
      </c>
      <c r="AC2344" s="100">
        <v>0</v>
      </c>
      <c r="AD2344" s="100">
        <v>0</v>
      </c>
      <c r="AE2344" s="100">
        <v>1</v>
      </c>
      <c r="AF2344" s="100">
        <v>0</v>
      </c>
      <c r="AG2344" s="100">
        <v>1</v>
      </c>
      <c r="AH2344" s="100">
        <v>20</v>
      </c>
      <c r="AI2344" s="99">
        <v>0</v>
      </c>
      <c r="AJ2344" s="99">
        <v>1</v>
      </c>
      <c r="AK2344" s="99">
        <v>0</v>
      </c>
      <c r="AL2344" s="99">
        <v>3</v>
      </c>
      <c r="AM2344" s="100">
        <v>0</v>
      </c>
      <c r="AN2344" s="100">
        <v>0</v>
      </c>
      <c r="AO2344" s="100">
        <v>0</v>
      </c>
      <c r="AP2344" s="100">
        <v>0.3</v>
      </c>
      <c r="AQ2344" s="100">
        <v>300</v>
      </c>
      <c r="AR2344" s="100">
        <v>0</v>
      </c>
      <c r="AS2344" s="100">
        <v>0</v>
      </c>
      <c r="AT2344" s="99">
        <v>0</v>
      </c>
      <c r="AU2344" s="327" t="s">
        <v>5620</v>
      </c>
      <c r="AV2344" s="118"/>
      <c r="AW2344" s="110" t="s">
        <v>204</v>
      </c>
      <c r="AX2344" s="100">
        <v>0</v>
      </c>
      <c r="AY2344" s="107">
        <v>0</v>
      </c>
      <c r="AZ2344" s="107">
        <v>0</v>
      </c>
      <c r="BA2344" s="110" t="s">
        <v>534</v>
      </c>
      <c r="BB2344" s="328" t="s">
        <v>5621</v>
      </c>
      <c r="BC2344" s="105">
        <v>0</v>
      </c>
      <c r="BD2344" s="105">
        <v>0</v>
      </c>
      <c r="BE2344" s="111" t="s">
        <v>5622</v>
      </c>
      <c r="BF2344" s="111" t="s">
        <v>5623</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77002004</v>
      </c>
      <c r="D2345" s="110" t="s">
        <v>5624</v>
      </c>
      <c r="E2345" s="303" t="s">
        <v>5625</v>
      </c>
      <c r="F2345" s="97">
        <v>1</v>
      </c>
      <c r="G2345" s="97">
        <v>0</v>
      </c>
      <c r="H2345" s="100">
        <v>0</v>
      </c>
      <c r="I2345" s="105">
        <v>0</v>
      </c>
      <c r="J2345" s="107">
        <v>1</v>
      </c>
      <c r="K2345" s="107">
        <v>0</v>
      </c>
      <c r="L2345" s="107">
        <v>0</v>
      </c>
      <c r="M2345" s="100">
        <v>0</v>
      </c>
      <c r="N2345" s="100">
        <v>0</v>
      </c>
      <c r="O2345" s="100">
        <v>2</v>
      </c>
      <c r="P2345" s="100">
        <v>1</v>
      </c>
      <c r="Q2345" s="100">
        <v>0.15</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7" t="s">
        <v>204</v>
      </c>
      <c r="AV2345" s="118"/>
      <c r="AW2345" s="110" t="s">
        <v>204</v>
      </c>
      <c r="AX2345" s="100" t="s">
        <v>221</v>
      </c>
      <c r="AY2345" s="107">
        <v>0</v>
      </c>
      <c r="AZ2345" s="107">
        <v>0</v>
      </c>
      <c r="BA2345" s="110" t="s">
        <v>222</v>
      </c>
      <c r="BB2345" s="100">
        <v>0</v>
      </c>
      <c r="BC2345" s="105">
        <v>0</v>
      </c>
      <c r="BD2345" s="105">
        <v>0</v>
      </c>
      <c r="BE2345" s="111" t="s">
        <v>5626</v>
      </c>
      <c r="BF2345" s="111" t="s">
        <v>5627</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77002005</v>
      </c>
      <c r="D2346" s="110" t="s">
        <v>5624</v>
      </c>
      <c r="E2346" s="303" t="s">
        <v>5625</v>
      </c>
      <c r="F2346" s="97">
        <v>1</v>
      </c>
      <c r="G2346" s="97">
        <v>0</v>
      </c>
      <c r="H2346" s="100">
        <v>0</v>
      </c>
      <c r="I2346" s="105">
        <v>0</v>
      </c>
      <c r="J2346" s="107">
        <v>1</v>
      </c>
      <c r="K2346" s="107">
        <v>0</v>
      </c>
      <c r="L2346" s="107">
        <v>0</v>
      </c>
      <c r="M2346" s="100">
        <v>0</v>
      </c>
      <c r="N2346" s="100">
        <v>0</v>
      </c>
      <c r="O2346" s="100">
        <v>2</v>
      </c>
      <c r="P2346" s="100">
        <v>2</v>
      </c>
      <c r="Q2346" s="100">
        <v>1</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20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5626</v>
      </c>
      <c r="BF2346" s="111" t="s">
        <v>5627</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77002006</v>
      </c>
      <c r="D2347" s="110" t="s">
        <v>1330</v>
      </c>
      <c r="E2347" s="110" t="s">
        <v>1331</v>
      </c>
      <c r="F2347" s="107">
        <v>1</v>
      </c>
      <c r="G2347" s="107">
        <v>80004009</v>
      </c>
      <c r="H2347" s="107">
        <v>0</v>
      </c>
      <c r="I2347" s="105">
        <v>0</v>
      </c>
      <c r="J2347" s="107">
        <v>1</v>
      </c>
      <c r="K2347" s="107">
        <v>0</v>
      </c>
      <c r="L2347" s="107">
        <v>0</v>
      </c>
      <c r="M2347" s="100">
        <v>0</v>
      </c>
      <c r="N2347" s="100">
        <v>0</v>
      </c>
      <c r="O2347" s="100">
        <v>2</v>
      </c>
      <c r="P2347" s="100">
        <v>1</v>
      </c>
      <c r="Q2347" s="100">
        <v>0.2</v>
      </c>
      <c r="R2347" s="100">
        <v>0</v>
      </c>
      <c r="S2347" s="99">
        <v>0</v>
      </c>
      <c r="T2347" s="100">
        <v>0</v>
      </c>
      <c r="U2347" s="100">
        <v>1</v>
      </c>
      <c r="V2347" s="100">
        <v>2</v>
      </c>
      <c r="W2347" s="100">
        <v>0</v>
      </c>
      <c r="X2347" s="100">
        <v>0.8</v>
      </c>
      <c r="Y2347" s="19">
        <v>0</v>
      </c>
      <c r="Z2347" s="100">
        <v>0</v>
      </c>
      <c r="AA2347" s="100">
        <v>1</v>
      </c>
      <c r="AB2347" s="100">
        <v>0</v>
      </c>
      <c r="AC2347" s="100">
        <v>0</v>
      </c>
      <c r="AD2347" s="100">
        <v>0</v>
      </c>
      <c r="AE2347" s="100">
        <v>1</v>
      </c>
      <c r="AF2347" s="100">
        <v>0</v>
      </c>
      <c r="AG2347" s="100">
        <v>1</v>
      </c>
      <c r="AH2347" s="100">
        <v>2</v>
      </c>
      <c r="AI2347" s="99">
        <v>0</v>
      </c>
      <c r="AJ2347" s="99">
        <v>2</v>
      </c>
      <c r="AK2347" s="99">
        <v>0</v>
      </c>
      <c r="AL2347" s="99">
        <v>2</v>
      </c>
      <c r="AM2347" s="100">
        <v>0</v>
      </c>
      <c r="AN2347" s="100">
        <v>0</v>
      </c>
      <c r="AO2347" s="100">
        <v>0</v>
      </c>
      <c r="AP2347" s="100">
        <v>2</v>
      </c>
      <c r="AQ2347" s="100">
        <v>5000</v>
      </c>
      <c r="AR2347" s="100">
        <v>0</v>
      </c>
      <c r="AS2347" s="100">
        <v>10</v>
      </c>
      <c r="AT2347" s="117">
        <v>0</v>
      </c>
      <c r="AU2347" s="327" t="s">
        <v>5628</v>
      </c>
      <c r="AV2347" s="118"/>
      <c r="AW2347" s="110" t="s">
        <v>204</v>
      </c>
      <c r="AX2347" s="100" t="s">
        <v>540</v>
      </c>
      <c r="AY2347" s="107">
        <v>10000007</v>
      </c>
      <c r="AZ2347" s="325" t="s">
        <v>5629</v>
      </c>
      <c r="BA2347" s="110" t="s">
        <v>592</v>
      </c>
      <c r="BB2347" s="100" t="s">
        <v>1324</v>
      </c>
      <c r="BC2347" s="105">
        <v>0</v>
      </c>
      <c r="BD2347" s="105">
        <v>1</v>
      </c>
      <c r="BE2347" s="111" t="s">
        <v>5630</v>
      </c>
      <c r="BF2347" s="111" t="s">
        <v>5631</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77002007</v>
      </c>
      <c r="D2348" s="110" t="s">
        <v>5632</v>
      </c>
      <c r="E2348" s="110" t="s">
        <v>5633</v>
      </c>
      <c r="F2348" s="107">
        <v>1</v>
      </c>
      <c r="G2348" s="100">
        <v>60010100</v>
      </c>
      <c r="H2348" s="107">
        <v>0</v>
      </c>
      <c r="I2348" s="105">
        <v>0</v>
      </c>
      <c r="J2348" s="107">
        <v>1</v>
      </c>
      <c r="K2348" s="107">
        <v>0</v>
      </c>
      <c r="L2348" s="107">
        <v>0</v>
      </c>
      <c r="M2348" s="100">
        <v>0</v>
      </c>
      <c r="N2348" s="100">
        <v>0</v>
      </c>
      <c r="O2348" s="100">
        <v>2</v>
      </c>
      <c r="P2348" s="100">
        <v>16</v>
      </c>
      <c r="Q2348" s="100">
        <v>4</v>
      </c>
      <c r="R2348" s="100">
        <v>0</v>
      </c>
      <c r="S2348" s="99">
        <v>0</v>
      </c>
      <c r="T2348" s="100">
        <v>0</v>
      </c>
      <c r="U2348" s="100">
        <v>1</v>
      </c>
      <c r="V2348" s="100">
        <v>2</v>
      </c>
      <c r="W2348" s="100">
        <v>0</v>
      </c>
      <c r="X2348" s="100">
        <v>1.5</v>
      </c>
      <c r="Y2348" s="19">
        <v>0</v>
      </c>
      <c r="Z2348" s="100">
        <v>0</v>
      </c>
      <c r="AA2348" s="100">
        <v>1</v>
      </c>
      <c r="AB2348" s="100">
        <v>0</v>
      </c>
      <c r="AC2348" s="100">
        <v>0</v>
      </c>
      <c r="AD2348" s="100">
        <v>0</v>
      </c>
      <c r="AE2348" s="100">
        <v>1</v>
      </c>
      <c r="AF2348" s="100">
        <v>0</v>
      </c>
      <c r="AG2348" s="100">
        <v>1</v>
      </c>
      <c r="AH2348" s="100">
        <v>4</v>
      </c>
      <c r="AI2348" s="99">
        <v>0</v>
      </c>
      <c r="AJ2348" s="99">
        <v>1</v>
      </c>
      <c r="AK2348" s="99">
        <v>0</v>
      </c>
      <c r="AL2348" s="99">
        <v>3</v>
      </c>
      <c r="AM2348" s="100">
        <v>0</v>
      </c>
      <c r="AN2348" s="100">
        <v>1</v>
      </c>
      <c r="AO2348" s="100">
        <v>0</v>
      </c>
      <c r="AP2348" s="100">
        <v>1</v>
      </c>
      <c r="AQ2348" s="100">
        <v>3000</v>
      </c>
      <c r="AR2348" s="100">
        <v>1</v>
      </c>
      <c r="AS2348" s="100">
        <v>0</v>
      </c>
      <c r="AT2348" s="99">
        <v>0</v>
      </c>
      <c r="AU2348" s="327" t="s">
        <v>5634</v>
      </c>
      <c r="AV2348" s="118"/>
      <c r="AW2348" s="104" t="s">
        <v>204</v>
      </c>
      <c r="AX2348" s="100" t="s">
        <v>540</v>
      </c>
      <c r="AY2348" s="107">
        <v>0</v>
      </c>
      <c r="AZ2348" s="325" t="s">
        <v>5635</v>
      </c>
      <c r="BA2348" s="110" t="s">
        <v>206</v>
      </c>
      <c r="BB2348" s="100">
        <v>0</v>
      </c>
      <c r="BC2348" s="105">
        <v>0</v>
      </c>
      <c r="BD2348" s="105">
        <v>0</v>
      </c>
      <c r="BE2348" s="111" t="s">
        <v>5636</v>
      </c>
      <c r="BF2348" s="111" t="s">
        <v>5637</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77002008</v>
      </c>
      <c r="D2349" s="110" t="s">
        <v>5638</v>
      </c>
      <c r="E2349" s="303" t="s">
        <v>5639</v>
      </c>
      <c r="F2349" s="97">
        <v>1</v>
      </c>
      <c r="G2349" s="97">
        <v>0</v>
      </c>
      <c r="H2349" s="100">
        <v>0</v>
      </c>
      <c r="I2349" s="105">
        <v>0</v>
      </c>
      <c r="J2349" s="107">
        <v>1</v>
      </c>
      <c r="K2349" s="107">
        <v>0</v>
      </c>
      <c r="L2349" s="107">
        <v>0</v>
      </c>
      <c r="M2349" s="100">
        <v>0</v>
      </c>
      <c r="N2349" s="100">
        <v>0</v>
      </c>
      <c r="O2349" s="100">
        <v>2</v>
      </c>
      <c r="P2349" s="100">
        <v>3</v>
      </c>
      <c r="Q2349" s="100">
        <v>0.2</v>
      </c>
      <c r="R2349" s="100">
        <v>0</v>
      </c>
      <c r="S2349" s="99">
        <v>0</v>
      </c>
      <c r="T2349" s="100">
        <v>0</v>
      </c>
      <c r="U2349" s="100">
        <v>1</v>
      </c>
      <c r="V2349" s="97">
        <v>1</v>
      </c>
      <c r="W2349" s="100">
        <v>0</v>
      </c>
      <c r="X2349" s="100">
        <v>2</v>
      </c>
      <c r="Y2349" s="19">
        <v>0</v>
      </c>
      <c r="Z2349" s="100">
        <v>0</v>
      </c>
      <c r="AA2349" s="100">
        <v>1</v>
      </c>
      <c r="AB2349" s="100">
        <v>0</v>
      </c>
      <c r="AC2349" s="100">
        <v>0</v>
      </c>
      <c r="AD2349" s="100">
        <v>0</v>
      </c>
      <c r="AE2349" s="100">
        <v>1</v>
      </c>
      <c r="AF2349" s="100">
        <v>24</v>
      </c>
      <c r="AG2349" s="100">
        <v>1</v>
      </c>
      <c r="AH2349" s="100">
        <v>6</v>
      </c>
      <c r="AI2349" s="99">
        <v>0</v>
      </c>
      <c r="AJ2349" s="99">
        <v>1</v>
      </c>
      <c r="AK2349" s="99">
        <v>0</v>
      </c>
      <c r="AL2349" s="99">
        <v>3</v>
      </c>
      <c r="AM2349" s="100">
        <v>0</v>
      </c>
      <c r="AN2349" s="100">
        <v>1</v>
      </c>
      <c r="AO2349" s="100">
        <v>0</v>
      </c>
      <c r="AP2349" s="100">
        <v>2</v>
      </c>
      <c r="AQ2349" s="100">
        <v>3000</v>
      </c>
      <c r="AR2349" s="100">
        <v>1</v>
      </c>
      <c r="AS2349" s="100">
        <v>0</v>
      </c>
      <c r="AT2349" s="323" t="s">
        <v>5640</v>
      </c>
      <c r="AU2349" s="327" t="s">
        <v>5620</v>
      </c>
      <c r="AV2349" s="118"/>
      <c r="AW2349" s="110" t="s">
        <v>262</v>
      </c>
      <c r="AX2349" s="100" t="s">
        <v>221</v>
      </c>
      <c r="AY2349" s="107">
        <v>10000011</v>
      </c>
      <c r="AZ2349" s="325" t="s">
        <v>5641</v>
      </c>
      <c r="BA2349" s="104" t="s">
        <v>206</v>
      </c>
      <c r="BB2349" s="100">
        <v>0</v>
      </c>
      <c r="BC2349" s="105">
        <v>0</v>
      </c>
      <c r="BD2349" s="105">
        <v>0</v>
      </c>
      <c r="BE2349" s="111" t="s">
        <v>5642</v>
      </c>
      <c r="BF2349" s="111" t="s">
        <v>5643</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77002009</v>
      </c>
      <c r="D2350" s="110" t="s">
        <v>5644</v>
      </c>
      <c r="E2350" s="110" t="s">
        <v>5645</v>
      </c>
      <c r="F2350" s="107">
        <v>1</v>
      </c>
      <c r="G2350" s="107">
        <v>0</v>
      </c>
      <c r="H2350" s="107">
        <v>0</v>
      </c>
      <c r="I2350" s="105">
        <v>0</v>
      </c>
      <c r="J2350" s="107">
        <v>1</v>
      </c>
      <c r="K2350" s="107">
        <v>0</v>
      </c>
      <c r="L2350" s="107">
        <v>0</v>
      </c>
      <c r="M2350" s="100">
        <v>0</v>
      </c>
      <c r="N2350" s="100">
        <v>0</v>
      </c>
      <c r="O2350" s="100">
        <v>2</v>
      </c>
      <c r="P2350" s="100">
        <v>3</v>
      </c>
      <c r="Q2350" s="100">
        <v>0.1</v>
      </c>
      <c r="R2350" s="100">
        <v>0</v>
      </c>
      <c r="S2350" s="99">
        <v>0</v>
      </c>
      <c r="T2350" s="100">
        <v>0</v>
      </c>
      <c r="U2350" s="100">
        <v>1</v>
      </c>
      <c r="V2350" s="100">
        <v>2</v>
      </c>
      <c r="W2350" s="100">
        <v>0</v>
      </c>
      <c r="X2350" s="100">
        <v>1</v>
      </c>
      <c r="Y2350" s="19">
        <v>0</v>
      </c>
      <c r="Z2350" s="100">
        <v>0</v>
      </c>
      <c r="AA2350" s="100">
        <v>1</v>
      </c>
      <c r="AB2350" s="100">
        <v>0</v>
      </c>
      <c r="AC2350" s="100">
        <v>0</v>
      </c>
      <c r="AD2350" s="100">
        <v>1</v>
      </c>
      <c r="AE2350" s="100">
        <v>0</v>
      </c>
      <c r="AF2350" s="100">
        <v>0</v>
      </c>
      <c r="AG2350" s="100">
        <v>1</v>
      </c>
      <c r="AH2350" s="100">
        <v>3</v>
      </c>
      <c r="AI2350" s="99">
        <v>4</v>
      </c>
      <c r="AJ2350" s="99">
        <v>1</v>
      </c>
      <c r="AK2350" s="99">
        <v>0</v>
      </c>
      <c r="AL2350" s="99">
        <v>1.5</v>
      </c>
      <c r="AM2350" s="100">
        <v>0</v>
      </c>
      <c r="AN2350" s="100">
        <v>0</v>
      </c>
      <c r="AO2350" s="100">
        <v>0</v>
      </c>
      <c r="AP2350" s="100">
        <v>0</v>
      </c>
      <c r="AQ2350" s="100">
        <v>6000</v>
      </c>
      <c r="AR2350" s="100">
        <v>0.8</v>
      </c>
      <c r="AS2350" s="100">
        <v>0</v>
      </c>
      <c r="AT2350" s="99">
        <v>0</v>
      </c>
      <c r="AU2350" s="327" t="s">
        <v>5634</v>
      </c>
      <c r="AV2350" s="118"/>
      <c r="AW2350" s="104" t="s">
        <v>205</v>
      </c>
      <c r="AX2350" s="100" t="s">
        <v>540</v>
      </c>
      <c r="AY2350" s="107">
        <v>0</v>
      </c>
      <c r="AZ2350" s="325" t="s">
        <v>5646</v>
      </c>
      <c r="BA2350" s="110" t="s">
        <v>206</v>
      </c>
      <c r="BB2350" s="100" t="s">
        <v>5647</v>
      </c>
      <c r="BC2350" s="105">
        <v>0</v>
      </c>
      <c r="BD2350" s="105">
        <v>0</v>
      </c>
      <c r="BE2350" s="111" t="s">
        <v>5402</v>
      </c>
      <c r="BF2350" s="111" t="s">
        <v>5403</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20.100000000000001" customHeight="1">
      <c r="C2351" s="107">
        <v>77002010</v>
      </c>
      <c r="D2351" s="110" t="s">
        <v>5648</v>
      </c>
      <c r="E2351" s="110" t="s">
        <v>5649</v>
      </c>
      <c r="F2351" s="100">
        <v>1</v>
      </c>
      <c r="G2351" s="100">
        <v>0</v>
      </c>
      <c r="H2351" s="107">
        <v>0</v>
      </c>
      <c r="I2351" s="105">
        <v>0</v>
      </c>
      <c r="J2351" s="107">
        <v>1</v>
      </c>
      <c r="K2351" s="107">
        <v>0</v>
      </c>
      <c r="L2351" s="107">
        <v>0</v>
      </c>
      <c r="M2351" s="100">
        <v>0</v>
      </c>
      <c r="N2351" s="100">
        <v>0</v>
      </c>
      <c r="O2351" s="100">
        <v>2</v>
      </c>
      <c r="P2351" s="100">
        <v>2</v>
      </c>
      <c r="Q2351" s="100">
        <v>0.8</v>
      </c>
      <c r="R2351" s="100">
        <v>0</v>
      </c>
      <c r="S2351" s="99">
        <v>3</v>
      </c>
      <c r="T2351" s="100">
        <v>0</v>
      </c>
      <c r="U2351" s="100">
        <v>1</v>
      </c>
      <c r="V2351" s="100">
        <v>2</v>
      </c>
      <c r="W2351" s="100">
        <v>0</v>
      </c>
      <c r="X2351" s="100">
        <v>0.8</v>
      </c>
      <c r="Y2351" s="19">
        <v>0</v>
      </c>
      <c r="Z2351" s="100">
        <v>0</v>
      </c>
      <c r="AA2351" s="100">
        <v>0</v>
      </c>
      <c r="AB2351" s="100">
        <v>0</v>
      </c>
      <c r="AC2351" s="100">
        <v>0</v>
      </c>
      <c r="AD2351" s="100">
        <v>0</v>
      </c>
      <c r="AE2351" s="100">
        <v>0</v>
      </c>
      <c r="AF2351" s="100">
        <v>28</v>
      </c>
      <c r="AG2351" s="100">
        <v>1</v>
      </c>
      <c r="AH2351" s="100">
        <v>3</v>
      </c>
      <c r="AI2351" s="99">
        <v>6</v>
      </c>
      <c r="AJ2351" s="99">
        <v>1</v>
      </c>
      <c r="AK2351" s="99">
        <v>0</v>
      </c>
      <c r="AL2351" s="99">
        <v>1.5</v>
      </c>
      <c r="AM2351" s="100">
        <v>0</v>
      </c>
      <c r="AN2351" s="100">
        <v>0</v>
      </c>
      <c r="AO2351" s="100">
        <v>0</v>
      </c>
      <c r="AP2351" s="100">
        <v>1</v>
      </c>
      <c r="AQ2351" s="100">
        <v>5000</v>
      </c>
      <c r="AR2351" s="100">
        <v>1</v>
      </c>
      <c r="AS2351" s="100">
        <v>0</v>
      </c>
      <c r="AT2351" s="99">
        <v>0</v>
      </c>
      <c r="AU2351" s="327" t="s">
        <v>5650</v>
      </c>
      <c r="AV2351" s="118"/>
      <c r="AW2351" s="104" t="s">
        <v>262</v>
      </c>
      <c r="AX2351" s="100" t="s">
        <v>540</v>
      </c>
      <c r="AY2351" s="107">
        <v>10000007</v>
      </c>
      <c r="AZ2351" s="325" t="s">
        <v>5651</v>
      </c>
      <c r="BA2351" s="110" t="s">
        <v>206</v>
      </c>
      <c r="BB2351" s="100" t="s">
        <v>5652</v>
      </c>
      <c r="BC2351" s="105">
        <v>0</v>
      </c>
      <c r="BD2351" s="105">
        <v>0</v>
      </c>
      <c r="BE2351" s="111" t="s">
        <v>5653</v>
      </c>
      <c r="BF2351" s="111" t="s">
        <v>5654</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77002011</v>
      </c>
      <c r="D2352" s="110" t="s">
        <v>5655</v>
      </c>
      <c r="E2352" s="110" t="s">
        <v>5656</v>
      </c>
      <c r="F2352" s="100">
        <v>1</v>
      </c>
      <c r="G2352" s="100">
        <v>61012301</v>
      </c>
      <c r="H2352" s="100">
        <v>0</v>
      </c>
      <c r="I2352" s="105">
        <v>0</v>
      </c>
      <c r="J2352" s="107">
        <v>1</v>
      </c>
      <c r="K2352" s="107">
        <v>0</v>
      </c>
      <c r="L2352" s="107">
        <v>0</v>
      </c>
      <c r="M2352" s="100">
        <v>0</v>
      </c>
      <c r="N2352" s="100">
        <v>0</v>
      </c>
      <c r="O2352" s="100">
        <v>2</v>
      </c>
      <c r="P2352" s="100">
        <v>1</v>
      </c>
      <c r="Q2352" s="100">
        <v>0.15</v>
      </c>
      <c r="R2352" s="100">
        <v>0</v>
      </c>
      <c r="S2352" s="99">
        <v>1</v>
      </c>
      <c r="T2352" s="100">
        <v>0</v>
      </c>
      <c r="U2352" s="100">
        <v>0</v>
      </c>
      <c r="V2352" s="100">
        <v>1</v>
      </c>
      <c r="W2352" s="100">
        <v>0</v>
      </c>
      <c r="X2352" s="100">
        <v>0</v>
      </c>
      <c r="Y2352" s="19">
        <v>0</v>
      </c>
      <c r="Z2352" s="100">
        <v>0</v>
      </c>
      <c r="AA2352" s="100">
        <v>1</v>
      </c>
      <c r="AB2352" s="100">
        <v>0</v>
      </c>
      <c r="AC2352" s="100">
        <v>0</v>
      </c>
      <c r="AD2352" s="100">
        <v>0</v>
      </c>
      <c r="AE2352" s="100">
        <v>1</v>
      </c>
      <c r="AF2352" s="100">
        <v>6</v>
      </c>
      <c r="AG2352" s="100">
        <v>2</v>
      </c>
      <c r="AH2352" s="100" t="s">
        <v>219</v>
      </c>
      <c r="AI2352" s="99">
        <v>0</v>
      </c>
      <c r="AJ2352" s="99">
        <v>2</v>
      </c>
      <c r="AK2352" s="99">
        <v>0</v>
      </c>
      <c r="AL2352" s="99">
        <v>1.5</v>
      </c>
      <c r="AM2352" s="100">
        <v>0</v>
      </c>
      <c r="AN2352" s="100">
        <v>0</v>
      </c>
      <c r="AO2352" s="100">
        <v>0</v>
      </c>
      <c r="AP2352" s="100">
        <v>0.5</v>
      </c>
      <c r="AQ2352" s="100">
        <v>500</v>
      </c>
      <c r="AR2352" s="100">
        <v>0</v>
      </c>
      <c r="AS2352" s="100">
        <v>15</v>
      </c>
      <c r="AT2352" s="99">
        <v>97010008</v>
      </c>
      <c r="AU2352" s="118">
        <v>0</v>
      </c>
      <c r="AV2352" s="118"/>
      <c r="AW2352" s="110" t="s">
        <v>293</v>
      </c>
      <c r="AX2352" s="100" t="s">
        <v>221</v>
      </c>
      <c r="AY2352" s="107">
        <v>0</v>
      </c>
      <c r="AZ2352" s="107">
        <v>0</v>
      </c>
      <c r="BA2352" s="137" t="s">
        <v>222</v>
      </c>
      <c r="BB2352" s="100">
        <v>0</v>
      </c>
      <c r="BC2352" s="105">
        <v>0</v>
      </c>
      <c r="BD2352" s="105">
        <v>0</v>
      </c>
      <c r="BE2352" s="111" t="s">
        <v>5657</v>
      </c>
      <c r="BF2352" s="111" t="s">
        <v>5658</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77002012</v>
      </c>
      <c r="BU2352" s="23">
        <v>0</v>
      </c>
      <c r="BV2352" s="23"/>
      <c r="BW2352" s="23"/>
      <c r="BX2352" s="23"/>
      <c r="BY2352" s="23"/>
      <c r="BZ2352" s="23"/>
    </row>
    <row r="2353" spans="1:78" ht="19.5" customHeight="1">
      <c r="C2353" s="107">
        <v>77002012</v>
      </c>
      <c r="D2353" s="104" t="s">
        <v>5659</v>
      </c>
      <c r="E2353" s="104" t="s">
        <v>5660</v>
      </c>
      <c r="F2353" s="100">
        <v>1</v>
      </c>
      <c r="G2353" s="107">
        <v>61022101</v>
      </c>
      <c r="H2353" s="107">
        <v>0</v>
      </c>
      <c r="I2353" s="105">
        <v>0</v>
      </c>
      <c r="J2353" s="100">
        <v>1</v>
      </c>
      <c r="K2353" s="100">
        <v>0</v>
      </c>
      <c r="L2353" s="100">
        <v>0</v>
      </c>
      <c r="M2353" s="107">
        <v>0</v>
      </c>
      <c r="N2353" s="107">
        <v>0</v>
      </c>
      <c r="O2353" s="107">
        <v>2</v>
      </c>
      <c r="P2353" s="107">
        <v>2</v>
      </c>
      <c r="Q2353" s="107">
        <v>1</v>
      </c>
      <c r="R2353" s="107">
        <v>0</v>
      </c>
      <c r="S2353" s="99">
        <v>0</v>
      </c>
      <c r="T2353" s="105">
        <v>0</v>
      </c>
      <c r="U2353" s="100">
        <v>1</v>
      </c>
      <c r="V2353" s="107">
        <v>1</v>
      </c>
      <c r="W2353" s="107">
        <v>0</v>
      </c>
      <c r="X2353" s="107">
        <v>1.5</v>
      </c>
      <c r="Y2353" s="19">
        <v>0</v>
      </c>
      <c r="Z2353" s="107">
        <v>0</v>
      </c>
      <c r="AA2353" s="107">
        <v>0</v>
      </c>
      <c r="AB2353" s="107">
        <v>0</v>
      </c>
      <c r="AC2353" s="107">
        <v>0</v>
      </c>
      <c r="AD2353" s="107">
        <v>0</v>
      </c>
      <c r="AE2353" s="107">
        <v>0</v>
      </c>
      <c r="AF2353" s="107">
        <v>8</v>
      </c>
      <c r="AG2353" s="107">
        <v>1</v>
      </c>
      <c r="AH2353" s="138">
        <v>5</v>
      </c>
      <c r="AI2353" s="99">
        <v>0</v>
      </c>
      <c r="AJ2353" s="99">
        <v>1</v>
      </c>
      <c r="AK2353" s="99">
        <v>0</v>
      </c>
      <c r="AL2353" s="99">
        <v>3</v>
      </c>
      <c r="AM2353" s="107">
        <v>0</v>
      </c>
      <c r="AN2353" s="107">
        <v>0</v>
      </c>
      <c r="AO2353" s="107">
        <v>0</v>
      </c>
      <c r="AP2353" s="107">
        <v>0</v>
      </c>
      <c r="AQ2353" s="107">
        <v>2000</v>
      </c>
      <c r="AR2353" s="107">
        <v>0.5</v>
      </c>
      <c r="AS2353" s="107">
        <v>0</v>
      </c>
      <c r="AT2353" s="99">
        <v>0</v>
      </c>
      <c r="AU2353" s="325" t="s">
        <v>5661</v>
      </c>
      <c r="AV2353" s="107"/>
      <c r="AW2353" s="110" t="s">
        <v>293</v>
      </c>
      <c r="AX2353" s="107" t="s">
        <v>551</v>
      </c>
      <c r="AY2353" s="107">
        <v>10001005</v>
      </c>
      <c r="AZ2353" s="325" t="s">
        <v>5662</v>
      </c>
      <c r="BA2353" s="104" t="s">
        <v>206</v>
      </c>
      <c r="BB2353" s="104">
        <v>0</v>
      </c>
      <c r="BC2353" s="105">
        <v>0</v>
      </c>
      <c r="BD2353" s="105">
        <v>0</v>
      </c>
      <c r="BE2353" s="139" t="s">
        <v>1192</v>
      </c>
      <c r="BF2353" s="139" t="s">
        <v>1193</v>
      </c>
      <c r="BG2353" s="107">
        <v>0</v>
      </c>
      <c r="BH2353" s="100">
        <v>0</v>
      </c>
      <c r="BI2353" s="107">
        <v>0</v>
      </c>
      <c r="BJ2353" s="107">
        <v>0</v>
      </c>
      <c r="BK2353" s="107">
        <v>0</v>
      </c>
      <c r="BL2353" s="107">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77002013</v>
      </c>
      <c r="D2354" s="110" t="s">
        <v>5663</v>
      </c>
      <c r="E2354" s="110" t="s">
        <v>5664</v>
      </c>
      <c r="F2354" s="107">
        <v>1</v>
      </c>
      <c r="G2354" s="100">
        <v>60010100</v>
      </c>
      <c r="H2354" s="107">
        <v>0</v>
      </c>
      <c r="I2354" s="105">
        <v>0</v>
      </c>
      <c r="J2354" s="107">
        <v>1</v>
      </c>
      <c r="K2354" s="107">
        <v>0</v>
      </c>
      <c r="L2354" s="107">
        <v>0</v>
      </c>
      <c r="M2354" s="100">
        <v>0</v>
      </c>
      <c r="N2354" s="100">
        <v>0</v>
      </c>
      <c r="O2354" s="100">
        <v>2</v>
      </c>
      <c r="P2354" s="100">
        <v>1</v>
      </c>
      <c r="Q2354" s="100">
        <v>0.15</v>
      </c>
      <c r="R2354" s="100">
        <v>0</v>
      </c>
      <c r="S2354" s="99">
        <v>0</v>
      </c>
      <c r="T2354" s="100">
        <v>0</v>
      </c>
      <c r="U2354" s="100">
        <v>1</v>
      </c>
      <c r="V2354" s="100">
        <v>2</v>
      </c>
      <c r="W2354" s="100">
        <v>0</v>
      </c>
      <c r="X2354" s="100">
        <v>0</v>
      </c>
      <c r="Y2354" s="19">
        <v>0</v>
      </c>
      <c r="Z2354" s="100">
        <v>0</v>
      </c>
      <c r="AA2354" s="100">
        <v>1</v>
      </c>
      <c r="AB2354" s="100">
        <v>0</v>
      </c>
      <c r="AC2354" s="100">
        <v>0</v>
      </c>
      <c r="AD2354" s="100">
        <v>0</v>
      </c>
      <c r="AE2354" s="100">
        <v>1</v>
      </c>
      <c r="AF2354" s="100">
        <v>3</v>
      </c>
      <c r="AG2354" s="100">
        <v>1</v>
      </c>
      <c r="AH2354" s="100">
        <v>4</v>
      </c>
      <c r="AI2354" s="99">
        <v>0</v>
      </c>
      <c r="AJ2354" s="99">
        <v>1</v>
      </c>
      <c r="AK2354" s="99">
        <v>0</v>
      </c>
      <c r="AL2354" s="99">
        <v>3</v>
      </c>
      <c r="AM2354" s="100">
        <v>0</v>
      </c>
      <c r="AN2354" s="100">
        <v>1</v>
      </c>
      <c r="AO2354" s="100">
        <v>0</v>
      </c>
      <c r="AP2354" s="100">
        <v>0</v>
      </c>
      <c r="AQ2354" s="100">
        <v>3000</v>
      </c>
      <c r="AR2354" s="100">
        <v>0</v>
      </c>
      <c r="AS2354" s="100">
        <v>0</v>
      </c>
      <c r="AT2354" s="323" t="s">
        <v>5665</v>
      </c>
      <c r="AU2354" s="118">
        <v>0</v>
      </c>
      <c r="AV2354" s="118"/>
      <c r="AW2354" s="104" t="s">
        <v>262</v>
      </c>
      <c r="AX2354" s="100" t="s">
        <v>540</v>
      </c>
      <c r="AY2354" s="107">
        <v>0</v>
      </c>
      <c r="AZ2354" s="107">
        <v>0</v>
      </c>
      <c r="BA2354" s="110" t="s">
        <v>206</v>
      </c>
      <c r="BB2354" s="100">
        <v>0</v>
      </c>
      <c r="BC2354" s="105">
        <v>0</v>
      </c>
      <c r="BD2354" s="105">
        <v>0</v>
      </c>
      <c r="BE2354" s="111" t="s">
        <v>5666</v>
      </c>
      <c r="BF2354" s="111" t="s">
        <v>5667</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77002014</v>
      </c>
      <c r="D2355" s="110" t="s">
        <v>5668</v>
      </c>
      <c r="E2355" s="110" t="s">
        <v>5669</v>
      </c>
      <c r="F2355" s="107">
        <v>1</v>
      </c>
      <c r="G2355" s="100">
        <v>0</v>
      </c>
      <c r="H2355" s="107">
        <v>0</v>
      </c>
      <c r="I2355" s="105">
        <v>0</v>
      </c>
      <c r="J2355" s="107">
        <v>1</v>
      </c>
      <c r="K2355" s="107">
        <v>0</v>
      </c>
      <c r="L2355" s="107">
        <v>0</v>
      </c>
      <c r="M2355" s="100">
        <v>0</v>
      </c>
      <c r="N2355" s="100">
        <v>0</v>
      </c>
      <c r="O2355" s="100">
        <v>2</v>
      </c>
      <c r="P2355" s="100">
        <v>1</v>
      </c>
      <c r="Q2355" s="100">
        <v>1</v>
      </c>
      <c r="R2355" s="100">
        <v>0</v>
      </c>
      <c r="S2355" s="99">
        <v>0</v>
      </c>
      <c r="T2355" s="100">
        <v>0</v>
      </c>
      <c r="U2355" s="100">
        <v>1</v>
      </c>
      <c r="V2355" s="100">
        <v>2</v>
      </c>
      <c r="W2355" s="100">
        <v>0</v>
      </c>
      <c r="X2355" s="100">
        <v>1.6</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v>
      </c>
      <c r="AQ2355" s="100">
        <v>5000</v>
      </c>
      <c r="AR2355" s="100">
        <v>0</v>
      </c>
      <c r="AS2355" s="100">
        <v>15</v>
      </c>
      <c r="AT2355" s="117">
        <v>0</v>
      </c>
      <c r="AU2355" s="327" t="s">
        <v>5670</v>
      </c>
      <c r="AV2355" s="118"/>
      <c r="AW2355" s="110" t="s">
        <v>293</v>
      </c>
      <c r="AX2355" s="100" t="s">
        <v>540</v>
      </c>
      <c r="AY2355" s="107">
        <v>10000007</v>
      </c>
      <c r="AZ2355" s="107">
        <v>77002008</v>
      </c>
      <c r="BA2355" s="110" t="s">
        <v>592</v>
      </c>
      <c r="BB2355" s="100" t="s">
        <v>2502</v>
      </c>
      <c r="BC2355" s="105">
        <v>0</v>
      </c>
      <c r="BD2355" s="105">
        <v>1</v>
      </c>
      <c r="BE2355" s="111" t="s">
        <v>5671</v>
      </c>
      <c r="BF2355" s="111" t="s">
        <v>5672</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77002015</v>
      </c>
      <c r="D2356" s="110" t="s">
        <v>5602</v>
      </c>
      <c r="E2356" s="110" t="s">
        <v>5603</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97010001</v>
      </c>
      <c r="AV2356" s="100"/>
      <c r="AW2356" s="110" t="s">
        <v>204</v>
      </c>
      <c r="AX2356" s="100" t="s">
        <v>540</v>
      </c>
      <c r="AY2356" s="107">
        <v>10000001</v>
      </c>
      <c r="AZ2356" s="107">
        <v>77002009</v>
      </c>
      <c r="BA2356" s="110" t="s">
        <v>777</v>
      </c>
      <c r="BB2356" s="100">
        <v>0</v>
      </c>
      <c r="BC2356" s="105">
        <v>0</v>
      </c>
      <c r="BD2356" s="105">
        <v>0</v>
      </c>
      <c r="BE2356" s="136" t="s">
        <v>5673</v>
      </c>
      <c r="BF2356" s="136" t="s">
        <v>5674</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19.5" customHeight="1">
      <c r="C2357" s="107">
        <v>77002016</v>
      </c>
      <c r="D2357" s="110" t="s">
        <v>5675</v>
      </c>
      <c r="E2357" s="110" t="s">
        <v>5676</v>
      </c>
      <c r="F2357" s="107">
        <v>1</v>
      </c>
      <c r="G2357" s="100">
        <v>0</v>
      </c>
      <c r="H2357" s="107">
        <v>0</v>
      </c>
      <c r="I2357" s="105">
        <v>0</v>
      </c>
      <c r="J2357" s="107">
        <v>1</v>
      </c>
      <c r="K2357" s="107">
        <v>0</v>
      </c>
      <c r="L2357" s="107">
        <v>0</v>
      </c>
      <c r="M2357" s="100">
        <v>0</v>
      </c>
      <c r="N2357" s="100">
        <v>0</v>
      </c>
      <c r="O2357" s="100">
        <v>2</v>
      </c>
      <c r="P2357" s="100">
        <v>16</v>
      </c>
      <c r="Q2357" s="100">
        <v>8</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0.5</v>
      </c>
      <c r="AQ2357" s="100">
        <v>5000</v>
      </c>
      <c r="AR2357" s="100">
        <v>0.5</v>
      </c>
      <c r="AS2357" s="100">
        <v>15</v>
      </c>
      <c r="AT2357" s="117">
        <v>0</v>
      </c>
      <c r="AU2357" s="327" t="s">
        <v>5677</v>
      </c>
      <c r="AV2357" s="118"/>
      <c r="AW2357" s="110" t="s">
        <v>293</v>
      </c>
      <c r="AX2357" s="100" t="s">
        <v>540</v>
      </c>
      <c r="AY2357" s="107">
        <v>10000007</v>
      </c>
      <c r="AZ2357" s="107">
        <v>77002008</v>
      </c>
      <c r="BA2357" s="110" t="s">
        <v>592</v>
      </c>
      <c r="BB2357" s="100" t="s">
        <v>2502</v>
      </c>
      <c r="BC2357" s="105">
        <v>0</v>
      </c>
      <c r="BD2357" s="105">
        <v>1</v>
      </c>
      <c r="BE2357" s="111" t="s">
        <v>5678</v>
      </c>
      <c r="BF2357" s="111" t="s">
        <v>5679</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C2358" s="107">
        <v>77002017</v>
      </c>
      <c r="D2358" s="110" t="s">
        <v>5602</v>
      </c>
      <c r="E2358" s="110" t="s">
        <v>5603</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1.2</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100">
        <v>97010002</v>
      </c>
      <c r="AV2358" s="100"/>
      <c r="AW2358" s="110" t="s">
        <v>204</v>
      </c>
      <c r="AX2358" s="100" t="s">
        <v>540</v>
      </c>
      <c r="AY2358" s="107">
        <v>10000001</v>
      </c>
      <c r="AZ2358" s="107">
        <v>77002009</v>
      </c>
      <c r="BA2358" s="110" t="s">
        <v>777</v>
      </c>
      <c r="BB2358" s="100">
        <v>0</v>
      </c>
      <c r="BC2358" s="105">
        <v>0</v>
      </c>
      <c r="BD2358" s="105">
        <v>0</v>
      </c>
      <c r="BE2358" s="136" t="s">
        <v>5673</v>
      </c>
      <c r="BF2358" s="136" t="s">
        <v>5674</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0</v>
      </c>
      <c r="BU2358" s="23">
        <v>0</v>
      </c>
      <c r="BV2358" s="23"/>
      <c r="BW2358" s="23"/>
      <c r="BX2358" s="23"/>
      <c r="BY2358" s="23"/>
      <c r="BZ2358" s="23"/>
    </row>
    <row r="2359" spans="1:78" ht="20.100000000000001" customHeight="1">
      <c r="A2359" s="140"/>
      <c r="B2359" s="140"/>
      <c r="C2359" s="107">
        <v>77002018</v>
      </c>
      <c r="D2359" s="110" t="s">
        <v>5680</v>
      </c>
      <c r="E2359" s="303" t="s">
        <v>5681</v>
      </c>
      <c r="F2359" s="97">
        <v>1</v>
      </c>
      <c r="G2359" s="97">
        <v>0</v>
      </c>
      <c r="H2359" s="100">
        <v>0</v>
      </c>
      <c r="I2359" s="105">
        <v>0</v>
      </c>
      <c r="J2359" s="107">
        <v>1</v>
      </c>
      <c r="K2359" s="107">
        <v>0</v>
      </c>
      <c r="L2359" s="107">
        <v>0</v>
      </c>
      <c r="M2359" s="100">
        <v>0</v>
      </c>
      <c r="N2359" s="100">
        <v>0</v>
      </c>
      <c r="O2359" s="100">
        <v>2</v>
      </c>
      <c r="P2359" s="100">
        <v>2</v>
      </c>
      <c r="Q2359" s="100">
        <v>0.4</v>
      </c>
      <c r="R2359" s="100">
        <v>0</v>
      </c>
      <c r="S2359" s="99">
        <v>0</v>
      </c>
      <c r="T2359" s="100">
        <v>0</v>
      </c>
      <c r="U2359" s="100">
        <v>1</v>
      </c>
      <c r="V2359" s="97">
        <v>1</v>
      </c>
      <c r="W2359" s="100">
        <v>0</v>
      </c>
      <c r="X2359" s="100">
        <v>2</v>
      </c>
      <c r="Y2359" s="19">
        <v>0</v>
      </c>
      <c r="Z2359" s="100">
        <v>0</v>
      </c>
      <c r="AA2359" s="100">
        <v>1</v>
      </c>
      <c r="AB2359" s="100">
        <v>0</v>
      </c>
      <c r="AC2359" s="100">
        <v>0</v>
      </c>
      <c r="AD2359" s="100">
        <v>0</v>
      </c>
      <c r="AE2359" s="100">
        <v>1</v>
      </c>
      <c r="AF2359" s="100">
        <v>20</v>
      </c>
      <c r="AG2359" s="100">
        <v>1</v>
      </c>
      <c r="AH2359" s="100">
        <v>6</v>
      </c>
      <c r="AI2359" s="99">
        <v>0</v>
      </c>
      <c r="AJ2359" s="99">
        <v>1</v>
      </c>
      <c r="AK2359" s="99">
        <v>0</v>
      </c>
      <c r="AL2359" s="99">
        <v>3</v>
      </c>
      <c r="AM2359" s="100">
        <v>0</v>
      </c>
      <c r="AN2359" s="100">
        <v>1</v>
      </c>
      <c r="AO2359" s="100">
        <v>0</v>
      </c>
      <c r="AP2359" s="100">
        <v>1</v>
      </c>
      <c r="AQ2359" s="100">
        <v>1100</v>
      </c>
      <c r="AR2359" s="100">
        <v>1</v>
      </c>
      <c r="AS2359" s="100">
        <v>0</v>
      </c>
      <c r="AT2359" s="99">
        <v>0</v>
      </c>
      <c r="AU2359" s="327" t="s">
        <v>5620</v>
      </c>
      <c r="AV2359" s="118"/>
      <c r="AW2359" s="110" t="s">
        <v>262</v>
      </c>
      <c r="AX2359" s="100" t="s">
        <v>221</v>
      </c>
      <c r="AY2359" s="107">
        <v>10000011</v>
      </c>
      <c r="AZ2359" s="325" t="s">
        <v>5635</v>
      </c>
      <c r="BA2359" s="104" t="s">
        <v>206</v>
      </c>
      <c r="BB2359" s="100">
        <v>0</v>
      </c>
      <c r="BC2359" s="105">
        <v>0</v>
      </c>
      <c r="BD2359" s="105">
        <v>0</v>
      </c>
      <c r="BE2359" s="111" t="s">
        <v>5682</v>
      </c>
      <c r="BF2359" s="111" t="s">
        <v>5683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77002019</v>
      </c>
      <c r="BU2359" s="23">
        <v>0</v>
      </c>
      <c r="BV2359" s="23"/>
      <c r="BW2359" s="23"/>
      <c r="BX2359" s="23"/>
      <c r="BY2359" s="23"/>
      <c r="BZ2359" s="23"/>
    </row>
    <row r="2360" spans="1:78" ht="19.5" customHeight="1">
      <c r="A2360" s="140"/>
      <c r="B2360" s="140"/>
      <c r="C2360" s="107">
        <v>77002019</v>
      </c>
      <c r="D2360" s="110" t="s">
        <v>2500</v>
      </c>
      <c r="E2360" s="110" t="s">
        <v>2501</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0.3</v>
      </c>
      <c r="AQ2360" s="100">
        <v>5000</v>
      </c>
      <c r="AR2360" s="100">
        <v>0.3</v>
      </c>
      <c r="AS2360" s="100">
        <v>15</v>
      </c>
      <c r="AT2360" s="326" t="s">
        <v>5684</v>
      </c>
      <c r="AU2360" s="327" t="s">
        <v>5661</v>
      </c>
      <c r="AV2360" s="118"/>
      <c r="AW2360" s="110" t="s">
        <v>262</v>
      </c>
      <c r="AX2360" s="100" t="s">
        <v>540</v>
      </c>
      <c r="AY2360" s="107">
        <v>10000007</v>
      </c>
      <c r="AZ2360" s="107">
        <v>77002008</v>
      </c>
      <c r="BA2360" s="110" t="s">
        <v>592</v>
      </c>
      <c r="BB2360" s="100" t="s">
        <v>2502</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77002020</v>
      </c>
      <c r="D2361" s="110" t="s">
        <v>5602</v>
      </c>
      <c r="E2361" s="110" t="s">
        <v>5603</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0.8</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27" t="s">
        <v>5620</v>
      </c>
      <c r="AV2361" s="118"/>
      <c r="AW2361" s="110" t="s">
        <v>204</v>
      </c>
      <c r="AX2361" s="100" t="s">
        <v>540</v>
      </c>
      <c r="AY2361" s="107">
        <v>10000001</v>
      </c>
      <c r="AZ2361" s="107">
        <v>77002009</v>
      </c>
      <c r="BA2361" s="110" t="s">
        <v>777</v>
      </c>
      <c r="BB2361" s="100">
        <v>0</v>
      </c>
      <c r="BC2361" s="105">
        <v>0</v>
      </c>
      <c r="BD2361" s="105">
        <v>0</v>
      </c>
      <c r="BE2361" s="136" t="s">
        <v>5604</v>
      </c>
      <c r="BF2361" s="136" t="s">
        <v>5605</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77002021</v>
      </c>
      <c r="BU2361" s="23">
        <v>0</v>
      </c>
      <c r="BV2361" s="23"/>
      <c r="BW2361" s="23"/>
      <c r="BX2361" s="23"/>
      <c r="BY2361" s="23"/>
      <c r="BZ2361" s="23"/>
    </row>
    <row r="2362" spans="1:78" ht="19.5" customHeight="1">
      <c r="A2362" s="140"/>
      <c r="B2362" s="140"/>
      <c r="C2362" s="107">
        <v>77002021</v>
      </c>
      <c r="D2362" s="110" t="s">
        <v>5685</v>
      </c>
      <c r="E2362" s="110" t="s">
        <v>5686</v>
      </c>
      <c r="F2362" s="107">
        <v>1</v>
      </c>
      <c r="G2362" s="100">
        <v>0</v>
      </c>
      <c r="H2362" s="107">
        <v>0</v>
      </c>
      <c r="I2362" s="105">
        <v>0</v>
      </c>
      <c r="J2362" s="107">
        <v>1</v>
      </c>
      <c r="K2362" s="107">
        <v>0</v>
      </c>
      <c r="L2362" s="107">
        <v>0</v>
      </c>
      <c r="M2362" s="100">
        <v>0</v>
      </c>
      <c r="N2362" s="100">
        <v>0</v>
      </c>
      <c r="O2362" s="100">
        <v>2</v>
      </c>
      <c r="P2362" s="100">
        <v>16</v>
      </c>
      <c r="Q2362" s="100">
        <v>5</v>
      </c>
      <c r="R2362" s="100">
        <v>0</v>
      </c>
      <c r="S2362" s="99">
        <v>0</v>
      </c>
      <c r="T2362" s="100">
        <v>0</v>
      </c>
      <c r="U2362" s="100">
        <v>1</v>
      </c>
      <c r="V2362" s="100">
        <v>2</v>
      </c>
      <c r="W2362" s="100">
        <v>0</v>
      </c>
      <c r="X2362" s="100">
        <v>1</v>
      </c>
      <c r="Y2362" s="19">
        <v>0</v>
      </c>
      <c r="Z2362" s="100">
        <v>0</v>
      </c>
      <c r="AA2362" s="100">
        <v>0</v>
      </c>
      <c r="AB2362" s="100">
        <v>0</v>
      </c>
      <c r="AC2362" s="100">
        <v>0</v>
      </c>
      <c r="AD2362" s="100">
        <v>0</v>
      </c>
      <c r="AE2362" s="100">
        <v>1</v>
      </c>
      <c r="AF2362" s="100">
        <v>0</v>
      </c>
      <c r="AG2362" s="100">
        <v>1</v>
      </c>
      <c r="AH2362" s="100">
        <v>2</v>
      </c>
      <c r="AI2362" s="99">
        <v>0</v>
      </c>
      <c r="AJ2362" s="99">
        <v>2</v>
      </c>
      <c r="AK2362" s="99">
        <v>0</v>
      </c>
      <c r="AL2362" s="99">
        <v>2</v>
      </c>
      <c r="AM2362" s="100">
        <v>0</v>
      </c>
      <c r="AN2362" s="100">
        <v>0</v>
      </c>
      <c r="AO2362" s="100">
        <v>0</v>
      </c>
      <c r="AP2362" s="100">
        <v>2</v>
      </c>
      <c r="AQ2362" s="100">
        <v>5000</v>
      </c>
      <c r="AR2362" s="100">
        <v>0</v>
      </c>
      <c r="AS2362" s="100">
        <v>10</v>
      </c>
      <c r="AT2362" s="117">
        <v>0</v>
      </c>
      <c r="AU2362" s="327" t="s">
        <v>5687</v>
      </c>
      <c r="AV2362" s="118"/>
      <c r="AW2362" s="110" t="s">
        <v>262</v>
      </c>
      <c r="AX2362" s="100" t="s">
        <v>540</v>
      </c>
      <c r="AY2362" s="107">
        <v>10000007</v>
      </c>
      <c r="AZ2362" s="107">
        <v>77002008</v>
      </c>
      <c r="BA2362" s="110" t="s">
        <v>592</v>
      </c>
      <c r="BB2362" s="100" t="s">
        <v>5688</v>
      </c>
      <c r="BC2362" s="105">
        <v>0</v>
      </c>
      <c r="BD2362" s="105">
        <v>1</v>
      </c>
      <c r="BE2362" s="111" t="s">
        <v>1312</v>
      </c>
      <c r="BF2362" s="111" t="s">
        <v>1313</v>
      </c>
      <c r="BG2362" s="100">
        <v>0</v>
      </c>
      <c r="BH2362" s="100">
        <v>0</v>
      </c>
      <c r="BI2362" s="100">
        <v>0</v>
      </c>
      <c r="BJ2362" s="100">
        <v>0</v>
      </c>
      <c r="BK2362" s="100">
        <v>0</v>
      </c>
      <c r="BL2362" s="100">
        <v>0</v>
      </c>
      <c r="BM2362" s="97">
        <v>0</v>
      </c>
      <c r="BN2362" s="99">
        <v>0</v>
      </c>
      <c r="BO2362" s="99">
        <v>0</v>
      </c>
      <c r="BP2362" s="99">
        <v>0</v>
      </c>
      <c r="BQ2362" s="99">
        <v>0</v>
      </c>
      <c r="BR2362" s="99">
        <v>0</v>
      </c>
      <c r="BS2362" s="99">
        <v>0</v>
      </c>
      <c r="BT2362" s="99">
        <v>0</v>
      </c>
      <c r="BU2362" s="23">
        <v>0</v>
      </c>
      <c r="BV2362" s="23"/>
      <c r="BW2362" s="23"/>
      <c r="BX2362" s="23"/>
      <c r="BY2362" s="23"/>
      <c r="BZ2362" s="23"/>
    </row>
    <row r="2363" spans="1:78" ht="19.5" customHeight="1">
      <c r="A2363" s="140"/>
      <c r="B2363" s="140"/>
      <c r="C2363" s="107">
        <v>77002022</v>
      </c>
      <c r="D2363" s="110" t="s">
        <v>5602</v>
      </c>
      <c r="E2363" s="110" t="s">
        <v>5603</v>
      </c>
      <c r="F2363" s="100">
        <v>1</v>
      </c>
      <c r="G2363" s="100">
        <v>0</v>
      </c>
      <c r="H2363" s="100">
        <v>0</v>
      </c>
      <c r="I2363" s="105">
        <v>0</v>
      </c>
      <c r="J2363" s="107">
        <v>1</v>
      </c>
      <c r="K2363" s="100">
        <v>0</v>
      </c>
      <c r="L2363" s="100">
        <v>0</v>
      </c>
      <c r="M2363" s="100">
        <v>0</v>
      </c>
      <c r="N2363" s="100">
        <v>0</v>
      </c>
      <c r="O2363" s="100">
        <v>2</v>
      </c>
      <c r="P2363" s="100">
        <v>1</v>
      </c>
      <c r="Q2363" s="100">
        <v>0.1</v>
      </c>
      <c r="R2363" s="100">
        <v>0</v>
      </c>
      <c r="S2363" s="99">
        <v>0</v>
      </c>
      <c r="T2363" s="100">
        <v>0</v>
      </c>
      <c r="U2363" s="100">
        <v>1</v>
      </c>
      <c r="V2363" s="100">
        <v>1</v>
      </c>
      <c r="W2363" s="100">
        <v>0</v>
      </c>
      <c r="X2363" s="100">
        <v>1.2</v>
      </c>
      <c r="Y2363" s="19">
        <v>0</v>
      </c>
      <c r="Z2363" s="100">
        <v>0</v>
      </c>
      <c r="AA2363" s="100">
        <v>1</v>
      </c>
      <c r="AB2363" s="100">
        <v>0</v>
      </c>
      <c r="AC2363" s="100">
        <v>0</v>
      </c>
      <c r="AD2363" s="100">
        <v>0</v>
      </c>
      <c r="AE2363" s="100">
        <v>1</v>
      </c>
      <c r="AF2363" s="100">
        <v>0</v>
      </c>
      <c r="AG2363" s="100">
        <v>1</v>
      </c>
      <c r="AH2363" s="100">
        <v>3</v>
      </c>
      <c r="AI2363" s="99">
        <v>0</v>
      </c>
      <c r="AJ2363" s="99">
        <v>1</v>
      </c>
      <c r="AK2363" s="99">
        <v>0</v>
      </c>
      <c r="AL2363" s="99">
        <v>2</v>
      </c>
      <c r="AM2363" s="100">
        <v>0</v>
      </c>
      <c r="AN2363" s="100">
        <v>0</v>
      </c>
      <c r="AO2363" s="100">
        <v>0</v>
      </c>
      <c r="AP2363" s="100">
        <v>0.5</v>
      </c>
      <c r="AQ2363" s="100">
        <v>600</v>
      </c>
      <c r="AR2363" s="100">
        <v>0.5</v>
      </c>
      <c r="AS2363" s="100">
        <v>0</v>
      </c>
      <c r="AT2363" s="99">
        <v>0</v>
      </c>
      <c r="AU2363" s="327" t="s">
        <v>5661</v>
      </c>
      <c r="AV2363" s="118"/>
      <c r="AW2363" s="110" t="s">
        <v>204</v>
      </c>
      <c r="AX2363" s="100" t="s">
        <v>540</v>
      </c>
      <c r="AY2363" s="107">
        <v>10000001</v>
      </c>
      <c r="AZ2363" s="107">
        <v>77002009</v>
      </c>
      <c r="BA2363" s="110" t="s">
        <v>777</v>
      </c>
      <c r="BB2363" s="100">
        <v>0</v>
      </c>
      <c r="BC2363" s="105">
        <v>0</v>
      </c>
      <c r="BD2363" s="105">
        <v>0</v>
      </c>
      <c r="BE2363" s="136" t="s">
        <v>5604</v>
      </c>
      <c r="BF2363" s="136" t="s">
        <v>5605</v>
      </c>
      <c r="BG2363" s="100">
        <v>0</v>
      </c>
      <c r="BH2363" s="100">
        <v>0</v>
      </c>
      <c r="BI2363" s="100">
        <v>0</v>
      </c>
      <c r="BJ2363" s="100">
        <v>0</v>
      </c>
      <c r="BK2363" s="100">
        <v>0</v>
      </c>
      <c r="BL2363" s="100">
        <v>0</v>
      </c>
      <c r="BM2363" s="97">
        <v>0</v>
      </c>
      <c r="BN2363" s="99">
        <v>0</v>
      </c>
      <c r="BO2363" s="99">
        <v>0</v>
      </c>
      <c r="BP2363" s="99">
        <v>0</v>
      </c>
      <c r="BQ2363" s="99">
        <v>0</v>
      </c>
      <c r="BR2363" s="99">
        <v>0</v>
      </c>
      <c r="BS2363" s="99">
        <v>1</v>
      </c>
      <c r="BT2363" s="99">
        <v>77002019</v>
      </c>
      <c r="BU2363" s="23">
        <v>0</v>
      </c>
      <c r="BV2363" s="23"/>
      <c r="BW2363" s="23"/>
      <c r="BX2363" s="23"/>
      <c r="BY2363" s="23"/>
      <c r="BZ2363" s="23"/>
    </row>
    <row r="2364" spans="1:78" ht="19.5" customHeight="1">
      <c r="A2364" s="140"/>
      <c r="B2364" s="140"/>
      <c r="C2364" s="74">
        <v>77005001</v>
      </c>
      <c r="D2364" s="71" t="s">
        <v>5689</v>
      </c>
      <c r="E2364" s="71" t="s">
        <v>5690</v>
      </c>
      <c r="F2364" s="72">
        <v>1</v>
      </c>
      <c r="G2364" s="72">
        <v>63021101</v>
      </c>
      <c r="H2364" s="72">
        <v>0</v>
      </c>
      <c r="I2364" s="75">
        <v>0</v>
      </c>
      <c r="J2364" s="74">
        <v>1</v>
      </c>
      <c r="K2364" s="72">
        <v>0</v>
      </c>
      <c r="L2364" s="72">
        <v>0</v>
      </c>
      <c r="M2364" s="72">
        <v>0</v>
      </c>
      <c r="N2364" s="72">
        <v>0</v>
      </c>
      <c r="O2364" s="72">
        <v>1</v>
      </c>
      <c r="P2364" s="72">
        <v>0</v>
      </c>
      <c r="Q2364" s="72">
        <v>0</v>
      </c>
      <c r="R2364" s="72">
        <v>0</v>
      </c>
      <c r="S2364" s="73">
        <v>0</v>
      </c>
      <c r="T2364" s="72">
        <v>0</v>
      </c>
      <c r="U2364" s="72">
        <v>1</v>
      </c>
      <c r="V2364" s="72">
        <v>1</v>
      </c>
      <c r="W2364" s="72">
        <v>0</v>
      </c>
      <c r="X2364" s="72">
        <v>1.5</v>
      </c>
      <c r="Y2364" s="19">
        <v>0</v>
      </c>
      <c r="Z2364" s="72">
        <v>0</v>
      </c>
      <c r="AA2364" s="72">
        <v>0</v>
      </c>
      <c r="AB2364" s="72">
        <v>0</v>
      </c>
      <c r="AC2364" s="72">
        <v>0</v>
      </c>
      <c r="AD2364" s="72">
        <v>0</v>
      </c>
      <c r="AE2364" s="72">
        <v>0</v>
      </c>
      <c r="AF2364" s="72">
        <v>6</v>
      </c>
      <c r="AG2364" s="72">
        <v>3</v>
      </c>
      <c r="AH2364" s="93">
        <v>4120</v>
      </c>
      <c r="AI2364" s="73">
        <v>2</v>
      </c>
      <c r="AJ2364" s="73">
        <v>3</v>
      </c>
      <c r="AK2364" s="73">
        <v>0</v>
      </c>
      <c r="AL2364" s="73">
        <v>1.5</v>
      </c>
      <c r="AM2364" s="72">
        <v>0</v>
      </c>
      <c r="AN2364" s="72">
        <v>0</v>
      </c>
      <c r="AO2364" s="72">
        <v>0</v>
      </c>
      <c r="AP2364" s="72">
        <v>0.2</v>
      </c>
      <c r="AQ2364" s="72">
        <v>1000</v>
      </c>
      <c r="AR2364" s="72">
        <v>0.2</v>
      </c>
      <c r="AS2364" s="72">
        <v>0</v>
      </c>
      <c r="AT2364" s="73">
        <v>0</v>
      </c>
      <c r="AU2364" s="344" t="s">
        <v>5691</v>
      </c>
      <c r="AV2364" s="72"/>
      <c r="AW2364" s="71" t="s">
        <v>204</v>
      </c>
      <c r="AX2364" s="72" t="s">
        <v>540</v>
      </c>
      <c r="AY2364" s="74">
        <v>10000001</v>
      </c>
      <c r="AZ2364" s="74">
        <v>77005001</v>
      </c>
      <c r="BA2364" s="71" t="s">
        <v>206</v>
      </c>
      <c r="BB2364" s="72">
        <v>0</v>
      </c>
      <c r="BC2364" s="73">
        <v>0</v>
      </c>
      <c r="BD2364" s="73">
        <v>0</v>
      </c>
      <c r="BE2364" s="114" t="s">
        <v>5692</v>
      </c>
      <c r="BF2364" s="114" t="s">
        <v>5693</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19.5" customHeight="1">
      <c r="A2365" s="140"/>
      <c r="B2365" s="140"/>
      <c r="C2365" s="74">
        <v>77005002</v>
      </c>
      <c r="D2365" s="71" t="s">
        <v>2365</v>
      </c>
      <c r="E2365" s="160" t="s">
        <v>2366</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1.7</v>
      </c>
      <c r="Y2365" s="19">
        <v>0</v>
      </c>
      <c r="Z2365" s="72">
        <v>0</v>
      </c>
      <c r="AA2365" s="72">
        <v>0</v>
      </c>
      <c r="AB2365" s="72">
        <v>0</v>
      </c>
      <c r="AC2365" s="72">
        <v>0</v>
      </c>
      <c r="AD2365" s="72">
        <v>0</v>
      </c>
      <c r="AE2365" s="72">
        <v>0</v>
      </c>
      <c r="AF2365" s="72">
        <v>9</v>
      </c>
      <c r="AG2365" s="72">
        <v>1</v>
      </c>
      <c r="AH2365" s="72">
        <v>5</v>
      </c>
      <c r="AI2365" s="73">
        <v>0</v>
      </c>
      <c r="AJ2365" s="73">
        <v>3</v>
      </c>
      <c r="AK2365" s="73">
        <v>0</v>
      </c>
      <c r="AL2365" s="73">
        <v>1.7</v>
      </c>
      <c r="AM2365" s="72">
        <v>0</v>
      </c>
      <c r="AN2365" s="72">
        <v>0</v>
      </c>
      <c r="AO2365" s="72">
        <v>0</v>
      </c>
      <c r="AP2365" s="72">
        <v>0</v>
      </c>
      <c r="AQ2365" s="72">
        <v>1000</v>
      </c>
      <c r="AR2365" s="72">
        <v>0.2</v>
      </c>
      <c r="AS2365" s="72">
        <v>0</v>
      </c>
      <c r="AT2365" s="73">
        <v>0</v>
      </c>
      <c r="AU2365" s="322" t="s">
        <v>5694</v>
      </c>
      <c r="AV2365" s="93"/>
      <c r="AW2365" s="88" t="s">
        <v>204</v>
      </c>
      <c r="AX2365" s="72" t="s">
        <v>551</v>
      </c>
      <c r="AY2365" s="74">
        <v>10000001</v>
      </c>
      <c r="AZ2365" s="74">
        <v>77005002</v>
      </c>
      <c r="BA2365" s="71" t="s">
        <v>206</v>
      </c>
      <c r="BB2365" s="72">
        <v>0</v>
      </c>
      <c r="BC2365" s="75">
        <v>0</v>
      </c>
      <c r="BD2365" s="75">
        <v>0</v>
      </c>
      <c r="BE2365" s="76" t="s">
        <v>2367</v>
      </c>
      <c r="BF2365" s="76" t="s">
        <v>2368</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362" t="s">
        <v>5695</v>
      </c>
      <c r="BV2365" s="23"/>
      <c r="BW2365" s="23"/>
      <c r="BX2365" s="23"/>
      <c r="BY2365" s="23"/>
      <c r="BZ2365" s="23"/>
    </row>
    <row r="2366" spans="1:78" ht="19.5" customHeight="1">
      <c r="A2366" s="140"/>
      <c r="B2366" s="140"/>
      <c r="C2366" s="74">
        <v>77005003</v>
      </c>
      <c r="D2366" s="71" t="s">
        <v>5696</v>
      </c>
      <c r="E2366" s="160" t="s">
        <v>5697</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0</v>
      </c>
      <c r="Y2366" s="19">
        <v>0</v>
      </c>
      <c r="Z2366" s="72">
        <v>0</v>
      </c>
      <c r="AA2366" s="72">
        <v>0</v>
      </c>
      <c r="AB2366" s="72">
        <v>0</v>
      </c>
      <c r="AC2366" s="72">
        <v>0</v>
      </c>
      <c r="AD2366" s="72">
        <v>0</v>
      </c>
      <c r="AE2366" s="72">
        <v>0</v>
      </c>
      <c r="AF2366" s="72">
        <v>24</v>
      </c>
      <c r="AG2366" s="72">
        <v>0</v>
      </c>
      <c r="AH2366" s="72">
        <v>0</v>
      </c>
      <c r="AI2366" s="73">
        <v>0</v>
      </c>
      <c r="AJ2366" s="73">
        <v>0</v>
      </c>
      <c r="AK2366" s="73">
        <v>0</v>
      </c>
      <c r="AL2366" s="73">
        <v>1.5</v>
      </c>
      <c r="AM2366" s="72">
        <v>0</v>
      </c>
      <c r="AN2366" s="72">
        <v>0</v>
      </c>
      <c r="AO2366" s="72">
        <v>0</v>
      </c>
      <c r="AP2366" s="74">
        <v>0.2</v>
      </c>
      <c r="AQ2366" s="72">
        <v>3000</v>
      </c>
      <c r="AR2366" s="72">
        <v>0.2</v>
      </c>
      <c r="AS2366" s="72">
        <v>0</v>
      </c>
      <c r="AT2366" s="73">
        <v>0</v>
      </c>
      <c r="AU2366" s="72" t="s">
        <v>204</v>
      </c>
      <c r="AV2366" s="72"/>
      <c r="AW2366" s="71" t="s">
        <v>204</v>
      </c>
      <c r="AX2366" s="72" t="s">
        <v>551</v>
      </c>
      <c r="AY2366" s="74">
        <v>0</v>
      </c>
      <c r="AZ2366" s="74">
        <v>0</v>
      </c>
      <c r="BA2366" s="71" t="s">
        <v>1180</v>
      </c>
      <c r="BB2366" s="344" t="s">
        <v>5698</v>
      </c>
      <c r="BC2366" s="75">
        <v>0</v>
      </c>
      <c r="BD2366" s="75">
        <v>0</v>
      </c>
      <c r="BE2366" s="76" t="s">
        <v>5699</v>
      </c>
      <c r="BF2366" s="76" t="s">
        <v>5700</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ht="20.100000000000001" customHeight="1">
      <c r="A2367" s="140"/>
      <c r="B2367" s="140"/>
      <c r="C2367" s="74">
        <v>77005004</v>
      </c>
      <c r="D2367" s="71" t="s">
        <v>2365</v>
      </c>
      <c r="E2367" s="160" t="s">
        <v>2366</v>
      </c>
      <c r="F2367" s="90">
        <v>1</v>
      </c>
      <c r="G2367" s="72">
        <v>63021101</v>
      </c>
      <c r="H2367" s="74">
        <v>0</v>
      </c>
      <c r="I2367" s="75">
        <v>0</v>
      </c>
      <c r="J2367" s="74">
        <v>1</v>
      </c>
      <c r="K2367" s="72">
        <v>0</v>
      </c>
      <c r="L2367" s="74">
        <v>0</v>
      </c>
      <c r="M2367" s="72">
        <v>0</v>
      </c>
      <c r="N2367" s="72">
        <v>0</v>
      </c>
      <c r="O2367" s="72">
        <v>2</v>
      </c>
      <c r="P2367" s="72">
        <v>1</v>
      </c>
      <c r="Q2367" s="72">
        <v>0.2</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1000</v>
      </c>
      <c r="AR2367" s="72">
        <v>0.2</v>
      </c>
      <c r="AS2367" s="72">
        <v>0</v>
      </c>
      <c r="AT2367" s="73">
        <v>0</v>
      </c>
      <c r="AU2367" s="322" t="s">
        <v>5694</v>
      </c>
      <c r="AV2367" s="93"/>
      <c r="AW2367" s="88" t="s">
        <v>204</v>
      </c>
      <c r="AX2367" s="72" t="s">
        <v>551</v>
      </c>
      <c r="AY2367" s="74">
        <v>10000001</v>
      </c>
      <c r="AZ2367" s="74">
        <v>77005002</v>
      </c>
      <c r="BA2367" s="71" t="s">
        <v>206</v>
      </c>
      <c r="BB2367" s="72">
        <v>0</v>
      </c>
      <c r="BC2367" s="75">
        <v>0</v>
      </c>
      <c r="BD2367" s="75">
        <v>0</v>
      </c>
      <c r="BE2367" s="76" t="s">
        <v>2367</v>
      </c>
      <c r="BF2367" s="76" t="s">
        <v>2368</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s="1" customFormat="1" ht="20.100000000000001" customHeight="1">
      <c r="C2368" s="74">
        <v>77005005</v>
      </c>
      <c r="D2368" s="71" t="s">
        <v>766</v>
      </c>
      <c r="E2368" s="160" t="s">
        <v>767</v>
      </c>
      <c r="F2368" s="90">
        <v>1</v>
      </c>
      <c r="G2368" s="90">
        <v>0</v>
      </c>
      <c r="H2368" s="72">
        <v>0</v>
      </c>
      <c r="I2368" s="75">
        <v>0</v>
      </c>
      <c r="J2368" s="74">
        <v>1</v>
      </c>
      <c r="K2368" s="74">
        <v>0</v>
      </c>
      <c r="L2368" s="74">
        <v>0</v>
      </c>
      <c r="M2368" s="72">
        <v>0</v>
      </c>
      <c r="N2368" s="72">
        <v>0</v>
      </c>
      <c r="O2368" s="72">
        <v>2</v>
      </c>
      <c r="P2368" s="72">
        <v>16</v>
      </c>
      <c r="Q2368" s="72">
        <v>8</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2371</v>
      </c>
      <c r="BF2368" s="76" t="s">
        <v>2372</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77005006</v>
      </c>
      <c r="BU2368" s="73">
        <v>0</v>
      </c>
      <c r="BV2368" s="23"/>
      <c r="BW2368" s="23"/>
      <c r="BX2368" s="23"/>
      <c r="BY2368" s="23"/>
      <c r="BZ2368" s="23"/>
    </row>
    <row r="2369" spans="1:78" ht="20.100000000000001" customHeight="1">
      <c r="A2369" s="140"/>
      <c r="B2369" s="140"/>
      <c r="C2369" s="74">
        <v>77005006</v>
      </c>
      <c r="D2369" s="71" t="s">
        <v>2365</v>
      </c>
      <c r="E2369" s="160" t="s">
        <v>2366</v>
      </c>
      <c r="F2369" s="90">
        <v>1</v>
      </c>
      <c r="G2369" s="72">
        <v>63021101</v>
      </c>
      <c r="H2369" s="74">
        <v>0</v>
      </c>
      <c r="I2369" s="75">
        <v>0</v>
      </c>
      <c r="J2369" s="74">
        <v>1</v>
      </c>
      <c r="K2369" s="72">
        <v>0</v>
      </c>
      <c r="L2369" s="74">
        <v>0</v>
      </c>
      <c r="M2369" s="72">
        <v>0</v>
      </c>
      <c r="N2369" s="72">
        <v>0</v>
      </c>
      <c r="O2369" s="72">
        <v>2</v>
      </c>
      <c r="P2369" s="72">
        <v>16</v>
      </c>
      <c r="Q2369" s="72">
        <v>1</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22" t="s">
        <v>5694</v>
      </c>
      <c r="AV2369" s="93"/>
      <c r="AW2369" s="88" t="s">
        <v>204</v>
      </c>
      <c r="AX2369" s="72" t="s">
        <v>551</v>
      </c>
      <c r="AY2369" s="74">
        <v>10000001</v>
      </c>
      <c r="AZ2369" s="74">
        <v>77005002</v>
      </c>
      <c r="BA2369" s="71" t="s">
        <v>206</v>
      </c>
      <c r="BB2369" s="72">
        <v>0</v>
      </c>
      <c r="BC2369" s="75">
        <v>0</v>
      </c>
      <c r="BD2369" s="75">
        <v>0</v>
      </c>
      <c r="BE2369" s="76" t="s">
        <v>2367</v>
      </c>
      <c r="BF2369" s="76" t="s">
        <v>2368</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77005007</v>
      </c>
      <c r="BU2369" s="23">
        <v>0</v>
      </c>
      <c r="BV2369" s="23"/>
      <c r="BW2369" s="23"/>
      <c r="BX2369" s="23"/>
      <c r="BY2369" s="23"/>
      <c r="BZ2369" s="23"/>
    </row>
    <row r="2370" spans="1:78" s="1" customFormat="1" ht="20.100000000000001" customHeight="1">
      <c r="C2370" s="74">
        <v>77005007</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2371</v>
      </c>
      <c r="BF2370" s="76" t="s">
        <v>2372</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77005008</v>
      </c>
      <c r="BU2370" s="73">
        <v>0</v>
      </c>
      <c r="BV2370" s="23"/>
      <c r="BW2370" s="23"/>
      <c r="BX2370" s="23"/>
      <c r="BY2370" s="23"/>
      <c r="BZ2370" s="23"/>
    </row>
    <row r="2371" spans="1:78" ht="20.100000000000001" customHeight="1">
      <c r="A2371" s="140"/>
      <c r="B2371" s="140"/>
      <c r="C2371" s="74">
        <v>77005008</v>
      </c>
      <c r="D2371" s="71" t="s">
        <v>2365</v>
      </c>
      <c r="E2371" s="160" t="s">
        <v>2366</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22" t="s">
        <v>5694</v>
      </c>
      <c r="AV2371" s="93"/>
      <c r="AW2371" s="88" t="s">
        <v>204</v>
      </c>
      <c r="AX2371" s="72" t="s">
        <v>551</v>
      </c>
      <c r="AY2371" s="74">
        <v>10000001</v>
      </c>
      <c r="AZ2371" s="74">
        <v>77005002</v>
      </c>
      <c r="BA2371" s="71" t="s">
        <v>206</v>
      </c>
      <c r="BB2371" s="72">
        <v>0</v>
      </c>
      <c r="BC2371" s="75">
        <v>0</v>
      </c>
      <c r="BD2371" s="75">
        <v>0</v>
      </c>
      <c r="BE2371" s="76" t="s">
        <v>2367</v>
      </c>
      <c r="BF2371" s="76" t="s">
        <v>2368</v>
      </c>
      <c r="BG2371" s="72">
        <v>0</v>
      </c>
      <c r="BH2371" s="72">
        <v>0</v>
      </c>
      <c r="BI2371" s="72">
        <v>0</v>
      </c>
      <c r="BJ2371" s="72">
        <v>0</v>
      </c>
      <c r="BK2371" s="72">
        <v>0</v>
      </c>
      <c r="BL2371" s="72">
        <v>0</v>
      </c>
      <c r="BM2371" s="90">
        <v>0</v>
      </c>
      <c r="BN2371" s="73">
        <v>0</v>
      </c>
      <c r="BO2371" s="73">
        <v>0</v>
      </c>
      <c r="BP2371" s="73">
        <v>0</v>
      </c>
      <c r="BQ2371" s="73">
        <v>0</v>
      </c>
      <c r="BR2371" s="73">
        <v>0</v>
      </c>
      <c r="BS2371" s="73">
        <v>0</v>
      </c>
      <c r="BT2371" s="73">
        <v>77005009</v>
      </c>
      <c r="BU2371" s="23">
        <v>0</v>
      </c>
      <c r="BV2371" s="23"/>
      <c r="BW2371" s="23"/>
      <c r="BX2371" s="23"/>
      <c r="BY2371" s="23"/>
      <c r="BZ2371" s="23"/>
    </row>
    <row r="2372" spans="1:78" s="1" customFormat="1" ht="20.100000000000001" customHeight="1">
      <c r="C2372" s="74">
        <v>77005009</v>
      </c>
      <c r="D2372" s="71" t="s">
        <v>766</v>
      </c>
      <c r="E2372" s="160" t="s">
        <v>767</v>
      </c>
      <c r="F2372" s="90">
        <v>1</v>
      </c>
      <c r="G2372" s="90">
        <v>0</v>
      </c>
      <c r="H2372" s="72">
        <v>0</v>
      </c>
      <c r="I2372" s="75">
        <v>0</v>
      </c>
      <c r="J2372" s="74">
        <v>1</v>
      </c>
      <c r="K2372" s="74">
        <v>0</v>
      </c>
      <c r="L2372" s="74">
        <v>0</v>
      </c>
      <c r="M2372" s="72">
        <v>0</v>
      </c>
      <c r="N2372" s="72">
        <v>0</v>
      </c>
      <c r="O2372" s="72">
        <v>2</v>
      </c>
      <c r="P2372" s="72">
        <v>16</v>
      </c>
      <c r="Q2372" s="72">
        <v>1</v>
      </c>
      <c r="R2372" s="72">
        <v>0</v>
      </c>
      <c r="S2372" s="73">
        <v>0</v>
      </c>
      <c r="T2372" s="72">
        <v>0</v>
      </c>
      <c r="U2372" s="72">
        <v>1</v>
      </c>
      <c r="V2372" s="90">
        <v>1</v>
      </c>
      <c r="W2372" s="72">
        <v>0</v>
      </c>
      <c r="X2372" s="72">
        <v>0</v>
      </c>
      <c r="Y2372" s="19">
        <v>0</v>
      </c>
      <c r="Z2372" s="72">
        <v>0</v>
      </c>
      <c r="AA2372" s="72">
        <v>1</v>
      </c>
      <c r="AB2372" s="72">
        <v>0</v>
      </c>
      <c r="AC2372" s="72">
        <v>0</v>
      </c>
      <c r="AD2372" s="72">
        <v>0</v>
      </c>
      <c r="AE2372" s="72">
        <v>1</v>
      </c>
      <c r="AF2372" s="72">
        <v>12</v>
      </c>
      <c r="AG2372" s="72">
        <v>2</v>
      </c>
      <c r="AH2372" s="72" t="s">
        <v>219</v>
      </c>
      <c r="AI2372" s="73">
        <v>0</v>
      </c>
      <c r="AJ2372" s="73">
        <v>2</v>
      </c>
      <c r="AK2372" s="73">
        <v>0</v>
      </c>
      <c r="AL2372" s="73">
        <v>1.5</v>
      </c>
      <c r="AM2372" s="72">
        <v>0</v>
      </c>
      <c r="AN2372" s="72">
        <v>0</v>
      </c>
      <c r="AO2372" s="72">
        <v>0</v>
      </c>
      <c r="AP2372" s="72">
        <v>0.5</v>
      </c>
      <c r="AQ2372" s="72">
        <v>600</v>
      </c>
      <c r="AR2372" s="72">
        <v>0</v>
      </c>
      <c r="AS2372" s="72">
        <v>12</v>
      </c>
      <c r="AT2372" s="73">
        <v>0</v>
      </c>
      <c r="AU2372" s="93">
        <v>0</v>
      </c>
      <c r="AV2372" s="93"/>
      <c r="AW2372" s="71" t="s">
        <v>205</v>
      </c>
      <c r="AX2372" s="72" t="s">
        <v>221</v>
      </c>
      <c r="AY2372" s="74">
        <v>10000011</v>
      </c>
      <c r="AZ2372" s="74">
        <v>0</v>
      </c>
      <c r="BA2372" s="71" t="s">
        <v>222</v>
      </c>
      <c r="BB2372" s="72">
        <v>0</v>
      </c>
      <c r="BC2372" s="75">
        <v>0</v>
      </c>
      <c r="BD2372" s="75">
        <v>0</v>
      </c>
      <c r="BE2372" s="76" t="s">
        <v>2371</v>
      </c>
      <c r="BF2372" s="76" t="s">
        <v>2372</v>
      </c>
      <c r="BG2372" s="72">
        <v>0</v>
      </c>
      <c r="BH2372" s="72">
        <v>0</v>
      </c>
      <c r="BI2372" s="72">
        <v>0</v>
      </c>
      <c r="BJ2372" s="72">
        <v>0</v>
      </c>
      <c r="BK2372" s="72">
        <v>0</v>
      </c>
      <c r="BL2372" s="72">
        <v>0</v>
      </c>
      <c r="BM2372" s="90">
        <v>0</v>
      </c>
      <c r="BN2372" s="73">
        <v>0</v>
      </c>
      <c r="BO2372" s="73">
        <v>0</v>
      </c>
      <c r="BP2372" s="73">
        <v>0</v>
      </c>
      <c r="BQ2372" s="73">
        <v>0</v>
      </c>
      <c r="BR2372" s="73">
        <v>0</v>
      </c>
      <c r="BS2372" s="73">
        <v>1</v>
      </c>
      <c r="BT2372" s="73">
        <v>77005010</v>
      </c>
      <c r="BU2372" s="73">
        <v>0</v>
      </c>
      <c r="BV2372" s="23"/>
      <c r="BW2372" s="23"/>
      <c r="BX2372" s="23"/>
      <c r="BY2372" s="23"/>
      <c r="BZ2372" s="23"/>
    </row>
    <row r="2373" spans="1:78" ht="20.100000000000001" customHeight="1">
      <c r="A2373" s="140"/>
      <c r="B2373" s="140"/>
      <c r="C2373" s="74">
        <v>77005010</v>
      </c>
      <c r="D2373" s="71" t="s">
        <v>2365</v>
      </c>
      <c r="E2373" s="160" t="s">
        <v>2366</v>
      </c>
      <c r="F2373" s="90">
        <v>1</v>
      </c>
      <c r="G2373" s="72">
        <v>63021101</v>
      </c>
      <c r="H2373" s="74">
        <v>0</v>
      </c>
      <c r="I2373" s="75">
        <v>0</v>
      </c>
      <c r="J2373" s="74">
        <v>1</v>
      </c>
      <c r="K2373" s="72">
        <v>0</v>
      </c>
      <c r="L2373" s="74">
        <v>0</v>
      </c>
      <c r="M2373" s="72">
        <v>0</v>
      </c>
      <c r="N2373" s="72">
        <v>0</v>
      </c>
      <c r="O2373" s="72">
        <v>2</v>
      </c>
      <c r="P2373" s="72">
        <v>16</v>
      </c>
      <c r="Q2373" s="72">
        <v>4</v>
      </c>
      <c r="R2373" s="72">
        <v>0</v>
      </c>
      <c r="S2373" s="73">
        <v>0</v>
      </c>
      <c r="T2373" s="72">
        <v>0</v>
      </c>
      <c r="U2373" s="72">
        <v>1</v>
      </c>
      <c r="V2373" s="72">
        <v>1</v>
      </c>
      <c r="W2373" s="72">
        <v>0</v>
      </c>
      <c r="X2373" s="72">
        <v>2</v>
      </c>
      <c r="Y2373" s="19">
        <v>0</v>
      </c>
      <c r="Z2373" s="72">
        <v>0</v>
      </c>
      <c r="AA2373" s="72">
        <v>0</v>
      </c>
      <c r="AB2373" s="72">
        <v>0</v>
      </c>
      <c r="AC2373" s="72">
        <v>0</v>
      </c>
      <c r="AD2373" s="72">
        <v>0</v>
      </c>
      <c r="AE2373" s="72">
        <v>0</v>
      </c>
      <c r="AF2373" s="72">
        <v>0</v>
      </c>
      <c r="AG2373" s="72">
        <v>1</v>
      </c>
      <c r="AH2373" s="72">
        <v>5</v>
      </c>
      <c r="AI2373" s="73">
        <v>0</v>
      </c>
      <c r="AJ2373" s="73">
        <v>1</v>
      </c>
      <c r="AK2373" s="73">
        <v>0</v>
      </c>
      <c r="AL2373" s="73">
        <v>2</v>
      </c>
      <c r="AM2373" s="72">
        <v>0</v>
      </c>
      <c r="AN2373" s="72">
        <v>0</v>
      </c>
      <c r="AO2373" s="72">
        <v>0</v>
      </c>
      <c r="AP2373" s="72">
        <v>0</v>
      </c>
      <c r="AQ2373" s="72">
        <v>400</v>
      </c>
      <c r="AR2373" s="72">
        <v>0.2</v>
      </c>
      <c r="AS2373" s="72">
        <v>0</v>
      </c>
      <c r="AT2373" s="73">
        <v>0</v>
      </c>
      <c r="AU2373" s="322" t="s">
        <v>5694</v>
      </c>
      <c r="AV2373" s="93"/>
      <c r="AW2373" s="88" t="s">
        <v>204</v>
      </c>
      <c r="AX2373" s="72" t="s">
        <v>551</v>
      </c>
      <c r="AY2373" s="74">
        <v>10000001</v>
      </c>
      <c r="AZ2373" s="74">
        <v>77005002</v>
      </c>
      <c r="BA2373" s="71" t="s">
        <v>206</v>
      </c>
      <c r="BB2373" s="72">
        <v>0</v>
      </c>
      <c r="BC2373" s="75">
        <v>0</v>
      </c>
      <c r="BD2373" s="75">
        <v>0</v>
      </c>
      <c r="BE2373" s="76" t="s">
        <v>2367</v>
      </c>
      <c r="BF2373" s="76" t="s">
        <v>2368</v>
      </c>
      <c r="BG2373" s="72">
        <v>0</v>
      </c>
      <c r="BH2373" s="72">
        <v>0</v>
      </c>
      <c r="BI2373" s="72">
        <v>0</v>
      </c>
      <c r="BJ2373" s="72">
        <v>0</v>
      </c>
      <c r="BK2373" s="72">
        <v>0</v>
      </c>
      <c r="BL2373" s="72">
        <v>0</v>
      </c>
      <c r="BM2373" s="90">
        <v>0</v>
      </c>
      <c r="BN2373" s="73">
        <v>0</v>
      </c>
      <c r="BO2373" s="73">
        <v>0</v>
      </c>
      <c r="BP2373" s="73">
        <v>0</v>
      </c>
      <c r="BQ2373" s="73">
        <v>0</v>
      </c>
      <c r="BR2373" s="73">
        <v>0</v>
      </c>
      <c r="BS2373" s="73">
        <v>0</v>
      </c>
      <c r="BT2373" s="73">
        <v>0</v>
      </c>
      <c r="BU2373" s="23">
        <v>0</v>
      </c>
      <c r="BV2373" s="23"/>
      <c r="BW2373" s="23"/>
      <c r="BX2373" s="23"/>
      <c r="BY2373" s="23"/>
      <c r="BZ2373" s="23"/>
    </row>
    <row r="2374" spans="1:78" ht="19.5" customHeight="1">
      <c r="A2374" s="140"/>
      <c r="B2374" s="140"/>
      <c r="C2374" s="107">
        <v>77006001</v>
      </c>
      <c r="D2374" s="110" t="s">
        <v>5701</v>
      </c>
      <c r="E2374" s="110" t="s">
        <v>5702</v>
      </c>
      <c r="F2374" s="100">
        <v>1</v>
      </c>
      <c r="G2374" s="100">
        <v>63021101</v>
      </c>
      <c r="H2374" s="100">
        <v>0</v>
      </c>
      <c r="I2374" s="105">
        <v>0</v>
      </c>
      <c r="J2374" s="107">
        <v>1</v>
      </c>
      <c r="K2374" s="100">
        <v>0</v>
      </c>
      <c r="L2374" s="100">
        <v>0</v>
      </c>
      <c r="M2374" s="100">
        <v>0</v>
      </c>
      <c r="N2374" s="100">
        <v>0</v>
      </c>
      <c r="O2374" s="100">
        <v>1</v>
      </c>
      <c r="P2374" s="100">
        <v>0</v>
      </c>
      <c r="Q2374" s="100">
        <v>0</v>
      </c>
      <c r="R2374" s="100">
        <v>0</v>
      </c>
      <c r="S2374" s="99">
        <v>0</v>
      </c>
      <c r="T2374" s="100">
        <v>0</v>
      </c>
      <c r="U2374" s="100">
        <v>1</v>
      </c>
      <c r="V2374" s="100">
        <v>1</v>
      </c>
      <c r="W2374" s="100">
        <v>0</v>
      </c>
      <c r="X2374" s="100">
        <v>1</v>
      </c>
      <c r="Y2374" s="19">
        <v>0</v>
      </c>
      <c r="Z2374" s="100">
        <v>0</v>
      </c>
      <c r="AA2374" s="100">
        <v>0</v>
      </c>
      <c r="AB2374" s="100">
        <v>0</v>
      </c>
      <c r="AC2374" s="100">
        <v>0</v>
      </c>
      <c r="AD2374" s="100">
        <v>0</v>
      </c>
      <c r="AE2374" s="100">
        <v>0</v>
      </c>
      <c r="AF2374" s="100">
        <v>16</v>
      </c>
      <c r="AG2374" s="100">
        <v>1</v>
      </c>
      <c r="AH2374" s="118">
        <v>2</v>
      </c>
      <c r="AI2374" s="99">
        <v>2</v>
      </c>
      <c r="AJ2374" s="99">
        <v>2</v>
      </c>
      <c r="AK2374" s="99">
        <v>0</v>
      </c>
      <c r="AL2374" s="99">
        <v>3</v>
      </c>
      <c r="AM2374" s="100">
        <v>0</v>
      </c>
      <c r="AN2374" s="100">
        <v>0</v>
      </c>
      <c r="AO2374" s="100">
        <v>0</v>
      </c>
      <c r="AP2374" s="100">
        <v>0.2</v>
      </c>
      <c r="AQ2374" s="100">
        <v>2000</v>
      </c>
      <c r="AR2374" s="100">
        <v>0.2</v>
      </c>
      <c r="AS2374" s="100">
        <v>5</v>
      </c>
      <c r="AT2374" s="99">
        <v>0</v>
      </c>
      <c r="AU2374" s="328" t="s">
        <v>5691</v>
      </c>
      <c r="AV2374" s="100"/>
      <c r="AW2374" s="110" t="s">
        <v>204</v>
      </c>
      <c r="AX2374" s="100" t="s">
        <v>540</v>
      </c>
      <c r="AY2374" s="107">
        <v>10000001</v>
      </c>
      <c r="AZ2374" s="107">
        <v>77005003</v>
      </c>
      <c r="BA2374" s="110" t="s">
        <v>2380</v>
      </c>
      <c r="BB2374" s="100" t="s">
        <v>5703</v>
      </c>
      <c r="BC2374" s="99">
        <v>0</v>
      </c>
      <c r="BD2374" s="99">
        <v>0</v>
      </c>
      <c r="BE2374" s="136" t="s">
        <v>5704</v>
      </c>
      <c r="BF2374" s="136" t="s">
        <v>5705</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23">
        <v>0</v>
      </c>
      <c r="BV2374" s="23"/>
      <c r="BW2374" s="23"/>
      <c r="BX2374" s="23"/>
      <c r="BY2374" s="23"/>
      <c r="BZ2374" s="23"/>
    </row>
    <row r="2375" spans="1:78" ht="20.100000000000001" customHeight="1">
      <c r="A2375" s="140"/>
      <c r="B2375" s="140"/>
      <c r="C2375" s="107">
        <v>77006002</v>
      </c>
      <c r="D2375" s="110" t="s">
        <v>5706</v>
      </c>
      <c r="E2375" s="303" t="s">
        <v>5707</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1.5</v>
      </c>
      <c r="Y2375" s="19">
        <v>0</v>
      </c>
      <c r="Z2375" s="100">
        <v>0</v>
      </c>
      <c r="AA2375" s="100">
        <v>0</v>
      </c>
      <c r="AB2375" s="100">
        <v>0</v>
      </c>
      <c r="AC2375" s="100">
        <v>0</v>
      </c>
      <c r="AD2375" s="100">
        <v>0</v>
      </c>
      <c r="AE2375" s="100">
        <v>0</v>
      </c>
      <c r="AF2375" s="100">
        <v>12</v>
      </c>
      <c r="AG2375" s="100">
        <v>1</v>
      </c>
      <c r="AH2375" s="100">
        <v>4</v>
      </c>
      <c r="AI2375" s="99">
        <v>2</v>
      </c>
      <c r="AJ2375" s="99">
        <v>1</v>
      </c>
      <c r="AK2375" s="99">
        <v>0</v>
      </c>
      <c r="AL2375" s="99">
        <v>7</v>
      </c>
      <c r="AM2375" s="100">
        <v>0</v>
      </c>
      <c r="AN2375" s="100">
        <v>0</v>
      </c>
      <c r="AO2375" s="100">
        <v>0</v>
      </c>
      <c r="AP2375" s="100">
        <v>0.2</v>
      </c>
      <c r="AQ2375" s="100">
        <v>2000</v>
      </c>
      <c r="AR2375" s="100">
        <v>0.4</v>
      </c>
      <c r="AS2375" s="100">
        <v>0</v>
      </c>
      <c r="AT2375" s="99">
        <v>0</v>
      </c>
      <c r="AU2375" s="118">
        <v>0</v>
      </c>
      <c r="AV2375" s="118"/>
      <c r="AW2375" s="104" t="s">
        <v>204</v>
      </c>
      <c r="AX2375" s="100" t="s">
        <v>551</v>
      </c>
      <c r="AY2375" s="107">
        <v>10000001</v>
      </c>
      <c r="AZ2375" s="107">
        <v>77005004</v>
      </c>
      <c r="BA2375" s="110" t="s">
        <v>206</v>
      </c>
      <c r="BB2375" s="100">
        <v>0</v>
      </c>
      <c r="BC2375" s="105">
        <v>0</v>
      </c>
      <c r="BD2375" s="105">
        <v>0</v>
      </c>
      <c r="BE2375" s="111" t="s">
        <v>5708</v>
      </c>
      <c r="BF2375" s="111" t="s">
        <v>5709</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362" t="s">
        <v>5710</v>
      </c>
      <c r="BV2375" s="23"/>
      <c r="BW2375" s="23"/>
      <c r="BX2375" s="23"/>
      <c r="BY2375" s="23"/>
      <c r="BZ2375" s="23"/>
    </row>
    <row r="2376" spans="1:78" ht="20.100000000000001" customHeight="1">
      <c r="A2376" s="140"/>
      <c r="B2376" s="140"/>
      <c r="C2376" s="107">
        <v>77006003</v>
      </c>
      <c r="D2376" s="110" t="s">
        <v>5711</v>
      </c>
      <c r="E2376" s="303" t="s">
        <v>5712</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1.2</v>
      </c>
      <c r="Y2376" s="19">
        <v>0</v>
      </c>
      <c r="Z2376" s="100">
        <v>0</v>
      </c>
      <c r="AA2376" s="100">
        <v>0</v>
      </c>
      <c r="AB2376" s="100">
        <v>0</v>
      </c>
      <c r="AC2376" s="100">
        <v>0</v>
      </c>
      <c r="AD2376" s="100">
        <v>0</v>
      </c>
      <c r="AE2376" s="100">
        <v>0</v>
      </c>
      <c r="AF2376" s="100">
        <v>10</v>
      </c>
      <c r="AG2376" s="100">
        <v>1</v>
      </c>
      <c r="AH2376" s="100">
        <v>2</v>
      </c>
      <c r="AI2376" s="99">
        <v>2</v>
      </c>
      <c r="AJ2376" s="99">
        <v>2</v>
      </c>
      <c r="AK2376" s="99">
        <v>0</v>
      </c>
      <c r="AL2376" s="99">
        <v>3</v>
      </c>
      <c r="AM2376" s="100">
        <v>0</v>
      </c>
      <c r="AN2376" s="100">
        <v>0</v>
      </c>
      <c r="AO2376" s="100">
        <v>0</v>
      </c>
      <c r="AP2376" s="107">
        <v>0.2</v>
      </c>
      <c r="AQ2376" s="100">
        <v>6000</v>
      </c>
      <c r="AR2376" s="100">
        <v>0.2</v>
      </c>
      <c r="AS2376" s="100">
        <v>8</v>
      </c>
      <c r="AT2376" s="99">
        <v>0</v>
      </c>
      <c r="AU2376" s="328" t="s">
        <v>5691</v>
      </c>
      <c r="AV2376" s="100"/>
      <c r="AW2376" s="110" t="s">
        <v>204</v>
      </c>
      <c r="AX2376" s="100" t="s">
        <v>551</v>
      </c>
      <c r="AY2376" s="107">
        <v>0</v>
      </c>
      <c r="AZ2376" s="107">
        <v>77005005</v>
      </c>
      <c r="BA2376" s="110" t="s">
        <v>2396</v>
      </c>
      <c r="BB2376" s="100" t="s">
        <v>5713</v>
      </c>
      <c r="BC2376" s="105">
        <v>0</v>
      </c>
      <c r="BD2376" s="105">
        <v>0</v>
      </c>
      <c r="BE2376" s="111" t="s">
        <v>5714</v>
      </c>
      <c r="BF2376" s="111" t="s">
        <v>5715</v>
      </c>
      <c r="BG2376" s="100">
        <v>0</v>
      </c>
      <c r="BH2376" s="100">
        <v>0</v>
      </c>
      <c r="BI2376" s="100">
        <v>0</v>
      </c>
      <c r="BJ2376" s="100">
        <v>0</v>
      </c>
      <c r="BK2376" s="100">
        <v>0</v>
      </c>
      <c r="BL2376" s="100">
        <v>0</v>
      </c>
      <c r="BM2376" s="97">
        <v>0</v>
      </c>
      <c r="BN2376" s="99">
        <v>0</v>
      </c>
      <c r="BO2376" s="99">
        <v>0</v>
      </c>
      <c r="BP2376" s="99">
        <v>1</v>
      </c>
      <c r="BQ2376" s="99">
        <v>1</v>
      </c>
      <c r="BR2376" s="99">
        <v>0</v>
      </c>
      <c r="BS2376" s="99">
        <v>0</v>
      </c>
      <c r="BT2376" s="99">
        <v>0</v>
      </c>
      <c r="BU2376" s="23">
        <v>0</v>
      </c>
      <c r="BV2376" s="23"/>
      <c r="BW2376" s="23"/>
      <c r="BX2376" s="23"/>
      <c r="BY2376" s="23"/>
      <c r="BZ2376" s="23"/>
    </row>
    <row r="2377" spans="1:78" ht="19.5" customHeight="1">
      <c r="A2377" s="140"/>
      <c r="B2377" s="140"/>
      <c r="C2377" s="107">
        <v>77006004</v>
      </c>
      <c r="D2377" s="110" t="s">
        <v>2403</v>
      </c>
      <c r="E2377" s="110" t="s">
        <v>2404</v>
      </c>
      <c r="F2377" s="107">
        <v>1</v>
      </c>
      <c r="G2377" s="107">
        <v>0</v>
      </c>
      <c r="H2377" s="107">
        <v>0</v>
      </c>
      <c r="I2377" s="105">
        <v>0</v>
      </c>
      <c r="J2377" s="107">
        <v>1</v>
      </c>
      <c r="K2377" s="107">
        <v>0</v>
      </c>
      <c r="L2377" s="107">
        <v>0</v>
      </c>
      <c r="M2377" s="100">
        <v>0</v>
      </c>
      <c r="N2377" s="100">
        <v>0</v>
      </c>
      <c r="O2377" s="100">
        <v>2</v>
      </c>
      <c r="P2377" s="100">
        <v>3</v>
      </c>
      <c r="Q2377" s="100">
        <v>0.2</v>
      </c>
      <c r="R2377" s="100">
        <v>0</v>
      </c>
      <c r="S2377" s="99">
        <v>0</v>
      </c>
      <c r="T2377" s="100">
        <v>0</v>
      </c>
      <c r="U2377" s="100">
        <v>1</v>
      </c>
      <c r="V2377" s="100">
        <v>2</v>
      </c>
      <c r="W2377" s="100">
        <v>0</v>
      </c>
      <c r="X2377" s="100">
        <v>1.5</v>
      </c>
      <c r="Y2377" s="19">
        <v>0</v>
      </c>
      <c r="Z2377" s="100">
        <v>0</v>
      </c>
      <c r="AA2377" s="100">
        <v>1</v>
      </c>
      <c r="AB2377" s="100">
        <v>0</v>
      </c>
      <c r="AC2377" s="100">
        <v>0</v>
      </c>
      <c r="AD2377" s="100">
        <v>1</v>
      </c>
      <c r="AE2377" s="100">
        <v>1</v>
      </c>
      <c r="AF2377" s="100">
        <v>0</v>
      </c>
      <c r="AG2377" s="100">
        <v>1</v>
      </c>
      <c r="AH2377" s="100">
        <v>3</v>
      </c>
      <c r="AI2377" s="99">
        <v>1</v>
      </c>
      <c r="AJ2377" s="99">
        <v>1</v>
      </c>
      <c r="AK2377" s="99">
        <v>0</v>
      </c>
      <c r="AL2377" s="99">
        <v>3</v>
      </c>
      <c r="AM2377" s="100">
        <v>0</v>
      </c>
      <c r="AN2377" s="100">
        <v>0</v>
      </c>
      <c r="AO2377" s="100">
        <v>0</v>
      </c>
      <c r="AP2377" s="100">
        <v>0</v>
      </c>
      <c r="AQ2377" s="100">
        <v>2000</v>
      </c>
      <c r="AR2377" s="100">
        <v>0.3</v>
      </c>
      <c r="AS2377" s="100">
        <v>0</v>
      </c>
      <c r="AT2377" s="99">
        <v>0</v>
      </c>
      <c r="AU2377" s="118">
        <v>0</v>
      </c>
      <c r="AV2377" s="118"/>
      <c r="AW2377" s="104" t="s">
        <v>204</v>
      </c>
      <c r="AX2377" s="100" t="s">
        <v>540</v>
      </c>
      <c r="AY2377" s="107">
        <v>0</v>
      </c>
      <c r="AZ2377" s="107">
        <v>77005004</v>
      </c>
      <c r="BA2377" s="110" t="s">
        <v>206</v>
      </c>
      <c r="BB2377" s="100">
        <v>0</v>
      </c>
      <c r="BC2377" s="105">
        <v>0</v>
      </c>
      <c r="BD2377" s="105">
        <v>0</v>
      </c>
      <c r="BE2377" s="111" t="s">
        <v>2405</v>
      </c>
      <c r="BF2377" s="111" t="s">
        <v>2406</v>
      </c>
      <c r="BG2377" s="100">
        <v>0</v>
      </c>
      <c r="BH2377" s="100">
        <v>0</v>
      </c>
      <c r="BI2377" s="100">
        <v>0</v>
      </c>
      <c r="BJ2377" s="100">
        <v>0</v>
      </c>
      <c r="BK2377" s="100">
        <v>0</v>
      </c>
      <c r="BL2377" s="100">
        <v>0</v>
      </c>
      <c r="BM2377" s="97">
        <v>0</v>
      </c>
      <c r="BN2377" s="99">
        <v>0</v>
      </c>
      <c r="BO2377" s="99">
        <v>0</v>
      </c>
      <c r="BP2377" s="99">
        <v>0</v>
      </c>
      <c r="BQ2377" s="99">
        <v>0</v>
      </c>
      <c r="BR2377" s="99">
        <v>0</v>
      </c>
      <c r="BS2377" s="99">
        <v>0</v>
      </c>
      <c r="BT2377" s="99">
        <v>0</v>
      </c>
      <c r="BU2377" s="99">
        <v>0</v>
      </c>
      <c r="BV2377" s="23"/>
      <c r="BW2377" s="23"/>
      <c r="BX2377" s="23"/>
      <c r="BY2377" s="23"/>
      <c r="BZ2377" s="23"/>
    </row>
    <row r="2378" spans="1:78" ht="19.5" customHeight="1">
      <c r="A2378" s="140"/>
      <c r="B2378" s="140"/>
      <c r="C2378" s="294">
        <v>77007001</v>
      </c>
      <c r="D2378" s="295" t="s">
        <v>5716</v>
      </c>
      <c r="E2378" s="295" t="s">
        <v>5717</v>
      </c>
      <c r="F2378" s="296">
        <v>1</v>
      </c>
      <c r="G2378" s="296">
        <v>63021101</v>
      </c>
      <c r="H2378" s="296">
        <v>0</v>
      </c>
      <c r="I2378" s="297">
        <v>0</v>
      </c>
      <c r="J2378" s="294">
        <v>1</v>
      </c>
      <c r="K2378" s="296">
        <v>0</v>
      </c>
      <c r="L2378" s="296">
        <v>0</v>
      </c>
      <c r="M2378" s="296">
        <v>0</v>
      </c>
      <c r="N2378" s="296">
        <v>0</v>
      </c>
      <c r="O2378" s="296">
        <v>1</v>
      </c>
      <c r="P2378" s="296">
        <v>0</v>
      </c>
      <c r="Q2378" s="296">
        <v>0</v>
      </c>
      <c r="R2378" s="296">
        <v>0</v>
      </c>
      <c r="S2378" s="23">
        <v>0</v>
      </c>
      <c r="T2378" s="296">
        <v>0</v>
      </c>
      <c r="U2378" s="296">
        <v>1</v>
      </c>
      <c r="V2378" s="296">
        <v>1</v>
      </c>
      <c r="W2378" s="296">
        <v>0</v>
      </c>
      <c r="X2378" s="296">
        <v>3</v>
      </c>
      <c r="Y2378" s="19">
        <v>0</v>
      </c>
      <c r="Z2378" s="296">
        <v>0</v>
      </c>
      <c r="AA2378" s="296">
        <v>0</v>
      </c>
      <c r="AB2378" s="296">
        <v>0</v>
      </c>
      <c r="AC2378" s="296">
        <v>0</v>
      </c>
      <c r="AD2378" s="296">
        <v>0</v>
      </c>
      <c r="AE2378" s="296">
        <v>0</v>
      </c>
      <c r="AF2378" s="296">
        <v>9</v>
      </c>
      <c r="AG2378" s="296">
        <v>1</v>
      </c>
      <c r="AH2378" s="301">
        <v>5</v>
      </c>
      <c r="AI2378" s="23">
        <v>2</v>
      </c>
      <c r="AJ2378" s="23">
        <v>1</v>
      </c>
      <c r="AK2378" s="23">
        <v>0</v>
      </c>
      <c r="AL2378" s="23">
        <v>8</v>
      </c>
      <c r="AM2378" s="296">
        <v>0</v>
      </c>
      <c r="AN2378" s="296">
        <v>0</v>
      </c>
      <c r="AO2378" s="296">
        <v>0</v>
      </c>
      <c r="AP2378" s="296">
        <v>0.2</v>
      </c>
      <c r="AQ2378" s="296">
        <v>1000</v>
      </c>
      <c r="AR2378" s="296">
        <v>0.2</v>
      </c>
      <c r="AS2378" s="296">
        <v>0</v>
      </c>
      <c r="AT2378" s="23">
        <v>0</v>
      </c>
      <c r="AU2378" s="363" t="s">
        <v>5718</v>
      </c>
      <c r="AV2378" s="296"/>
      <c r="AW2378" s="295" t="s">
        <v>204</v>
      </c>
      <c r="AX2378" s="296" t="s">
        <v>540</v>
      </c>
      <c r="AY2378" s="294">
        <v>10000001</v>
      </c>
      <c r="AZ2378" s="294">
        <v>77005101</v>
      </c>
      <c r="BA2378" s="295" t="s">
        <v>1378</v>
      </c>
      <c r="BB2378" s="296">
        <v>0</v>
      </c>
      <c r="BC2378" s="23">
        <v>0</v>
      </c>
      <c r="BD2378" s="23">
        <v>0</v>
      </c>
      <c r="BE2378" s="304" t="s">
        <v>5719</v>
      </c>
      <c r="BF2378" s="304" t="s">
        <v>5720</v>
      </c>
      <c r="BG2378" s="296">
        <v>0</v>
      </c>
      <c r="BH2378" s="296">
        <v>0</v>
      </c>
      <c r="BI2378" s="296">
        <v>0</v>
      </c>
      <c r="BJ2378" s="296">
        <v>0</v>
      </c>
      <c r="BK2378" s="296">
        <v>0</v>
      </c>
      <c r="BL2378" s="296">
        <v>0</v>
      </c>
      <c r="BM2378" s="300">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294">
        <v>77007002</v>
      </c>
      <c r="D2379" s="295" t="s">
        <v>5721</v>
      </c>
      <c r="E2379" s="295" t="s">
        <v>5722</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6</v>
      </c>
      <c r="AG2379" s="296">
        <v>3</v>
      </c>
      <c r="AH2379" s="301">
        <v>4120</v>
      </c>
      <c r="AI2379" s="23">
        <v>2</v>
      </c>
      <c r="AJ2379" s="23">
        <v>3</v>
      </c>
      <c r="AK2379" s="23">
        <v>0</v>
      </c>
      <c r="AL2379" s="23">
        <v>1.5</v>
      </c>
      <c r="AM2379" s="296">
        <v>0</v>
      </c>
      <c r="AN2379" s="296">
        <v>0</v>
      </c>
      <c r="AO2379" s="296">
        <v>0</v>
      </c>
      <c r="AP2379" s="296">
        <v>0.2</v>
      </c>
      <c r="AQ2379" s="296">
        <v>1000</v>
      </c>
      <c r="AR2379" s="296">
        <v>0.2</v>
      </c>
      <c r="AS2379" s="296">
        <v>0</v>
      </c>
      <c r="AT2379" s="23">
        <v>97050102</v>
      </c>
      <c r="AU2379" s="359" t="s">
        <v>5723</v>
      </c>
      <c r="AV2379" s="301"/>
      <c r="AW2379" s="295" t="s">
        <v>204</v>
      </c>
      <c r="AX2379" s="296" t="s">
        <v>540</v>
      </c>
      <c r="AY2379" s="294">
        <v>10000001</v>
      </c>
      <c r="AZ2379" s="294">
        <v>77005102</v>
      </c>
      <c r="BA2379" s="295" t="s">
        <v>206</v>
      </c>
      <c r="BB2379" s="296">
        <v>0</v>
      </c>
      <c r="BC2379" s="23">
        <v>0</v>
      </c>
      <c r="BD2379" s="23">
        <v>0</v>
      </c>
      <c r="BE2379" s="304" t="s">
        <v>5724</v>
      </c>
      <c r="BF2379" s="304" t="s">
        <v>5725</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294">
        <v>77007003</v>
      </c>
      <c r="D2380" s="295" t="s">
        <v>5726</v>
      </c>
      <c r="E2380" s="305" t="s">
        <v>5727</v>
      </c>
      <c r="F2380" s="300">
        <v>1</v>
      </c>
      <c r="G2380" s="296">
        <v>63021101</v>
      </c>
      <c r="H2380" s="294">
        <v>0</v>
      </c>
      <c r="I2380" s="297">
        <v>0</v>
      </c>
      <c r="J2380" s="294">
        <v>1</v>
      </c>
      <c r="K2380" s="296">
        <v>0</v>
      </c>
      <c r="L2380" s="294">
        <v>0</v>
      </c>
      <c r="M2380" s="296">
        <v>0</v>
      </c>
      <c r="N2380" s="296">
        <v>0</v>
      </c>
      <c r="O2380" s="296">
        <v>1</v>
      </c>
      <c r="P2380" s="296">
        <v>0</v>
      </c>
      <c r="Q2380" s="296">
        <v>0</v>
      </c>
      <c r="R2380" s="296">
        <v>0</v>
      </c>
      <c r="S2380" s="23">
        <v>0</v>
      </c>
      <c r="T2380" s="296">
        <v>0</v>
      </c>
      <c r="U2380" s="296">
        <v>1</v>
      </c>
      <c r="V2380" s="296">
        <v>1</v>
      </c>
      <c r="W2380" s="296">
        <v>0</v>
      </c>
      <c r="X2380" s="296">
        <v>0</v>
      </c>
      <c r="Y2380" s="19">
        <v>0</v>
      </c>
      <c r="Z2380" s="296">
        <v>0</v>
      </c>
      <c r="AA2380" s="296">
        <v>0</v>
      </c>
      <c r="AB2380" s="296">
        <v>0</v>
      </c>
      <c r="AC2380" s="296">
        <v>0</v>
      </c>
      <c r="AD2380" s="296">
        <v>0</v>
      </c>
      <c r="AE2380" s="296">
        <v>0</v>
      </c>
      <c r="AF2380" s="296">
        <v>18</v>
      </c>
      <c r="AG2380" s="296">
        <v>1</v>
      </c>
      <c r="AH2380" s="296">
        <v>3</v>
      </c>
      <c r="AI2380" s="23">
        <v>0</v>
      </c>
      <c r="AJ2380" s="23">
        <v>0</v>
      </c>
      <c r="AK2380" s="23">
        <v>0</v>
      </c>
      <c r="AL2380" s="23">
        <v>1.5</v>
      </c>
      <c r="AM2380" s="296">
        <v>0</v>
      </c>
      <c r="AN2380" s="296">
        <v>0</v>
      </c>
      <c r="AO2380" s="296">
        <v>0</v>
      </c>
      <c r="AP2380" s="294">
        <v>3</v>
      </c>
      <c r="AQ2380" s="296">
        <v>3000</v>
      </c>
      <c r="AR2380" s="296">
        <v>0.1</v>
      </c>
      <c r="AS2380" s="296">
        <v>0</v>
      </c>
      <c r="AT2380" s="362" t="s">
        <v>5728</v>
      </c>
      <c r="AU2380" s="296">
        <v>0</v>
      </c>
      <c r="AV2380" s="296"/>
      <c r="AW2380" s="295" t="s">
        <v>204</v>
      </c>
      <c r="AX2380" s="296" t="s">
        <v>551</v>
      </c>
      <c r="AY2380" s="294">
        <v>0</v>
      </c>
      <c r="AZ2380" s="294">
        <v>77005103</v>
      </c>
      <c r="BA2380" s="295" t="s">
        <v>1180</v>
      </c>
      <c r="BB2380" s="363" t="s">
        <v>5729</v>
      </c>
      <c r="BC2380" s="297">
        <v>0</v>
      </c>
      <c r="BD2380" s="297">
        <v>0</v>
      </c>
      <c r="BE2380" s="299" t="s">
        <v>2439</v>
      </c>
      <c r="BF2380" s="299" t="s">
        <v>2440</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77007004</v>
      </c>
      <c r="D2381" s="295" t="s">
        <v>2441</v>
      </c>
      <c r="E2381" s="305" t="s">
        <v>2442</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1.2</v>
      </c>
      <c r="Y2381" s="19">
        <v>0</v>
      </c>
      <c r="Z2381" s="296">
        <v>300</v>
      </c>
      <c r="AA2381" s="296">
        <v>0</v>
      </c>
      <c r="AB2381" s="296">
        <v>0</v>
      </c>
      <c r="AC2381" s="296">
        <v>0</v>
      </c>
      <c r="AD2381" s="296">
        <v>0</v>
      </c>
      <c r="AE2381" s="296">
        <v>0</v>
      </c>
      <c r="AF2381" s="296">
        <v>24</v>
      </c>
      <c r="AG2381" s="296">
        <v>1</v>
      </c>
      <c r="AH2381" s="296">
        <v>2</v>
      </c>
      <c r="AI2381" s="23">
        <v>2</v>
      </c>
      <c r="AJ2381" s="23">
        <v>0</v>
      </c>
      <c r="AK2381" s="23">
        <v>0</v>
      </c>
      <c r="AL2381" s="23">
        <v>0</v>
      </c>
      <c r="AM2381" s="296">
        <v>0</v>
      </c>
      <c r="AN2381" s="296">
        <v>0</v>
      </c>
      <c r="AO2381" s="296">
        <v>0</v>
      </c>
      <c r="AP2381" s="294">
        <v>0</v>
      </c>
      <c r="AQ2381" s="296">
        <v>5000</v>
      </c>
      <c r="AR2381" s="296">
        <v>0</v>
      </c>
      <c r="AS2381" s="296">
        <v>0</v>
      </c>
      <c r="AT2381" s="362" t="s">
        <v>5730</v>
      </c>
      <c r="AU2381" s="296" t="s">
        <v>204</v>
      </c>
      <c r="AV2381" s="296"/>
      <c r="AW2381" s="295" t="s">
        <v>204</v>
      </c>
      <c r="AX2381" s="296" t="s">
        <v>551</v>
      </c>
      <c r="AY2381" s="294">
        <v>0</v>
      </c>
      <c r="AZ2381" s="294">
        <v>77005104</v>
      </c>
      <c r="BA2381" s="295" t="s">
        <v>1171</v>
      </c>
      <c r="BB2381" s="296">
        <v>0</v>
      </c>
      <c r="BC2381" s="297">
        <v>0</v>
      </c>
      <c r="BD2381" s="297">
        <v>0</v>
      </c>
      <c r="BE2381" s="299" t="s">
        <v>5731</v>
      </c>
      <c r="BF2381" s="299" t="s">
        <v>5732</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294">
        <v>77007005</v>
      </c>
      <c r="D2382" s="295" t="s">
        <v>766</v>
      </c>
      <c r="E2382" s="295" t="s">
        <v>767</v>
      </c>
      <c r="F2382" s="296">
        <v>1</v>
      </c>
      <c r="G2382" s="296">
        <v>0</v>
      </c>
      <c r="H2382" s="296">
        <v>0</v>
      </c>
      <c r="I2382" s="297">
        <v>0</v>
      </c>
      <c r="J2382" s="294">
        <v>1</v>
      </c>
      <c r="K2382" s="294">
        <v>0</v>
      </c>
      <c r="L2382" s="294">
        <v>0</v>
      </c>
      <c r="M2382" s="296">
        <v>0</v>
      </c>
      <c r="N2382" s="296">
        <v>0</v>
      </c>
      <c r="O2382" s="296">
        <v>2</v>
      </c>
      <c r="P2382" s="296">
        <v>1</v>
      </c>
      <c r="Q2382" s="296">
        <v>1</v>
      </c>
      <c r="R2382" s="296">
        <v>1</v>
      </c>
      <c r="S2382" s="23">
        <v>0</v>
      </c>
      <c r="T2382" s="296">
        <v>0</v>
      </c>
      <c r="U2382" s="296">
        <v>1</v>
      </c>
      <c r="V2382" s="296">
        <v>1</v>
      </c>
      <c r="W2382" s="296">
        <v>0</v>
      </c>
      <c r="X2382" s="296">
        <v>1.5</v>
      </c>
      <c r="Y2382" s="19">
        <v>0</v>
      </c>
      <c r="Z2382" s="296">
        <v>0</v>
      </c>
      <c r="AA2382" s="296">
        <v>0</v>
      </c>
      <c r="AB2382" s="296">
        <v>0</v>
      </c>
      <c r="AC2382" s="296">
        <v>0</v>
      </c>
      <c r="AD2382" s="296">
        <v>0</v>
      </c>
      <c r="AE2382" s="296">
        <v>1</v>
      </c>
      <c r="AF2382" s="296">
        <v>10</v>
      </c>
      <c r="AG2382" s="296">
        <v>2</v>
      </c>
      <c r="AH2382" s="296" t="s">
        <v>1042</v>
      </c>
      <c r="AI2382" s="23">
        <v>0</v>
      </c>
      <c r="AJ2382" s="23">
        <v>2</v>
      </c>
      <c r="AK2382" s="23">
        <v>0</v>
      </c>
      <c r="AL2382" s="23">
        <v>1.5</v>
      </c>
      <c r="AM2382" s="296">
        <v>0</v>
      </c>
      <c r="AN2382" s="296">
        <v>0.5</v>
      </c>
      <c r="AO2382" s="296">
        <v>0</v>
      </c>
      <c r="AP2382" s="296">
        <v>1</v>
      </c>
      <c r="AQ2382" s="296">
        <v>1000</v>
      </c>
      <c r="AR2382" s="296">
        <v>0.2</v>
      </c>
      <c r="AS2382" s="296">
        <v>15</v>
      </c>
      <c r="AT2382" s="23">
        <v>0</v>
      </c>
      <c r="AU2382" s="359" t="s">
        <v>5691</v>
      </c>
      <c r="AV2382" s="301"/>
      <c r="AW2382" s="295" t="s">
        <v>205</v>
      </c>
      <c r="AX2382" s="296" t="s">
        <v>221</v>
      </c>
      <c r="AY2382" s="294">
        <v>0</v>
      </c>
      <c r="AZ2382" s="294">
        <v>0</v>
      </c>
      <c r="BA2382" s="307" t="s">
        <v>222</v>
      </c>
      <c r="BB2382" s="296">
        <v>0</v>
      </c>
      <c r="BC2382" s="297">
        <v>0</v>
      </c>
      <c r="BD2382" s="297">
        <v>0</v>
      </c>
      <c r="BE2382" s="299" t="s">
        <v>2450</v>
      </c>
      <c r="BF2382" s="299" t="s">
        <v>2451</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77007006</v>
      </c>
      <c r="D2383" s="295" t="s">
        <v>2452</v>
      </c>
      <c r="E2383" s="295" t="s">
        <v>2453</v>
      </c>
      <c r="F2383" s="294">
        <v>1</v>
      </c>
      <c r="G2383" s="294">
        <v>0</v>
      </c>
      <c r="H2383" s="294">
        <v>0</v>
      </c>
      <c r="I2383" s="297">
        <v>0</v>
      </c>
      <c r="J2383" s="294">
        <v>1</v>
      </c>
      <c r="K2383" s="294">
        <v>0</v>
      </c>
      <c r="L2383" s="294">
        <v>0</v>
      </c>
      <c r="M2383" s="296">
        <v>0</v>
      </c>
      <c r="N2383" s="296">
        <v>0</v>
      </c>
      <c r="O2383" s="296">
        <v>2</v>
      </c>
      <c r="P2383" s="296">
        <v>3</v>
      </c>
      <c r="Q2383" s="296">
        <v>0.2</v>
      </c>
      <c r="R2383" s="296">
        <v>0</v>
      </c>
      <c r="S2383" s="23">
        <v>0</v>
      </c>
      <c r="T2383" s="296">
        <v>0</v>
      </c>
      <c r="U2383" s="296">
        <v>1</v>
      </c>
      <c r="V2383" s="296">
        <v>2</v>
      </c>
      <c r="W2383" s="296">
        <v>0</v>
      </c>
      <c r="X2383" s="296">
        <v>0</v>
      </c>
      <c r="Y2383" s="19">
        <v>0</v>
      </c>
      <c r="Z2383" s="296">
        <v>0</v>
      </c>
      <c r="AA2383" s="296">
        <v>1</v>
      </c>
      <c r="AB2383" s="296">
        <v>0</v>
      </c>
      <c r="AC2383" s="296">
        <v>0</v>
      </c>
      <c r="AD2383" s="296">
        <v>1</v>
      </c>
      <c r="AE2383" s="296">
        <v>1</v>
      </c>
      <c r="AF2383" s="296">
        <v>0</v>
      </c>
      <c r="AG2383" s="296">
        <v>1</v>
      </c>
      <c r="AH2383" s="296">
        <v>3</v>
      </c>
      <c r="AI2383" s="23">
        <v>0</v>
      </c>
      <c r="AJ2383" s="23">
        <v>1</v>
      </c>
      <c r="AK2383" s="23">
        <v>0</v>
      </c>
      <c r="AL2383" s="23">
        <v>3</v>
      </c>
      <c r="AM2383" s="296">
        <v>0</v>
      </c>
      <c r="AN2383" s="296">
        <v>0</v>
      </c>
      <c r="AO2383" s="296">
        <v>0</v>
      </c>
      <c r="AP2383" s="296">
        <v>0</v>
      </c>
      <c r="AQ2383" s="296">
        <v>500</v>
      </c>
      <c r="AR2383" s="296">
        <v>0</v>
      </c>
      <c r="AS2383" s="296">
        <v>0</v>
      </c>
      <c r="AT2383" s="23">
        <v>97050104</v>
      </c>
      <c r="AU2383" s="301">
        <v>0</v>
      </c>
      <c r="AV2383" s="301"/>
      <c r="AW2383" s="298" t="s">
        <v>204</v>
      </c>
      <c r="AX2383" s="296" t="s">
        <v>540</v>
      </c>
      <c r="AY2383" s="294">
        <v>0</v>
      </c>
      <c r="AZ2383" s="294">
        <v>0</v>
      </c>
      <c r="BA2383" s="295" t="s">
        <v>206</v>
      </c>
      <c r="BB2383" s="296">
        <v>0</v>
      </c>
      <c r="BC2383" s="297">
        <v>0</v>
      </c>
      <c r="BD2383" s="297">
        <v>0</v>
      </c>
      <c r="BE2383" s="299" t="s">
        <v>2405</v>
      </c>
      <c r="BF2383" s="299" t="s">
        <v>2406</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s="5" customFormat="1" ht="20.100000000000001" customHeight="1">
      <c r="C2384" s="294">
        <v>77007007</v>
      </c>
      <c r="D2384" s="311" t="s">
        <v>766</v>
      </c>
      <c r="E2384" s="312" t="s">
        <v>767</v>
      </c>
      <c r="F2384" s="313">
        <v>1</v>
      </c>
      <c r="G2384" s="313">
        <v>0</v>
      </c>
      <c r="H2384" s="314">
        <v>0</v>
      </c>
      <c r="I2384" s="315">
        <v>0</v>
      </c>
      <c r="J2384" s="316">
        <v>1</v>
      </c>
      <c r="K2384" s="316">
        <v>0</v>
      </c>
      <c r="L2384" s="316">
        <v>0</v>
      </c>
      <c r="M2384" s="314">
        <v>0</v>
      </c>
      <c r="N2384" s="314">
        <v>0</v>
      </c>
      <c r="O2384" s="314">
        <v>2</v>
      </c>
      <c r="P2384" s="314">
        <v>1</v>
      </c>
      <c r="Q2384" s="314">
        <v>0.2</v>
      </c>
      <c r="R2384" s="314">
        <v>0</v>
      </c>
      <c r="S2384" s="249">
        <v>0</v>
      </c>
      <c r="T2384" s="314">
        <v>0</v>
      </c>
      <c r="U2384" s="314">
        <v>1</v>
      </c>
      <c r="V2384" s="313">
        <v>1</v>
      </c>
      <c r="W2384" s="314">
        <v>0</v>
      </c>
      <c r="X2384" s="314">
        <v>1</v>
      </c>
      <c r="Y2384" s="19">
        <v>0</v>
      </c>
      <c r="Z2384" s="314">
        <v>150</v>
      </c>
      <c r="AA2384" s="314">
        <v>1</v>
      </c>
      <c r="AB2384" s="314">
        <v>0</v>
      </c>
      <c r="AC2384" s="314">
        <v>0</v>
      </c>
      <c r="AD2384" s="314">
        <v>0</v>
      </c>
      <c r="AE2384" s="314">
        <v>1</v>
      </c>
      <c r="AF2384" s="314">
        <v>12</v>
      </c>
      <c r="AG2384" s="314">
        <v>2</v>
      </c>
      <c r="AH2384" s="314" t="s">
        <v>219</v>
      </c>
      <c r="AI2384" s="249">
        <v>0</v>
      </c>
      <c r="AJ2384" s="249">
        <v>2</v>
      </c>
      <c r="AK2384" s="249">
        <v>0</v>
      </c>
      <c r="AL2384" s="249">
        <v>1.5</v>
      </c>
      <c r="AM2384" s="314">
        <v>0</v>
      </c>
      <c r="AN2384" s="314">
        <v>0</v>
      </c>
      <c r="AO2384" s="314">
        <v>0</v>
      </c>
      <c r="AP2384" s="314">
        <v>1.5</v>
      </c>
      <c r="AQ2384" s="314">
        <v>1600</v>
      </c>
      <c r="AR2384" s="314">
        <v>1</v>
      </c>
      <c r="AS2384" s="314">
        <v>15</v>
      </c>
      <c r="AT2384" s="249">
        <v>0</v>
      </c>
      <c r="AU2384" s="364" t="s">
        <v>5733</v>
      </c>
      <c r="AV2384" s="317"/>
      <c r="AW2384" s="311" t="s">
        <v>205</v>
      </c>
      <c r="AX2384" s="314" t="s">
        <v>221</v>
      </c>
      <c r="AY2384" s="316">
        <v>10000011</v>
      </c>
      <c r="AZ2384" s="316">
        <v>77005105</v>
      </c>
      <c r="BA2384" s="311" t="s">
        <v>222</v>
      </c>
      <c r="BB2384" s="314">
        <v>0</v>
      </c>
      <c r="BC2384" s="315">
        <v>0</v>
      </c>
      <c r="BD2384" s="315">
        <v>0</v>
      </c>
      <c r="BE2384" s="318" t="s">
        <v>2371</v>
      </c>
      <c r="BF2384" s="318" t="s">
        <v>2372</v>
      </c>
      <c r="BG2384" s="314">
        <v>0</v>
      </c>
      <c r="BH2384" s="314">
        <v>0</v>
      </c>
      <c r="BI2384" s="314">
        <v>0</v>
      </c>
      <c r="BJ2384" s="314">
        <v>0</v>
      </c>
      <c r="BK2384" s="314">
        <v>0</v>
      </c>
      <c r="BL2384" s="314">
        <v>0</v>
      </c>
      <c r="BM2384" s="313">
        <v>0</v>
      </c>
      <c r="BN2384" s="249">
        <v>0</v>
      </c>
      <c r="BO2384" s="249">
        <v>0</v>
      </c>
      <c r="BP2384" s="249">
        <v>0</v>
      </c>
      <c r="BQ2384" s="249">
        <v>0</v>
      </c>
      <c r="BR2384" s="249">
        <v>0</v>
      </c>
      <c r="BS2384" s="249">
        <v>0</v>
      </c>
      <c r="BT2384" s="249">
        <v>0</v>
      </c>
      <c r="BU2384" s="249">
        <v>0</v>
      </c>
      <c r="BV2384" s="23"/>
      <c r="BW2384" s="23"/>
      <c r="BX2384" s="23"/>
      <c r="BY2384" s="23"/>
      <c r="BZ2384" s="23"/>
    </row>
    <row r="2385" spans="1:78" ht="19.5" customHeight="1">
      <c r="A2385" s="140"/>
      <c r="B2385" s="140"/>
      <c r="C2385" s="74">
        <v>77008001</v>
      </c>
      <c r="D2385" s="71" t="s">
        <v>5734</v>
      </c>
      <c r="E2385" s="71" t="s">
        <v>5735</v>
      </c>
      <c r="F2385" s="72">
        <v>1</v>
      </c>
      <c r="G2385" s="72">
        <v>63021101</v>
      </c>
      <c r="H2385" s="72">
        <v>0</v>
      </c>
      <c r="I2385" s="75">
        <v>0</v>
      </c>
      <c r="J2385" s="74">
        <v>1</v>
      </c>
      <c r="K2385" s="72">
        <v>0</v>
      </c>
      <c r="L2385" s="72">
        <v>0</v>
      </c>
      <c r="M2385" s="72">
        <v>0</v>
      </c>
      <c r="N2385" s="72">
        <v>0</v>
      </c>
      <c r="O2385" s="72">
        <v>1</v>
      </c>
      <c r="P2385" s="72">
        <v>0</v>
      </c>
      <c r="Q2385" s="72">
        <v>0</v>
      </c>
      <c r="R2385" s="72">
        <v>0</v>
      </c>
      <c r="S2385" s="73">
        <v>0</v>
      </c>
      <c r="T2385" s="72">
        <v>0</v>
      </c>
      <c r="U2385" s="72">
        <v>1</v>
      </c>
      <c r="V2385" s="72">
        <v>1</v>
      </c>
      <c r="W2385" s="72">
        <v>0</v>
      </c>
      <c r="X2385" s="72">
        <v>3</v>
      </c>
      <c r="Y2385" s="19">
        <v>0</v>
      </c>
      <c r="Z2385" s="72">
        <v>0</v>
      </c>
      <c r="AA2385" s="72">
        <v>0</v>
      </c>
      <c r="AB2385" s="72">
        <v>0</v>
      </c>
      <c r="AC2385" s="72">
        <v>0</v>
      </c>
      <c r="AD2385" s="72">
        <v>0</v>
      </c>
      <c r="AE2385" s="72">
        <v>0</v>
      </c>
      <c r="AF2385" s="72">
        <v>16</v>
      </c>
      <c r="AG2385" s="72">
        <v>1</v>
      </c>
      <c r="AH2385" s="93">
        <v>2</v>
      </c>
      <c r="AI2385" s="73">
        <v>2</v>
      </c>
      <c r="AJ2385" s="73">
        <v>2</v>
      </c>
      <c r="AK2385" s="73">
        <v>0</v>
      </c>
      <c r="AL2385" s="73">
        <v>3</v>
      </c>
      <c r="AM2385" s="72">
        <v>0</v>
      </c>
      <c r="AN2385" s="72">
        <v>0</v>
      </c>
      <c r="AO2385" s="72">
        <v>0</v>
      </c>
      <c r="AP2385" s="72">
        <v>0.2</v>
      </c>
      <c r="AQ2385" s="72">
        <v>3000</v>
      </c>
      <c r="AR2385" s="72">
        <v>0.2</v>
      </c>
      <c r="AS2385" s="72">
        <v>8</v>
      </c>
      <c r="AT2385" s="73">
        <v>0</v>
      </c>
      <c r="AU2385" s="344" t="s">
        <v>5736</v>
      </c>
      <c r="AV2385" s="72"/>
      <c r="AW2385" s="71" t="s">
        <v>204</v>
      </c>
      <c r="AX2385" s="72" t="s">
        <v>540</v>
      </c>
      <c r="AY2385" s="74">
        <v>10000001</v>
      </c>
      <c r="AZ2385" s="74">
        <v>77005201</v>
      </c>
      <c r="BA2385" s="71" t="s">
        <v>592</v>
      </c>
      <c r="BB2385" s="72">
        <v>0</v>
      </c>
      <c r="BC2385" s="73">
        <v>0</v>
      </c>
      <c r="BD2385" s="73">
        <v>0</v>
      </c>
      <c r="BE2385" s="114" t="s">
        <v>5737</v>
      </c>
      <c r="BF2385" s="114" t="s">
        <v>5738</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77008002</v>
      </c>
      <c r="D2386" s="71" t="s">
        <v>5739</v>
      </c>
      <c r="E2386" s="160" t="s">
        <v>1202</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1</v>
      </c>
      <c r="Y2386" s="19">
        <v>0</v>
      </c>
      <c r="Z2386" s="72">
        <v>0</v>
      </c>
      <c r="AA2386" s="72">
        <v>0</v>
      </c>
      <c r="AB2386" s="72">
        <v>0</v>
      </c>
      <c r="AC2386" s="72">
        <v>0</v>
      </c>
      <c r="AD2386" s="72">
        <v>0</v>
      </c>
      <c r="AE2386" s="72">
        <v>0</v>
      </c>
      <c r="AF2386" s="72">
        <v>9</v>
      </c>
      <c r="AG2386" s="72">
        <v>1</v>
      </c>
      <c r="AH2386" s="72">
        <v>4</v>
      </c>
      <c r="AI2386" s="73">
        <v>2</v>
      </c>
      <c r="AJ2386" s="73">
        <v>1</v>
      </c>
      <c r="AK2386" s="73">
        <v>0</v>
      </c>
      <c r="AL2386" s="73">
        <v>8</v>
      </c>
      <c r="AM2386" s="72">
        <v>0</v>
      </c>
      <c r="AN2386" s="72">
        <v>0</v>
      </c>
      <c r="AO2386" s="72">
        <v>0</v>
      </c>
      <c r="AP2386" s="72">
        <v>0</v>
      </c>
      <c r="AQ2386" s="72">
        <v>6000</v>
      </c>
      <c r="AR2386" s="72">
        <v>0.2</v>
      </c>
      <c r="AS2386" s="72">
        <v>0</v>
      </c>
      <c r="AT2386" s="73">
        <v>0</v>
      </c>
      <c r="AU2386" s="322" t="s">
        <v>5691</v>
      </c>
      <c r="AV2386" s="93"/>
      <c r="AW2386" s="88" t="s">
        <v>204</v>
      </c>
      <c r="AX2386" s="72" t="s">
        <v>551</v>
      </c>
      <c r="AY2386" s="74">
        <v>10000001</v>
      </c>
      <c r="AZ2386" s="74">
        <v>77005203</v>
      </c>
      <c r="BA2386" s="71" t="s">
        <v>321</v>
      </c>
      <c r="BB2386" s="72">
        <v>1</v>
      </c>
      <c r="BC2386" s="75">
        <v>0</v>
      </c>
      <c r="BD2386" s="75">
        <v>0</v>
      </c>
      <c r="BE2386" s="76" t="s">
        <v>5740</v>
      </c>
      <c r="BF2386" s="76" t="s">
        <v>5741</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77008003</v>
      </c>
      <c r="D2387" s="71" t="s">
        <v>5742</v>
      </c>
      <c r="E2387" s="160" t="s">
        <v>5743</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2</v>
      </c>
      <c r="Y2387" s="19">
        <v>0</v>
      </c>
      <c r="Z2387" s="72">
        <v>0</v>
      </c>
      <c r="AA2387" s="72">
        <v>0</v>
      </c>
      <c r="AB2387" s="72">
        <v>0</v>
      </c>
      <c r="AC2387" s="72">
        <v>0</v>
      </c>
      <c r="AD2387" s="72">
        <v>0</v>
      </c>
      <c r="AE2387" s="72">
        <v>0</v>
      </c>
      <c r="AF2387" s="72">
        <v>12</v>
      </c>
      <c r="AG2387" s="72">
        <v>1</v>
      </c>
      <c r="AH2387" s="72">
        <v>4</v>
      </c>
      <c r="AI2387" s="73">
        <v>2</v>
      </c>
      <c r="AJ2387" s="73">
        <v>1</v>
      </c>
      <c r="AK2387" s="73">
        <v>0</v>
      </c>
      <c r="AL2387" s="73">
        <v>7</v>
      </c>
      <c r="AM2387" s="72">
        <v>0</v>
      </c>
      <c r="AN2387" s="72">
        <v>0</v>
      </c>
      <c r="AO2387" s="72">
        <v>0</v>
      </c>
      <c r="AP2387" s="74">
        <v>0.2</v>
      </c>
      <c r="AQ2387" s="72">
        <v>1000</v>
      </c>
      <c r="AR2387" s="72">
        <v>0.4</v>
      </c>
      <c r="AS2387" s="72">
        <v>0</v>
      </c>
      <c r="AT2387" s="73">
        <v>0</v>
      </c>
      <c r="AU2387" s="72">
        <v>97050203</v>
      </c>
      <c r="AV2387" s="72"/>
      <c r="AW2387" s="71" t="s">
        <v>204</v>
      </c>
      <c r="AX2387" s="72" t="s">
        <v>551</v>
      </c>
      <c r="AY2387" s="74">
        <v>0</v>
      </c>
      <c r="AZ2387" s="74">
        <v>77005207</v>
      </c>
      <c r="BA2387" s="71" t="s">
        <v>206</v>
      </c>
      <c r="BB2387" s="72">
        <v>0</v>
      </c>
      <c r="BC2387" s="75">
        <v>0</v>
      </c>
      <c r="BD2387" s="75">
        <v>0</v>
      </c>
      <c r="BE2387" s="76" t="s">
        <v>5744</v>
      </c>
      <c r="BF2387" s="76" t="s">
        <v>5745</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330" t="s">
        <v>5746</v>
      </c>
      <c r="BV2387" s="23"/>
      <c r="BW2387" s="23"/>
      <c r="BX2387" s="23"/>
      <c r="BY2387" s="23"/>
      <c r="BZ2387" s="23"/>
    </row>
    <row r="2388" spans="1:78" ht="20.100000000000001" customHeight="1">
      <c r="A2388" s="140"/>
      <c r="B2388" s="140"/>
      <c r="C2388" s="74">
        <v>77008004</v>
      </c>
      <c r="D2388" s="71" t="s">
        <v>5747</v>
      </c>
      <c r="E2388" s="160" t="s">
        <v>5748</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0</v>
      </c>
      <c r="Y2388" s="19">
        <v>0</v>
      </c>
      <c r="Z2388" s="72">
        <v>0</v>
      </c>
      <c r="AA2388" s="72">
        <v>0</v>
      </c>
      <c r="AB2388" s="72">
        <v>0</v>
      </c>
      <c r="AC2388" s="72">
        <v>0</v>
      </c>
      <c r="AD2388" s="72">
        <v>0</v>
      </c>
      <c r="AE2388" s="72">
        <v>0</v>
      </c>
      <c r="AF2388" s="72">
        <v>24</v>
      </c>
      <c r="AG2388" s="72">
        <v>1</v>
      </c>
      <c r="AH2388" s="72">
        <v>3</v>
      </c>
      <c r="AI2388" s="73">
        <v>0</v>
      </c>
      <c r="AJ2388" s="73">
        <v>0</v>
      </c>
      <c r="AK2388" s="73">
        <v>0</v>
      </c>
      <c r="AL2388" s="73">
        <v>1.5</v>
      </c>
      <c r="AM2388" s="72">
        <v>0</v>
      </c>
      <c r="AN2388" s="72">
        <v>0</v>
      </c>
      <c r="AO2388" s="72">
        <v>0</v>
      </c>
      <c r="AP2388" s="74">
        <v>0.1</v>
      </c>
      <c r="AQ2388" s="72">
        <v>3000</v>
      </c>
      <c r="AR2388" s="72">
        <v>0.1</v>
      </c>
      <c r="AS2388" s="72">
        <v>0</v>
      </c>
      <c r="AT2388" s="73">
        <v>97050202</v>
      </c>
      <c r="AU2388" s="344" t="s">
        <v>204</v>
      </c>
      <c r="AV2388" s="72"/>
      <c r="AW2388" s="71" t="s">
        <v>204</v>
      </c>
      <c r="AX2388" s="72" t="s">
        <v>551</v>
      </c>
      <c r="AY2388" s="74">
        <v>0</v>
      </c>
      <c r="AZ2388" s="74">
        <v>77005204</v>
      </c>
      <c r="BA2388" s="71" t="s">
        <v>206</v>
      </c>
      <c r="BB2388" s="72">
        <v>0</v>
      </c>
      <c r="BC2388" s="75">
        <v>0</v>
      </c>
      <c r="BD2388" s="75">
        <v>0</v>
      </c>
      <c r="BE2388" s="76" t="s">
        <v>5749</v>
      </c>
      <c r="BF2388" s="76" t="s">
        <v>5750</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77008005</v>
      </c>
      <c r="D2389" s="71" t="s">
        <v>2403</v>
      </c>
      <c r="E2389" s="71" t="s">
        <v>2404</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2</v>
      </c>
      <c r="Y2389" s="19">
        <v>0</v>
      </c>
      <c r="Z2389" s="72">
        <v>0</v>
      </c>
      <c r="AA2389" s="72">
        <v>1</v>
      </c>
      <c r="AB2389" s="72">
        <v>0</v>
      </c>
      <c r="AC2389" s="72">
        <v>0</v>
      </c>
      <c r="AD2389" s="72">
        <v>1</v>
      </c>
      <c r="AE2389" s="72">
        <v>1</v>
      </c>
      <c r="AF2389" s="72">
        <v>0</v>
      </c>
      <c r="AG2389" s="72">
        <v>1</v>
      </c>
      <c r="AH2389" s="72">
        <v>3</v>
      </c>
      <c r="AI2389" s="73">
        <v>1</v>
      </c>
      <c r="AJ2389" s="73">
        <v>1</v>
      </c>
      <c r="AK2389" s="73">
        <v>0</v>
      </c>
      <c r="AL2389" s="73">
        <v>3</v>
      </c>
      <c r="AM2389" s="72">
        <v>0</v>
      </c>
      <c r="AN2389" s="72">
        <v>0</v>
      </c>
      <c r="AO2389" s="72">
        <v>0</v>
      </c>
      <c r="AP2389" s="72">
        <v>0</v>
      </c>
      <c r="AQ2389" s="72">
        <v>2000</v>
      </c>
      <c r="AR2389" s="72">
        <v>0.4</v>
      </c>
      <c r="AS2389" s="72">
        <v>0</v>
      </c>
      <c r="AT2389" s="73">
        <v>0</v>
      </c>
      <c r="AU2389" s="322" t="s">
        <v>5691</v>
      </c>
      <c r="AV2389" s="93"/>
      <c r="AW2389" s="88" t="s">
        <v>204</v>
      </c>
      <c r="AX2389" s="72" t="s">
        <v>540</v>
      </c>
      <c r="AY2389" s="74">
        <v>0</v>
      </c>
      <c r="AZ2389" s="74">
        <v>77005207</v>
      </c>
      <c r="BA2389" s="71" t="s">
        <v>206</v>
      </c>
      <c r="BB2389" s="72">
        <v>0</v>
      </c>
      <c r="BC2389" s="75">
        <v>0</v>
      </c>
      <c r="BD2389" s="75">
        <v>0</v>
      </c>
      <c r="BE2389" s="76" t="s">
        <v>2498</v>
      </c>
      <c r="BF2389" s="76" t="s">
        <v>2499</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77008006</v>
      </c>
      <c r="D2390" s="71" t="s">
        <v>2500</v>
      </c>
      <c r="E2390" s="71" t="s">
        <v>2501</v>
      </c>
      <c r="F2390" s="74">
        <v>1</v>
      </c>
      <c r="G2390" s="72">
        <v>0</v>
      </c>
      <c r="H2390" s="74">
        <v>0</v>
      </c>
      <c r="I2390" s="75">
        <v>0</v>
      </c>
      <c r="J2390" s="74">
        <v>1</v>
      </c>
      <c r="K2390" s="74">
        <v>0</v>
      </c>
      <c r="L2390" s="74">
        <v>0</v>
      </c>
      <c r="M2390" s="72">
        <v>0</v>
      </c>
      <c r="N2390" s="72">
        <v>0</v>
      </c>
      <c r="O2390" s="72">
        <v>2</v>
      </c>
      <c r="P2390" s="72">
        <v>16</v>
      </c>
      <c r="Q2390" s="72">
        <v>1</v>
      </c>
      <c r="R2390" s="72">
        <v>0</v>
      </c>
      <c r="S2390" s="73">
        <v>0</v>
      </c>
      <c r="T2390" s="72">
        <v>0</v>
      </c>
      <c r="U2390" s="72">
        <v>1</v>
      </c>
      <c r="V2390" s="72">
        <v>2</v>
      </c>
      <c r="W2390" s="72">
        <v>0</v>
      </c>
      <c r="X2390" s="72">
        <v>1.5</v>
      </c>
      <c r="Y2390" s="19">
        <v>0</v>
      </c>
      <c r="Z2390" s="72">
        <v>0</v>
      </c>
      <c r="AA2390" s="72">
        <v>0</v>
      </c>
      <c r="AB2390" s="72">
        <v>0</v>
      </c>
      <c r="AC2390" s="72">
        <v>0</v>
      </c>
      <c r="AD2390" s="72">
        <v>0</v>
      </c>
      <c r="AE2390" s="72">
        <v>1</v>
      </c>
      <c r="AF2390" s="72">
        <v>0</v>
      </c>
      <c r="AG2390" s="72">
        <v>1</v>
      </c>
      <c r="AH2390" s="72">
        <v>2</v>
      </c>
      <c r="AI2390" s="73">
        <v>0</v>
      </c>
      <c r="AJ2390" s="73">
        <v>2</v>
      </c>
      <c r="AK2390" s="73">
        <v>0</v>
      </c>
      <c r="AL2390" s="73">
        <v>2</v>
      </c>
      <c r="AM2390" s="72">
        <v>0</v>
      </c>
      <c r="AN2390" s="72">
        <v>0</v>
      </c>
      <c r="AO2390" s="72">
        <v>0</v>
      </c>
      <c r="AP2390" s="72">
        <v>0</v>
      </c>
      <c r="AQ2390" s="72">
        <v>5000</v>
      </c>
      <c r="AR2390" s="72">
        <v>0</v>
      </c>
      <c r="AS2390" s="72">
        <v>15</v>
      </c>
      <c r="AT2390" s="92">
        <v>0</v>
      </c>
      <c r="AU2390" s="322" t="s">
        <v>5691</v>
      </c>
      <c r="AV2390" s="93"/>
      <c r="AW2390" s="71" t="s">
        <v>204</v>
      </c>
      <c r="AX2390" s="72" t="s">
        <v>540</v>
      </c>
      <c r="AY2390" s="74">
        <v>10000007</v>
      </c>
      <c r="AZ2390" s="74">
        <v>77005205</v>
      </c>
      <c r="BA2390" s="71" t="s">
        <v>592</v>
      </c>
      <c r="BB2390" s="72" t="s">
        <v>2502</v>
      </c>
      <c r="BC2390" s="75">
        <v>0</v>
      </c>
      <c r="BD2390" s="75">
        <v>1</v>
      </c>
      <c r="BE2390" s="76" t="s">
        <v>2503</v>
      </c>
      <c r="BF2390" s="76" t="s">
        <v>2504</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s="1" customFormat="1" ht="19.5" customHeight="1">
      <c r="A2391" s="218"/>
      <c r="B2391" s="218"/>
      <c r="C2391" s="74">
        <v>77008007</v>
      </c>
      <c r="D2391" s="71" t="s">
        <v>2505</v>
      </c>
      <c r="E2391" s="71" t="s">
        <v>2506</v>
      </c>
      <c r="F2391" s="74">
        <v>1</v>
      </c>
      <c r="G2391" s="74">
        <v>0</v>
      </c>
      <c r="H2391" s="74">
        <v>0</v>
      </c>
      <c r="I2391" s="75">
        <v>0</v>
      </c>
      <c r="J2391" s="74">
        <v>1</v>
      </c>
      <c r="K2391" s="74">
        <v>0</v>
      </c>
      <c r="L2391" s="74">
        <v>0</v>
      </c>
      <c r="M2391" s="72">
        <v>0</v>
      </c>
      <c r="N2391" s="72">
        <v>0</v>
      </c>
      <c r="O2391" s="72">
        <v>2</v>
      </c>
      <c r="P2391" s="72">
        <v>3</v>
      </c>
      <c r="Q2391" s="72">
        <v>0.2</v>
      </c>
      <c r="R2391" s="72">
        <v>0</v>
      </c>
      <c r="S2391" s="73">
        <v>0</v>
      </c>
      <c r="T2391" s="72">
        <v>0</v>
      </c>
      <c r="U2391" s="72">
        <v>1</v>
      </c>
      <c r="V2391" s="72">
        <v>2</v>
      </c>
      <c r="W2391" s="72">
        <v>0</v>
      </c>
      <c r="X2391" s="72">
        <v>1.5</v>
      </c>
      <c r="Y2391" s="19">
        <v>0</v>
      </c>
      <c r="Z2391" s="72">
        <v>0</v>
      </c>
      <c r="AA2391" s="72">
        <v>1</v>
      </c>
      <c r="AB2391" s="72">
        <v>0</v>
      </c>
      <c r="AC2391" s="72">
        <v>0</v>
      </c>
      <c r="AD2391" s="72">
        <v>1</v>
      </c>
      <c r="AE2391" s="72">
        <v>1</v>
      </c>
      <c r="AF2391" s="72">
        <v>12</v>
      </c>
      <c r="AG2391" s="72">
        <v>1</v>
      </c>
      <c r="AH2391" s="72">
        <v>3</v>
      </c>
      <c r="AI2391" s="73">
        <v>1</v>
      </c>
      <c r="AJ2391" s="73">
        <v>1</v>
      </c>
      <c r="AK2391" s="73">
        <v>0</v>
      </c>
      <c r="AL2391" s="73">
        <v>3</v>
      </c>
      <c r="AM2391" s="72">
        <v>0</v>
      </c>
      <c r="AN2391" s="72">
        <v>0</v>
      </c>
      <c r="AO2391" s="72">
        <v>0</v>
      </c>
      <c r="AP2391" s="72">
        <v>0</v>
      </c>
      <c r="AQ2391" s="72">
        <v>2000</v>
      </c>
      <c r="AR2391" s="72">
        <v>0.3</v>
      </c>
      <c r="AS2391" s="72">
        <v>0</v>
      </c>
      <c r="AT2391" s="73">
        <v>0</v>
      </c>
      <c r="AU2391" s="322" t="s">
        <v>5751</v>
      </c>
      <c r="AV2391" s="93"/>
      <c r="AW2391" s="88" t="s">
        <v>204</v>
      </c>
      <c r="AX2391" s="72" t="s">
        <v>540</v>
      </c>
      <c r="AY2391" s="74">
        <v>0</v>
      </c>
      <c r="AZ2391" s="74">
        <v>77005202</v>
      </c>
      <c r="BA2391" s="71" t="s">
        <v>206</v>
      </c>
      <c r="BB2391" s="72">
        <v>0</v>
      </c>
      <c r="BC2391" s="75">
        <v>0</v>
      </c>
      <c r="BD2391" s="75">
        <v>0</v>
      </c>
      <c r="BE2391" s="76" t="s">
        <v>2405</v>
      </c>
      <c r="BF2391" s="76" t="s">
        <v>2406</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ht="19.5" customHeight="1">
      <c r="A2392" s="140"/>
      <c r="B2392" s="140"/>
      <c r="C2392" s="107">
        <v>77009001</v>
      </c>
      <c r="D2392" s="110" t="s">
        <v>2508</v>
      </c>
      <c r="E2392" s="110" t="s">
        <v>2509</v>
      </c>
      <c r="F2392" s="100">
        <v>1</v>
      </c>
      <c r="G2392" s="100">
        <v>63021101</v>
      </c>
      <c r="H2392" s="100">
        <v>0</v>
      </c>
      <c r="I2392" s="105">
        <v>0</v>
      </c>
      <c r="J2392" s="107">
        <v>1</v>
      </c>
      <c r="K2392" s="100">
        <v>0</v>
      </c>
      <c r="L2392" s="100">
        <v>0</v>
      </c>
      <c r="M2392" s="100">
        <v>0</v>
      </c>
      <c r="N2392" s="100">
        <v>0</v>
      </c>
      <c r="O2392" s="100">
        <v>1</v>
      </c>
      <c r="P2392" s="100">
        <v>0</v>
      </c>
      <c r="Q2392" s="100">
        <v>0</v>
      </c>
      <c r="R2392" s="100">
        <v>0</v>
      </c>
      <c r="S2392" s="99">
        <v>0</v>
      </c>
      <c r="T2392" s="100">
        <v>0</v>
      </c>
      <c r="U2392" s="100">
        <v>1</v>
      </c>
      <c r="V2392" s="100">
        <v>1</v>
      </c>
      <c r="W2392" s="100">
        <v>0</v>
      </c>
      <c r="X2392" s="100">
        <v>1</v>
      </c>
      <c r="Y2392" s="19">
        <v>0</v>
      </c>
      <c r="Z2392" s="100">
        <v>0</v>
      </c>
      <c r="AA2392" s="100">
        <v>0</v>
      </c>
      <c r="AB2392" s="100">
        <v>0</v>
      </c>
      <c r="AC2392" s="100">
        <v>0</v>
      </c>
      <c r="AD2392" s="100">
        <v>0</v>
      </c>
      <c r="AE2392" s="100">
        <v>0</v>
      </c>
      <c r="AF2392" s="100">
        <v>6</v>
      </c>
      <c r="AG2392" s="100">
        <v>1</v>
      </c>
      <c r="AH2392" s="118">
        <v>6</v>
      </c>
      <c r="AI2392" s="99">
        <v>2</v>
      </c>
      <c r="AJ2392" s="99">
        <v>1</v>
      </c>
      <c r="AK2392" s="99">
        <v>0</v>
      </c>
      <c r="AL2392" s="99">
        <v>8</v>
      </c>
      <c r="AM2392" s="100">
        <v>0</v>
      </c>
      <c r="AN2392" s="100">
        <v>0</v>
      </c>
      <c r="AO2392" s="100">
        <v>0</v>
      </c>
      <c r="AP2392" s="100">
        <v>0.2</v>
      </c>
      <c r="AQ2392" s="100">
        <v>5000</v>
      </c>
      <c r="AR2392" s="100">
        <v>0.2</v>
      </c>
      <c r="AS2392" s="100">
        <v>0</v>
      </c>
      <c r="AT2392" s="99">
        <v>0</v>
      </c>
      <c r="AU2392" s="100">
        <v>97050301</v>
      </c>
      <c r="AV2392" s="100"/>
      <c r="AW2392" s="110" t="s">
        <v>204</v>
      </c>
      <c r="AX2392" s="100" t="s">
        <v>540</v>
      </c>
      <c r="AY2392" s="107">
        <v>10000001</v>
      </c>
      <c r="AZ2392" s="107">
        <v>77005301</v>
      </c>
      <c r="BA2392" s="110" t="s">
        <v>2510</v>
      </c>
      <c r="BB2392" s="100" t="s">
        <v>5752</v>
      </c>
      <c r="BC2392" s="99">
        <v>0</v>
      </c>
      <c r="BD2392" s="99">
        <v>0</v>
      </c>
      <c r="BE2392" s="136" t="s">
        <v>5753</v>
      </c>
      <c r="BF2392" s="136" t="s">
        <v>5754</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77009002</v>
      </c>
      <c r="D2393" s="110" t="s">
        <v>5755</v>
      </c>
      <c r="E2393" s="303" t="s">
        <v>5756</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3</v>
      </c>
      <c r="AJ2393" s="99">
        <v>0</v>
      </c>
      <c r="AK2393" s="99">
        <v>0</v>
      </c>
      <c r="AL2393" s="99">
        <v>1.5</v>
      </c>
      <c r="AM2393" s="100">
        <v>0</v>
      </c>
      <c r="AN2393" s="100">
        <v>0</v>
      </c>
      <c r="AO2393" s="100">
        <v>0</v>
      </c>
      <c r="AP2393" s="100">
        <v>0.2</v>
      </c>
      <c r="AQ2393" s="100">
        <v>2000</v>
      </c>
      <c r="AR2393" s="100">
        <v>0.4</v>
      </c>
      <c r="AS2393" s="100">
        <v>0</v>
      </c>
      <c r="AT2393" s="99">
        <v>0</v>
      </c>
      <c r="AU2393" s="327" t="s">
        <v>5757</v>
      </c>
      <c r="AV2393" s="118"/>
      <c r="AW2393" s="104" t="s">
        <v>204</v>
      </c>
      <c r="AX2393" s="100" t="s">
        <v>551</v>
      </c>
      <c r="AY2393" s="107">
        <v>10000001</v>
      </c>
      <c r="AZ2393" s="107">
        <v>77005302</v>
      </c>
      <c r="BA2393" s="110" t="s">
        <v>206</v>
      </c>
      <c r="BB2393" s="100" t="s">
        <v>5758</v>
      </c>
      <c r="BC2393" s="105">
        <v>0</v>
      </c>
      <c r="BD2393" s="105">
        <v>0</v>
      </c>
      <c r="BE2393" s="111" t="s">
        <v>5759</v>
      </c>
      <c r="BF2393" s="111" t="s">
        <v>5760</v>
      </c>
      <c r="BG2393" s="100">
        <v>0</v>
      </c>
      <c r="BH2393" s="100">
        <v>0</v>
      </c>
      <c r="BI2393" s="100">
        <v>0</v>
      </c>
      <c r="BJ2393" s="100">
        <v>0</v>
      </c>
      <c r="BK2393" s="100">
        <v>0</v>
      </c>
      <c r="BL2393" s="100">
        <v>0</v>
      </c>
      <c r="BM2393" s="97">
        <v>0</v>
      </c>
      <c r="BN2393" s="99">
        <v>0</v>
      </c>
      <c r="BO2393" s="99">
        <v>0</v>
      </c>
      <c r="BP2393" s="99">
        <v>0</v>
      </c>
      <c r="BQ2393" s="99">
        <v>0</v>
      </c>
      <c r="BR2393" s="99">
        <v>0</v>
      </c>
      <c r="BS2393" s="99">
        <v>1</v>
      </c>
      <c r="BT2393" s="99">
        <v>0</v>
      </c>
      <c r="BU2393" s="99">
        <v>0</v>
      </c>
      <c r="BV2393" s="23"/>
      <c r="BW2393" s="23"/>
      <c r="BX2393" s="23"/>
      <c r="BY2393" s="23"/>
      <c r="BZ2393" s="23"/>
    </row>
    <row r="2394" spans="1:78" ht="20.100000000000001" customHeight="1">
      <c r="A2394" s="140"/>
      <c r="B2394" s="140"/>
      <c r="C2394" s="107">
        <v>77009003</v>
      </c>
      <c r="D2394" s="110" t="s">
        <v>2519</v>
      </c>
      <c r="E2394" s="303" t="s">
        <v>2520</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77005303</v>
      </c>
      <c r="BA2394" s="110" t="s">
        <v>5761</v>
      </c>
      <c r="BB2394" s="100">
        <v>90005004</v>
      </c>
      <c r="BC2394" s="105">
        <v>0</v>
      </c>
      <c r="BD2394" s="105">
        <v>0</v>
      </c>
      <c r="BE2394" s="111" t="s">
        <v>5762</v>
      </c>
      <c r="BF2394" s="111" t="s">
        <v>5763</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77009004</v>
      </c>
      <c r="D2395" s="110" t="s">
        <v>2526</v>
      </c>
      <c r="E2395" s="303" t="s">
        <v>2527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0</v>
      </c>
      <c r="BA2395" s="110" t="s">
        <v>2528</v>
      </c>
      <c r="BB2395" s="328" t="s">
        <v>5764</v>
      </c>
      <c r="BC2395" s="105">
        <v>0</v>
      </c>
      <c r="BD2395" s="105">
        <v>0</v>
      </c>
      <c r="BE2395" s="111" t="s">
        <v>5765</v>
      </c>
      <c r="BF2395" s="111" t="s">
        <v>5766</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77009005</v>
      </c>
      <c r="D2396" s="110" t="s">
        <v>606</v>
      </c>
      <c r="E2396" s="303" t="s">
        <v>607</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t="s">
        <v>204</v>
      </c>
      <c r="AV2396" s="100"/>
      <c r="AW2396" s="110" t="s">
        <v>204</v>
      </c>
      <c r="AX2396" s="100" t="s">
        <v>551</v>
      </c>
      <c r="AY2396" s="107">
        <v>0</v>
      </c>
      <c r="AZ2396" s="107">
        <v>0</v>
      </c>
      <c r="BA2396" s="110" t="s">
        <v>2544</v>
      </c>
      <c r="BB2396" s="328" t="s">
        <v>5767</v>
      </c>
      <c r="BC2396" s="105">
        <v>0</v>
      </c>
      <c r="BD2396" s="105">
        <v>0</v>
      </c>
      <c r="BE2396" s="111" t="s">
        <v>2546</v>
      </c>
      <c r="BF2396" s="111" t="s">
        <v>2547</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s="2" customFormat="1" ht="20.100000000000001" customHeight="1">
      <c r="A2397" s="6"/>
      <c r="B2397" s="6"/>
      <c r="C2397" s="107">
        <v>77009006</v>
      </c>
      <c r="D2397" s="104" t="s">
        <v>2548</v>
      </c>
      <c r="E2397" s="104" t="s">
        <v>2549</v>
      </c>
      <c r="F2397" s="100">
        <v>1</v>
      </c>
      <c r="G2397" s="100">
        <v>0</v>
      </c>
      <c r="H2397" s="107">
        <v>0</v>
      </c>
      <c r="I2397" s="105">
        <v>0</v>
      </c>
      <c r="J2397" s="100">
        <v>1</v>
      </c>
      <c r="K2397" s="100">
        <v>0</v>
      </c>
      <c r="L2397" s="100">
        <v>0</v>
      </c>
      <c r="M2397" s="107">
        <v>0</v>
      </c>
      <c r="N2397" s="107">
        <v>0</v>
      </c>
      <c r="O2397" s="107">
        <v>2</v>
      </c>
      <c r="P2397" s="107">
        <v>16</v>
      </c>
      <c r="Q2397" s="107">
        <v>10</v>
      </c>
      <c r="R2397" s="107">
        <v>0</v>
      </c>
      <c r="S2397" s="99">
        <v>0</v>
      </c>
      <c r="T2397" s="105">
        <v>0</v>
      </c>
      <c r="U2397" s="100">
        <v>1</v>
      </c>
      <c r="V2397" s="107">
        <v>2</v>
      </c>
      <c r="W2397" s="107">
        <v>0</v>
      </c>
      <c r="X2397" s="107">
        <v>2.6</v>
      </c>
      <c r="Y2397" s="19">
        <v>0</v>
      </c>
      <c r="Z2397" s="107">
        <v>0</v>
      </c>
      <c r="AA2397" s="107">
        <v>1</v>
      </c>
      <c r="AB2397" s="107">
        <v>0</v>
      </c>
      <c r="AC2397" s="107">
        <v>0</v>
      </c>
      <c r="AD2397" s="107">
        <v>0</v>
      </c>
      <c r="AE2397" s="107">
        <v>0</v>
      </c>
      <c r="AF2397" s="107">
        <v>0</v>
      </c>
      <c r="AG2397" s="107">
        <v>2</v>
      </c>
      <c r="AH2397" s="107" t="s">
        <v>219</v>
      </c>
      <c r="AI2397" s="99">
        <v>0</v>
      </c>
      <c r="AJ2397" s="99">
        <v>2</v>
      </c>
      <c r="AK2397" s="99">
        <v>0</v>
      </c>
      <c r="AL2397" s="99">
        <v>3</v>
      </c>
      <c r="AM2397" s="107">
        <v>0</v>
      </c>
      <c r="AN2397" s="107">
        <v>0</v>
      </c>
      <c r="AO2397" s="107">
        <v>0</v>
      </c>
      <c r="AP2397" s="107">
        <v>1</v>
      </c>
      <c r="AQ2397" s="107">
        <v>2000</v>
      </c>
      <c r="AR2397" s="107">
        <v>1</v>
      </c>
      <c r="AS2397" s="107">
        <v>0</v>
      </c>
      <c r="AT2397" s="99">
        <v>0</v>
      </c>
      <c r="AU2397" s="107">
        <v>97050303</v>
      </c>
      <c r="AV2397" s="107"/>
      <c r="AW2397" s="104" t="s">
        <v>293</v>
      </c>
      <c r="AX2397" s="107" t="s">
        <v>540</v>
      </c>
      <c r="AY2397" s="107">
        <v>10000015</v>
      </c>
      <c r="AZ2397" s="107">
        <v>77005304</v>
      </c>
      <c r="BA2397" s="110" t="s">
        <v>206</v>
      </c>
      <c r="BB2397" s="104">
        <v>0</v>
      </c>
      <c r="BC2397" s="105">
        <v>0</v>
      </c>
      <c r="BD2397" s="105">
        <v>0</v>
      </c>
      <c r="BE2397" s="139" t="s">
        <v>2550</v>
      </c>
      <c r="BF2397" s="139" t="s">
        <v>2551</v>
      </c>
      <c r="BG2397" s="107">
        <v>0</v>
      </c>
      <c r="BH2397" s="100">
        <v>0</v>
      </c>
      <c r="BI2397" s="107">
        <v>0</v>
      </c>
      <c r="BJ2397" s="107">
        <v>0</v>
      </c>
      <c r="BK2397" s="107">
        <v>0</v>
      </c>
      <c r="BL2397" s="107">
        <v>0</v>
      </c>
      <c r="BM2397" s="97">
        <v>0</v>
      </c>
      <c r="BN2397" s="99">
        <v>1</v>
      </c>
      <c r="BO2397" s="99">
        <v>0</v>
      </c>
      <c r="BP2397" s="99">
        <v>0</v>
      </c>
      <c r="BQ2397" s="99">
        <v>0</v>
      </c>
      <c r="BR2397" s="99">
        <v>0</v>
      </c>
      <c r="BS2397" s="99">
        <v>0</v>
      </c>
      <c r="BT2397" s="99">
        <v>0</v>
      </c>
      <c r="BU2397" s="99">
        <v>0</v>
      </c>
      <c r="BV2397" s="23"/>
      <c r="BW2397" s="23"/>
      <c r="BX2397" s="23"/>
      <c r="BY2397" s="23"/>
      <c r="BZ2397" s="23"/>
    </row>
    <row r="2398" spans="1:78" ht="19.5" customHeight="1">
      <c r="A2398" s="140"/>
      <c r="B2398" s="140"/>
      <c r="C2398" s="107">
        <v>77009007</v>
      </c>
      <c r="D2398" s="110" t="s">
        <v>1271</v>
      </c>
      <c r="E2398" s="110" t="s">
        <v>1272</v>
      </c>
      <c r="F2398" s="100">
        <v>1</v>
      </c>
      <c r="G2398" s="100">
        <v>0</v>
      </c>
      <c r="H2398" s="100">
        <v>0</v>
      </c>
      <c r="I2398" s="105">
        <v>0</v>
      </c>
      <c r="J2398" s="107">
        <v>1</v>
      </c>
      <c r="K2398" s="107">
        <v>0</v>
      </c>
      <c r="L2398" s="107">
        <v>0</v>
      </c>
      <c r="M2398" s="100">
        <v>0</v>
      </c>
      <c r="N2398" s="100">
        <v>0</v>
      </c>
      <c r="O2398" s="100">
        <v>2</v>
      </c>
      <c r="P2398" s="100">
        <v>1</v>
      </c>
      <c r="Q2398" s="100">
        <v>0.2</v>
      </c>
      <c r="R2398" s="100">
        <v>0</v>
      </c>
      <c r="S2398" s="99">
        <v>0</v>
      </c>
      <c r="T2398" s="100">
        <v>0</v>
      </c>
      <c r="U2398" s="100">
        <v>1</v>
      </c>
      <c r="V2398" s="100">
        <v>1</v>
      </c>
      <c r="W2398" s="100">
        <v>0</v>
      </c>
      <c r="X2398" s="100">
        <v>0</v>
      </c>
      <c r="Y2398" s="19">
        <v>0</v>
      </c>
      <c r="Z2398" s="100">
        <v>0</v>
      </c>
      <c r="AA2398" s="100">
        <v>1</v>
      </c>
      <c r="AB2398" s="100">
        <v>0</v>
      </c>
      <c r="AC2398" s="100">
        <v>0</v>
      </c>
      <c r="AD2398" s="100">
        <v>0</v>
      </c>
      <c r="AE2398" s="100">
        <v>1</v>
      </c>
      <c r="AF2398" s="100">
        <v>12</v>
      </c>
      <c r="AG2398" s="100">
        <v>2</v>
      </c>
      <c r="AH2398" s="100" t="s">
        <v>219</v>
      </c>
      <c r="AI2398" s="99">
        <v>0</v>
      </c>
      <c r="AJ2398" s="99">
        <v>2</v>
      </c>
      <c r="AK2398" s="99">
        <v>0</v>
      </c>
      <c r="AL2398" s="99">
        <v>1.5</v>
      </c>
      <c r="AM2398" s="100">
        <v>0</v>
      </c>
      <c r="AN2398" s="100">
        <v>0</v>
      </c>
      <c r="AO2398" s="100">
        <v>0</v>
      </c>
      <c r="AP2398" s="100">
        <v>0.3</v>
      </c>
      <c r="AQ2398" s="100">
        <v>300</v>
      </c>
      <c r="AR2398" s="100">
        <v>0</v>
      </c>
      <c r="AS2398" s="100">
        <v>15</v>
      </c>
      <c r="AT2398" s="99">
        <v>0</v>
      </c>
      <c r="AU2398" s="118">
        <v>0</v>
      </c>
      <c r="AV2398" s="118"/>
      <c r="AW2398" s="110" t="s">
        <v>204</v>
      </c>
      <c r="AX2398" s="100" t="s">
        <v>221</v>
      </c>
      <c r="AY2398" s="107">
        <v>0</v>
      </c>
      <c r="AZ2398" s="107">
        <v>0</v>
      </c>
      <c r="BA2398" s="137" t="s">
        <v>222</v>
      </c>
      <c r="BB2398" s="100">
        <v>1</v>
      </c>
      <c r="BC2398" s="105">
        <v>0</v>
      </c>
      <c r="BD2398" s="105">
        <v>0</v>
      </c>
      <c r="BE2398" s="111" t="s">
        <v>2552</v>
      </c>
      <c r="BF2398" s="111" t="s">
        <v>2553</v>
      </c>
      <c r="BG2398" s="100">
        <v>0</v>
      </c>
      <c r="BH2398" s="100">
        <v>0</v>
      </c>
      <c r="BI2398" s="100">
        <v>0</v>
      </c>
      <c r="BJ2398" s="100">
        <v>0</v>
      </c>
      <c r="BK2398" s="100">
        <v>0</v>
      </c>
      <c r="BL2398" s="100">
        <v>0</v>
      </c>
      <c r="BM2398" s="97">
        <v>0</v>
      </c>
      <c r="BN2398" s="99">
        <v>0</v>
      </c>
      <c r="BO2398" s="99">
        <v>0</v>
      </c>
      <c r="BP2398" s="99">
        <v>0</v>
      </c>
      <c r="BQ2398" s="99">
        <v>0</v>
      </c>
      <c r="BR2398" s="99">
        <v>0</v>
      </c>
      <c r="BS2398" s="99">
        <v>1</v>
      </c>
      <c r="BT2398" s="99">
        <v>77009008</v>
      </c>
      <c r="BU2398" s="99">
        <v>0</v>
      </c>
      <c r="BV2398" s="23"/>
      <c r="BW2398" s="23"/>
      <c r="BX2398" s="23"/>
      <c r="BY2398" s="23"/>
      <c r="BZ2398" s="23"/>
    </row>
    <row r="2399" spans="1:78" ht="19.5" customHeight="1">
      <c r="A2399" s="140"/>
      <c r="B2399" s="140"/>
      <c r="C2399" s="107">
        <v>77009008</v>
      </c>
      <c r="D2399" s="104" t="s">
        <v>1271</v>
      </c>
      <c r="E2399" s="104" t="s">
        <v>1272</v>
      </c>
      <c r="F2399" s="100">
        <v>1</v>
      </c>
      <c r="G2399" s="100">
        <v>0</v>
      </c>
      <c r="H2399" s="107">
        <v>0</v>
      </c>
      <c r="I2399" s="105">
        <v>0</v>
      </c>
      <c r="J2399" s="100">
        <v>1</v>
      </c>
      <c r="K2399" s="100">
        <v>0</v>
      </c>
      <c r="L2399" s="100">
        <v>0</v>
      </c>
      <c r="M2399" s="107">
        <v>0</v>
      </c>
      <c r="N2399" s="107">
        <v>0</v>
      </c>
      <c r="O2399" s="107">
        <v>2</v>
      </c>
      <c r="P2399" s="107">
        <v>1</v>
      </c>
      <c r="Q2399" s="107">
        <v>1</v>
      </c>
      <c r="R2399" s="107">
        <v>0</v>
      </c>
      <c r="S2399" s="99">
        <v>0</v>
      </c>
      <c r="T2399" s="105">
        <v>0</v>
      </c>
      <c r="U2399" s="100">
        <v>1</v>
      </c>
      <c r="V2399" s="107">
        <v>1</v>
      </c>
      <c r="W2399" s="107">
        <v>0</v>
      </c>
      <c r="X2399" s="107">
        <v>1.5</v>
      </c>
      <c r="Y2399" s="19">
        <v>0</v>
      </c>
      <c r="Z2399" s="107">
        <v>0</v>
      </c>
      <c r="AA2399" s="107">
        <v>1</v>
      </c>
      <c r="AB2399" s="107">
        <v>0</v>
      </c>
      <c r="AC2399" s="107">
        <v>0</v>
      </c>
      <c r="AD2399" s="107">
        <v>0</v>
      </c>
      <c r="AE2399" s="107">
        <v>0</v>
      </c>
      <c r="AF2399" s="107">
        <v>0</v>
      </c>
      <c r="AG2399" s="107">
        <v>1</v>
      </c>
      <c r="AH2399" s="138">
        <v>4</v>
      </c>
      <c r="AI2399" s="99">
        <v>0</v>
      </c>
      <c r="AJ2399" s="99">
        <v>1</v>
      </c>
      <c r="AK2399" s="99">
        <v>0</v>
      </c>
      <c r="AL2399" s="99">
        <v>5</v>
      </c>
      <c r="AM2399" s="107">
        <v>0</v>
      </c>
      <c r="AN2399" s="107">
        <v>1</v>
      </c>
      <c r="AO2399" s="107">
        <v>0</v>
      </c>
      <c r="AP2399" s="107">
        <v>0.6</v>
      </c>
      <c r="AQ2399" s="107">
        <v>2000</v>
      </c>
      <c r="AR2399" s="107">
        <v>0.6</v>
      </c>
      <c r="AS2399" s="107">
        <v>0</v>
      </c>
      <c r="AT2399" s="99">
        <v>0</v>
      </c>
      <c r="AU2399" s="107">
        <v>97050301</v>
      </c>
      <c r="AV2399" s="107"/>
      <c r="AW2399" s="104" t="s">
        <v>293</v>
      </c>
      <c r="AX2399" s="107" t="s">
        <v>551</v>
      </c>
      <c r="AY2399" s="107">
        <v>10001005</v>
      </c>
      <c r="AZ2399" s="107">
        <v>77005305</v>
      </c>
      <c r="BA2399" s="104" t="s">
        <v>206</v>
      </c>
      <c r="BB2399" s="104">
        <v>0</v>
      </c>
      <c r="BC2399" s="105">
        <v>0</v>
      </c>
      <c r="BD2399" s="105">
        <v>0</v>
      </c>
      <c r="BE2399" s="139" t="s">
        <v>1275</v>
      </c>
      <c r="BF2399" s="139" t="s">
        <v>1276</v>
      </c>
      <c r="BG2399" s="107">
        <v>0</v>
      </c>
      <c r="BH2399" s="100">
        <v>0</v>
      </c>
      <c r="BI2399" s="107">
        <v>0</v>
      </c>
      <c r="BJ2399" s="107">
        <v>0</v>
      </c>
      <c r="BK2399" s="107">
        <v>0</v>
      </c>
      <c r="BL2399" s="107">
        <v>0</v>
      </c>
      <c r="BM2399" s="97">
        <v>0</v>
      </c>
      <c r="BN2399" s="99">
        <v>0</v>
      </c>
      <c r="BO2399" s="99">
        <v>0</v>
      </c>
      <c r="BP2399" s="99">
        <v>0</v>
      </c>
      <c r="BQ2399" s="99">
        <v>0</v>
      </c>
      <c r="BR2399" s="99">
        <v>0</v>
      </c>
      <c r="BS2399" s="99">
        <v>0</v>
      </c>
      <c r="BT2399" s="99">
        <v>0</v>
      </c>
      <c r="BU2399" s="99">
        <v>0</v>
      </c>
      <c r="BV2399" s="23"/>
      <c r="BW2399" s="23"/>
      <c r="BX2399" s="23"/>
      <c r="BY2399" s="23"/>
      <c r="BZ2399" s="23"/>
    </row>
    <row r="2400" spans="1:78" ht="20.100000000000001" customHeight="1">
      <c r="A2400" s="140"/>
      <c r="B2400" s="140"/>
      <c r="C2400" s="74">
        <v>77010001</v>
      </c>
      <c r="D2400" s="71" t="s">
        <v>3217</v>
      </c>
      <c r="E2400" s="160" t="s">
        <v>3218</v>
      </c>
      <c r="F2400" s="90">
        <v>1</v>
      </c>
      <c r="G2400" s="72">
        <v>63021101</v>
      </c>
      <c r="H2400" s="74">
        <v>0</v>
      </c>
      <c r="I2400" s="75">
        <v>0</v>
      </c>
      <c r="J2400" s="74">
        <v>1</v>
      </c>
      <c r="K2400" s="72">
        <v>0</v>
      </c>
      <c r="L2400" s="74">
        <v>0</v>
      </c>
      <c r="M2400" s="72">
        <v>0</v>
      </c>
      <c r="N2400" s="72">
        <v>0</v>
      </c>
      <c r="O2400" s="72">
        <v>2</v>
      </c>
      <c r="P2400" s="72">
        <v>7</v>
      </c>
      <c r="Q2400" s="72">
        <v>0.15</v>
      </c>
      <c r="R2400" s="72">
        <v>0</v>
      </c>
      <c r="S2400" s="73">
        <v>0</v>
      </c>
      <c r="T2400" s="72">
        <v>0</v>
      </c>
      <c r="U2400" s="72">
        <v>1</v>
      </c>
      <c r="V2400" s="72">
        <v>1</v>
      </c>
      <c r="W2400" s="72">
        <v>0</v>
      </c>
      <c r="X2400" s="72">
        <v>0</v>
      </c>
      <c r="Y2400" s="19">
        <v>0</v>
      </c>
      <c r="Z2400" s="72">
        <v>0</v>
      </c>
      <c r="AA2400" s="72">
        <v>0</v>
      </c>
      <c r="AB2400" s="72">
        <v>0</v>
      </c>
      <c r="AC2400" s="72">
        <v>0</v>
      </c>
      <c r="AD2400" s="72">
        <v>0</v>
      </c>
      <c r="AE2400" s="72">
        <v>0</v>
      </c>
      <c r="AF2400" s="72">
        <v>0</v>
      </c>
      <c r="AG2400" s="72">
        <v>0</v>
      </c>
      <c r="AH2400" s="72">
        <v>0</v>
      </c>
      <c r="AI2400" s="73">
        <v>0</v>
      </c>
      <c r="AJ2400" s="73">
        <v>0</v>
      </c>
      <c r="AK2400" s="73">
        <v>0</v>
      </c>
      <c r="AL2400" s="73">
        <v>1.5</v>
      </c>
      <c r="AM2400" s="72">
        <v>0</v>
      </c>
      <c r="AN2400" s="72">
        <v>0</v>
      </c>
      <c r="AO2400" s="72">
        <v>0</v>
      </c>
      <c r="AP2400" s="74">
        <v>0</v>
      </c>
      <c r="AQ2400" s="72">
        <v>3000</v>
      </c>
      <c r="AR2400" s="72">
        <v>0</v>
      </c>
      <c r="AS2400" s="72">
        <v>0</v>
      </c>
      <c r="AT2400" s="73">
        <v>0</v>
      </c>
      <c r="AU2400" s="72">
        <v>97050401</v>
      </c>
      <c r="AV2400" s="72"/>
      <c r="AW2400" s="71" t="s">
        <v>204</v>
      </c>
      <c r="AX2400" s="72" t="s">
        <v>551</v>
      </c>
      <c r="AY2400" s="74">
        <v>0</v>
      </c>
      <c r="AZ2400" s="74">
        <v>0</v>
      </c>
      <c r="BA2400" s="71" t="s">
        <v>206</v>
      </c>
      <c r="BB2400" s="72">
        <v>0</v>
      </c>
      <c r="BC2400" s="75">
        <v>0</v>
      </c>
      <c r="BD2400" s="75">
        <v>0</v>
      </c>
      <c r="BE2400" s="76" t="s">
        <v>5768</v>
      </c>
      <c r="BF2400" s="76" t="s">
        <v>5769</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23">
        <v>0</v>
      </c>
      <c r="BV2400" s="23"/>
      <c r="BW2400" s="23"/>
      <c r="BX2400" s="23"/>
      <c r="BY2400" s="23"/>
      <c r="BZ2400" s="23"/>
    </row>
    <row r="2401" spans="1:78" ht="20.100000000000001" customHeight="1">
      <c r="C2401" s="74">
        <v>77010111</v>
      </c>
      <c r="D2401" s="71" t="s">
        <v>5770</v>
      </c>
      <c r="E2401" s="71" t="s">
        <v>4210</v>
      </c>
      <c r="F2401" s="21">
        <v>1</v>
      </c>
      <c r="G2401" s="74">
        <v>90002001</v>
      </c>
      <c r="H2401" s="72">
        <v>0</v>
      </c>
      <c r="I2401" s="31">
        <v>0</v>
      </c>
      <c r="J2401" s="32">
        <v>1</v>
      </c>
      <c r="K2401" s="32">
        <v>0</v>
      </c>
      <c r="L2401" s="32">
        <v>0</v>
      </c>
      <c r="M2401" s="72">
        <v>0</v>
      </c>
      <c r="N2401" s="72">
        <v>0</v>
      </c>
      <c r="O2401" s="72">
        <v>1</v>
      </c>
      <c r="P2401" s="72">
        <v>0</v>
      </c>
      <c r="Q2401" s="72">
        <v>0</v>
      </c>
      <c r="R2401" s="72">
        <v>0</v>
      </c>
      <c r="S2401" s="19">
        <v>0</v>
      </c>
      <c r="T2401" s="72">
        <v>0</v>
      </c>
      <c r="U2401" s="21">
        <v>1</v>
      </c>
      <c r="V2401" s="72">
        <v>1</v>
      </c>
      <c r="W2401" s="72">
        <v>0</v>
      </c>
      <c r="X2401" s="72">
        <v>4</v>
      </c>
      <c r="Y2401" s="19">
        <v>0</v>
      </c>
      <c r="Z2401" s="72">
        <v>0</v>
      </c>
      <c r="AA2401" s="72">
        <v>0</v>
      </c>
      <c r="AB2401" s="72">
        <v>0</v>
      </c>
      <c r="AC2401" s="72">
        <v>0</v>
      </c>
      <c r="AD2401" s="72">
        <v>0</v>
      </c>
      <c r="AE2401" s="72">
        <v>0</v>
      </c>
      <c r="AF2401" s="72">
        <v>20</v>
      </c>
      <c r="AG2401" s="72">
        <v>2</v>
      </c>
      <c r="AH2401" s="72" t="s">
        <v>633</v>
      </c>
      <c r="AI2401" s="19">
        <v>0</v>
      </c>
      <c r="AJ2401" s="19">
        <v>2</v>
      </c>
      <c r="AK2401" s="19">
        <v>0</v>
      </c>
      <c r="AL2401" s="73">
        <v>3</v>
      </c>
      <c r="AM2401" s="72">
        <v>0</v>
      </c>
      <c r="AN2401" s="72">
        <v>0</v>
      </c>
      <c r="AO2401" s="72">
        <v>10</v>
      </c>
      <c r="AP2401" s="72">
        <v>10.1</v>
      </c>
      <c r="AQ2401" s="72">
        <v>10000</v>
      </c>
      <c r="AR2401" s="72">
        <v>0</v>
      </c>
      <c r="AS2401" s="72">
        <v>0</v>
      </c>
      <c r="AT2401" s="19">
        <v>0</v>
      </c>
      <c r="AU2401" s="72">
        <v>0</v>
      </c>
      <c r="AV2401" s="72"/>
      <c r="AW2401" s="71" t="s">
        <v>293</v>
      </c>
      <c r="AX2401" s="21">
        <v>0</v>
      </c>
      <c r="AY2401" s="74">
        <v>0</v>
      </c>
      <c r="AZ2401" s="32">
        <v>77010111</v>
      </c>
      <c r="BA2401" s="71" t="s">
        <v>2600</v>
      </c>
      <c r="BB2401" s="72">
        <v>60</v>
      </c>
      <c r="BC2401" s="75">
        <v>0</v>
      </c>
      <c r="BD2401" s="75">
        <v>0</v>
      </c>
      <c r="BE2401" s="76" t="s">
        <v>636</v>
      </c>
      <c r="BF2401" s="76" t="s">
        <v>637</v>
      </c>
      <c r="BG2401" s="72">
        <v>0</v>
      </c>
      <c r="BH2401" s="21">
        <v>0</v>
      </c>
      <c r="BI2401" s="72">
        <v>0</v>
      </c>
      <c r="BJ2401" s="72">
        <v>0</v>
      </c>
      <c r="BK2401" s="72">
        <v>0</v>
      </c>
      <c r="BL2401" s="72">
        <v>0</v>
      </c>
      <c r="BM2401" s="21">
        <v>0</v>
      </c>
      <c r="BN2401" s="19">
        <v>0</v>
      </c>
      <c r="BO2401" s="19">
        <v>0</v>
      </c>
      <c r="BP2401" s="19">
        <v>0</v>
      </c>
      <c r="BQ2401" s="19">
        <v>0</v>
      </c>
      <c r="BR2401" s="19">
        <v>0</v>
      </c>
      <c r="BS2401" s="19">
        <v>0</v>
      </c>
      <c r="BT2401" s="19">
        <v>0</v>
      </c>
      <c r="BU2401" s="23">
        <v>0</v>
      </c>
      <c r="BV2401" s="23"/>
      <c r="BW2401" s="23"/>
      <c r="BX2401" s="23"/>
      <c r="BY2401" s="23"/>
      <c r="BZ2401" s="23"/>
    </row>
    <row r="2402" spans="1:78" s="1" customFormat="1" ht="20.100000000000001" customHeight="1">
      <c r="C2402" s="72">
        <v>77010200</v>
      </c>
      <c r="D2402" s="71" t="s">
        <v>5771</v>
      </c>
      <c r="E2402" s="71" t="s">
        <v>1444</v>
      </c>
      <c r="F2402" s="72">
        <v>0</v>
      </c>
      <c r="G2402" s="72">
        <v>62011301</v>
      </c>
      <c r="H2402" s="72">
        <v>0</v>
      </c>
      <c r="I2402" s="75">
        <v>0</v>
      </c>
      <c r="J2402" s="72">
        <v>10</v>
      </c>
      <c r="K2402" s="72">
        <v>3</v>
      </c>
      <c r="L2402" s="72">
        <v>0</v>
      </c>
      <c r="M2402" s="72">
        <v>0</v>
      </c>
      <c r="N2402" s="72">
        <v>0</v>
      </c>
      <c r="O2402" s="72">
        <v>1</v>
      </c>
      <c r="P2402" s="72">
        <v>0</v>
      </c>
      <c r="Q2402" s="72">
        <v>0</v>
      </c>
      <c r="R2402" s="72">
        <v>0</v>
      </c>
      <c r="S2402" s="73">
        <v>0</v>
      </c>
      <c r="T2402" s="72">
        <v>0</v>
      </c>
      <c r="U2402" s="72">
        <v>1</v>
      </c>
      <c r="V2402" s="72">
        <v>2</v>
      </c>
      <c r="W2402" s="72">
        <v>0</v>
      </c>
      <c r="X2402" s="72">
        <v>3</v>
      </c>
      <c r="Y2402" s="19">
        <v>0</v>
      </c>
      <c r="Z2402" s="72">
        <v>350</v>
      </c>
      <c r="AA2402" s="72">
        <v>1</v>
      </c>
      <c r="AB2402" s="72">
        <v>0</v>
      </c>
      <c r="AC2402" s="72">
        <v>0</v>
      </c>
      <c r="AD2402" s="72">
        <v>0</v>
      </c>
      <c r="AE2402" s="72">
        <v>0</v>
      </c>
      <c r="AF2402" s="72">
        <v>20</v>
      </c>
      <c r="AG2402" s="72">
        <v>1</v>
      </c>
      <c r="AH2402" s="72">
        <v>0</v>
      </c>
      <c r="AI2402" s="73">
        <v>0</v>
      </c>
      <c r="AJ2402" s="73">
        <v>101</v>
      </c>
      <c r="AK2402" s="73">
        <v>0</v>
      </c>
      <c r="AL2402" s="73">
        <v>10</v>
      </c>
      <c r="AM2402" s="72">
        <v>0</v>
      </c>
      <c r="AN2402" s="72">
        <v>0</v>
      </c>
      <c r="AO2402" s="72">
        <v>0</v>
      </c>
      <c r="AP2402" s="72">
        <v>1</v>
      </c>
      <c r="AQ2402" s="72">
        <v>1000</v>
      </c>
      <c r="AR2402" s="72">
        <v>0.4</v>
      </c>
      <c r="AS2402" s="72">
        <v>0</v>
      </c>
      <c r="AT2402" s="73">
        <v>0</v>
      </c>
      <c r="AU2402" s="72" t="s">
        <v>204</v>
      </c>
      <c r="AV2402" s="72"/>
      <c r="AW2402" s="71" t="s">
        <v>768</v>
      </c>
      <c r="AX2402" s="72" t="s">
        <v>221</v>
      </c>
      <c r="AY2402" s="74">
        <v>10000015</v>
      </c>
      <c r="AZ2402" s="74">
        <v>21000030</v>
      </c>
      <c r="BA2402" s="71" t="s">
        <v>2646</v>
      </c>
      <c r="BB2402" s="344" t="s">
        <v>5772</v>
      </c>
      <c r="BC2402" s="75">
        <v>0</v>
      </c>
      <c r="BD2402" s="75">
        <v>0</v>
      </c>
      <c r="BE2402" s="114" t="str">
        <f>"&lt;color=#D3FD3A&gt;"&amp;D2864&amp;"(法杖武器技能):\n&lt;/color&gt;"&amp;BE2864&amp;"\n\n&lt;color=#D3FD3A&gt;"&amp;D2611&amp;"(魔法书武器技能):\n&lt;/color&gt;"&amp;BE2890</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s="1" customFormat="1" ht="20.100000000000001" customHeight="1">
      <c r="C2403" s="72">
        <v>77010201</v>
      </c>
      <c r="D2403" s="71" t="s">
        <v>5773</v>
      </c>
      <c r="E2403" s="71" t="s">
        <v>1444</v>
      </c>
      <c r="F2403" s="72">
        <v>0</v>
      </c>
      <c r="G2403" s="72">
        <v>62011301</v>
      </c>
      <c r="H2403" s="72">
        <v>0</v>
      </c>
      <c r="I2403" s="75">
        <v>0</v>
      </c>
      <c r="J2403" s="72">
        <v>10</v>
      </c>
      <c r="K2403" s="72">
        <v>3</v>
      </c>
      <c r="L2403" s="72">
        <v>0</v>
      </c>
      <c r="M2403" s="72">
        <v>0</v>
      </c>
      <c r="N2403" s="72">
        <v>0</v>
      </c>
      <c r="O2403" s="72">
        <v>2</v>
      </c>
      <c r="P2403" s="72">
        <v>1</v>
      </c>
      <c r="Q2403" s="72">
        <v>1</v>
      </c>
      <c r="R2403" s="72">
        <v>0</v>
      </c>
      <c r="S2403" s="73">
        <v>0</v>
      </c>
      <c r="T2403" s="72">
        <v>0</v>
      </c>
      <c r="U2403" s="72">
        <v>1</v>
      </c>
      <c r="V2403" s="72">
        <v>2</v>
      </c>
      <c r="W2403" s="72">
        <v>0</v>
      </c>
      <c r="X2403" s="72">
        <v>0</v>
      </c>
      <c r="Y2403" s="19">
        <v>0</v>
      </c>
      <c r="Z2403" s="72">
        <v>350</v>
      </c>
      <c r="AA2403" s="72">
        <v>1</v>
      </c>
      <c r="AB2403" s="72">
        <v>0</v>
      </c>
      <c r="AC2403" s="72">
        <v>0</v>
      </c>
      <c r="AD2403" s="72">
        <v>0</v>
      </c>
      <c r="AE2403" s="72">
        <v>0</v>
      </c>
      <c r="AF2403" s="72">
        <v>0</v>
      </c>
      <c r="AG2403" s="72">
        <v>1</v>
      </c>
      <c r="AH2403" s="72">
        <v>0</v>
      </c>
      <c r="AI2403" s="73">
        <v>0</v>
      </c>
      <c r="AJ2403" s="73">
        <v>101</v>
      </c>
      <c r="AK2403" s="73">
        <v>0</v>
      </c>
      <c r="AL2403" s="73">
        <v>10</v>
      </c>
      <c r="AM2403" s="72">
        <v>0</v>
      </c>
      <c r="AN2403" s="72">
        <v>0</v>
      </c>
      <c r="AO2403" s="72">
        <v>0</v>
      </c>
      <c r="AP2403" s="72">
        <v>1</v>
      </c>
      <c r="AQ2403" s="72">
        <v>1000</v>
      </c>
      <c r="AR2403" s="72">
        <v>0</v>
      </c>
      <c r="AS2403" s="72">
        <v>0</v>
      </c>
      <c r="AT2403" s="73">
        <v>97050404</v>
      </c>
      <c r="AU2403" s="72" t="s">
        <v>204</v>
      </c>
      <c r="AV2403" s="72"/>
      <c r="AW2403" s="71" t="s">
        <v>204</v>
      </c>
      <c r="AX2403" s="72">
        <v>0</v>
      </c>
      <c r="AY2403" s="74">
        <v>0</v>
      </c>
      <c r="AZ2403" s="74">
        <v>0</v>
      </c>
      <c r="BA2403" s="71" t="s">
        <v>206</v>
      </c>
      <c r="BB2403" s="72">
        <v>0</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ht="19.5" customHeight="1">
      <c r="A2404" s="140"/>
      <c r="B2404" s="140"/>
      <c r="C2404" s="72">
        <v>77010202</v>
      </c>
      <c r="D2404" s="71" t="s">
        <v>5774</v>
      </c>
      <c r="E2404" s="71" t="s">
        <v>2501</v>
      </c>
      <c r="F2404" s="74">
        <v>1</v>
      </c>
      <c r="G2404" s="72">
        <v>62011301</v>
      </c>
      <c r="H2404" s="74">
        <v>0</v>
      </c>
      <c r="I2404" s="75">
        <v>0</v>
      </c>
      <c r="J2404" s="74">
        <v>1</v>
      </c>
      <c r="K2404" s="74">
        <v>0</v>
      </c>
      <c r="L2404" s="74">
        <v>0</v>
      </c>
      <c r="M2404" s="72">
        <v>0</v>
      </c>
      <c r="N2404" s="72">
        <v>0</v>
      </c>
      <c r="O2404" s="72">
        <v>1</v>
      </c>
      <c r="P2404" s="72">
        <v>0</v>
      </c>
      <c r="Q2404" s="72">
        <v>1</v>
      </c>
      <c r="R2404" s="72">
        <v>0</v>
      </c>
      <c r="S2404" s="73">
        <v>0</v>
      </c>
      <c r="T2404" s="72">
        <v>0</v>
      </c>
      <c r="U2404" s="72">
        <v>1</v>
      </c>
      <c r="V2404" s="72">
        <v>2</v>
      </c>
      <c r="W2404" s="72">
        <v>0</v>
      </c>
      <c r="X2404" s="72">
        <v>1.5</v>
      </c>
      <c r="Y2404" s="19">
        <v>0</v>
      </c>
      <c r="Z2404" s="72">
        <v>0</v>
      </c>
      <c r="AA2404" s="72">
        <v>0</v>
      </c>
      <c r="AB2404" s="72">
        <v>0</v>
      </c>
      <c r="AC2404" s="72">
        <v>0</v>
      </c>
      <c r="AD2404" s="72">
        <v>0</v>
      </c>
      <c r="AE2404" s="72">
        <v>1</v>
      </c>
      <c r="AF2404" s="72">
        <v>0</v>
      </c>
      <c r="AG2404" s="72">
        <v>1</v>
      </c>
      <c r="AH2404" s="72">
        <v>2</v>
      </c>
      <c r="AI2404" s="73">
        <v>0</v>
      </c>
      <c r="AJ2404" s="73">
        <v>2</v>
      </c>
      <c r="AK2404" s="73">
        <v>0</v>
      </c>
      <c r="AL2404" s="73">
        <v>2</v>
      </c>
      <c r="AM2404" s="72">
        <v>0</v>
      </c>
      <c r="AN2404" s="72">
        <v>0</v>
      </c>
      <c r="AO2404" s="72">
        <v>0</v>
      </c>
      <c r="AP2404" s="72">
        <v>0</v>
      </c>
      <c r="AQ2404" s="72">
        <v>5000</v>
      </c>
      <c r="AR2404" s="72">
        <v>0</v>
      </c>
      <c r="AS2404" s="72">
        <v>15</v>
      </c>
      <c r="AT2404" s="92">
        <v>0</v>
      </c>
      <c r="AU2404" s="322" t="s">
        <v>5691</v>
      </c>
      <c r="AV2404" s="93"/>
      <c r="AW2404" s="71" t="s">
        <v>204</v>
      </c>
      <c r="AX2404" s="72" t="s">
        <v>540</v>
      </c>
      <c r="AY2404" s="74">
        <v>10000007</v>
      </c>
      <c r="AZ2404" s="74">
        <v>77005205</v>
      </c>
      <c r="BA2404" s="71" t="s">
        <v>592</v>
      </c>
      <c r="BB2404" s="72" t="s">
        <v>2502</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5775</v>
      </c>
      <c r="BY2404" s="23"/>
      <c r="BZ2404" s="23"/>
    </row>
    <row r="2405" spans="1:78" ht="19.5" customHeight="1">
      <c r="A2405" s="140"/>
      <c r="B2405" s="140"/>
      <c r="C2405" s="72">
        <v>77010203</v>
      </c>
      <c r="D2405" s="71" t="s">
        <v>5776</v>
      </c>
      <c r="E2405" s="71" t="s">
        <v>2501</v>
      </c>
      <c r="F2405" s="74">
        <v>1</v>
      </c>
      <c r="G2405" s="72">
        <v>62011301</v>
      </c>
      <c r="H2405" s="74">
        <v>0</v>
      </c>
      <c r="I2405" s="75">
        <v>0</v>
      </c>
      <c r="J2405" s="74">
        <v>1</v>
      </c>
      <c r="K2405" s="74">
        <v>0</v>
      </c>
      <c r="L2405" s="74">
        <v>0</v>
      </c>
      <c r="M2405" s="72">
        <v>0</v>
      </c>
      <c r="N2405" s="72">
        <v>0</v>
      </c>
      <c r="O2405" s="72">
        <v>9</v>
      </c>
      <c r="P2405" s="72">
        <v>0</v>
      </c>
      <c r="Q2405" s="72">
        <v>1</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92">
        <v>0</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5777</v>
      </c>
      <c r="BY2405" s="23"/>
      <c r="BZ2405" s="23">
        <v>1</v>
      </c>
    </row>
  </sheetData>
  <autoFilter ref="BA1:BA2405"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2026-01-08T08:19:26Z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